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0.xml" ContentType="application/vnd.openxmlformats-officedocument.spreadsheetml.worksheet+xml"/>
  <Override PartName="/xl/worksheets/sheet3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3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0.xml" ContentType="application/vnd.openxmlformats-officedocument.spreadsheetml.worksheet+xml"/>
  <Override PartName="/xl/worksheets/sheet6.xml" ContentType="application/vnd.openxmlformats-officedocument.spreadsheetml.worksheet+xml"/>
  <Override PartName="/xl/worksheets/sheet38.xml" ContentType="application/vnd.openxmlformats-officedocument.spreadsheetml.worksheet+xml"/>
  <Override PartName="/xl/worksheets/sheet30.xml" ContentType="application/vnd.openxmlformats-officedocument.spreadsheetml.worksheet+xml"/>
  <Override PartName="/xl/worksheets/sheet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41.xml" ContentType="application/vnd.openxmlformats-officedocument.spreadsheetml.worksheet+xml"/>
  <Override PartName="/xl/worksheets/sheet23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22.xml" ContentType="application/vnd.openxmlformats-officedocument.spreadsheetml.worksheet+xml"/>
  <Override PartName="/xl/worksheets/sheet14.xml" ContentType="application/vnd.openxmlformats-officedocument.spreadsheetml.worksheet+xml"/>
  <Override PartName="/xl/worksheets/sheet35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0"/>
  </bookViews>
  <sheets>
    <sheet name="EP" sheetId="1" state="visible" r:id="rId3"/>
    <sheet name="FR" sheetId="2" state="visible" r:id="rId4"/>
    <sheet name="RS" sheetId="3" state="visible" r:id="rId5"/>
    <sheet name="LL" sheetId="4" state="visible" r:id="rId6"/>
    <sheet name="JCR" sheetId="5" state="visible" r:id="rId7"/>
    <sheet name="VZH" sheetId="6" state="visible" r:id="rId8"/>
    <sheet name="GJ" sheetId="7" state="visible" r:id="rId9"/>
    <sheet name="SO" sheetId="8" state="visible" r:id="rId10"/>
    <sheet name="LM" sheetId="9" state="visible" r:id="rId11"/>
    <sheet name="RY" sheetId="10" state="visible" r:id="rId12"/>
    <sheet name="JCH" sheetId="11" state="visible" r:id="rId13"/>
    <sheet name="MC" sheetId="12" state="visible" r:id="rId14"/>
    <sheet name="NL" sheetId="13" state="visible" r:id="rId15"/>
    <sheet name="WC" sheetId="14" state="visible" r:id="rId16"/>
    <sheet name="NR" sheetId="15" state="visible" r:id="rId17"/>
    <sheet name="SB" sheetId="16" state="visible" r:id="rId18"/>
    <sheet name="AA" sheetId="17" state="visible" r:id="rId19"/>
    <sheet name="AO" sheetId="18" state="visible" r:id="rId20"/>
    <sheet name="GT" sheetId="19" state="visible" r:id="rId21"/>
    <sheet name="JLC" sheetId="20" state="visible" r:id="rId22"/>
    <sheet name="RCL" sheetId="21" state="visible" r:id="rId23"/>
    <sheet name="PCH" sheetId="22" state="visible" r:id="rId24"/>
    <sheet name="LP" sheetId="23" state="visible" r:id="rId25"/>
    <sheet name="GLE" sheetId="24" state="visible" r:id="rId26"/>
    <sheet name="JA" sheetId="25" state="visible" r:id="rId27"/>
    <sheet name="MS" sheetId="26" state="visible" r:id="rId28"/>
    <sheet name="DG" sheetId="27" state="visible" r:id="rId29"/>
    <sheet name="JJ" sheetId="28" state="visible" r:id="rId30"/>
    <sheet name="CQ" sheetId="29" state="visible" r:id="rId31"/>
    <sheet name="AC" sheetId="30" state="visible" r:id="rId32"/>
    <sheet name="JL" sheetId="31" state="visible" r:id="rId33"/>
    <sheet name="HM" sheetId="32" state="visible" r:id="rId34"/>
    <sheet name="LV" sheetId="33" state="visible" r:id="rId35"/>
    <sheet name="AD" sheetId="34" state="visible" r:id="rId36"/>
    <sheet name="FA" sheetId="35" state="visible" r:id="rId37"/>
    <sheet name="AS" sheetId="36" state="visible" r:id="rId38"/>
    <sheet name="FG" sheetId="37" state="visible" r:id="rId39"/>
    <sheet name="CLP" sheetId="38" state="visible" r:id="rId40"/>
    <sheet name="MA" sheetId="39" state="visible" r:id="rId41"/>
    <sheet name="CB" sheetId="40" state="visible" r:id="rId42"/>
    <sheet name="GC" sheetId="41" state="visible" r:id="rId43"/>
  </sheets>
  <definedNames>
    <definedName function="false" hidden="false" name="AREA" vbProcedure="false">NA()</definedName>
    <definedName function="false" hidden="false" name="AREA_2000" vbProcedure="false">NA()</definedName>
    <definedName function="false" hidden="false" name="LISTAMAT" vbProcedure="false">NA()</definedName>
    <definedName function="false" hidden="false" name="Listamateriales" vbProcedure="false">NA()</definedName>
    <definedName function="false" hidden="false" name="_Fill" vbProcedure="false">NA()</definedName>
    <definedName function="false" hidden="false" name="_Key1" vbProcedure="false">NA()</definedName>
    <definedName function="false" hidden="false" name="_Order1" vbProcedure="false">255</definedName>
    <definedName function="false" hidden="false" name="_Sort" vbProcedure="false">NA()</definedName>
    <definedName function="false" hidden="false" name="_xlfn_IFERROR" vbProcedure="false">#REF!</definedName>
    <definedName function="false" hidden="false" name="_xlfn__FV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<sst xmlns="http://schemas.openxmlformats.org/spreadsheetml/2006/main" count="1091" uniqueCount="210">
  <si>
    <t xml:space="preserve">GERENCIA DE OPERACIÓN Y MANTENIMIENTO
SUPERINTENDENCIA DE OPERACIÓN Y MANTENIMIENTO ZONA 1
Reporte Horas Extraordinarias
</t>
  </si>
  <si>
    <t xml:space="preserve">Nombre del trabajador: </t>
  </si>
  <si>
    <t xml:space="preserve">PALACIOS MERINO ERNESTO VLADIMIR</t>
  </si>
  <si>
    <t xml:space="preserve">TOTAL</t>
  </si>
  <si>
    <t xml:space="preserve">Cuadrilla o Agencia:</t>
  </si>
  <si>
    <t xml:space="preserve">Jefe Zonal Zamora</t>
  </si>
  <si>
    <t xml:space="preserve">(horas reloj)</t>
  </si>
  <si>
    <t xml:space="preserve">Parte:</t>
  </si>
  <si>
    <t xml:space="preserve">                      Trabajador                                                         Jefe Zonal                                                          Ingeniero 1                            </t>
  </si>
  <si>
    <t xml:space="preserve">DIA</t>
  </si>
  <si>
    <t xml:space="preserve">FECHA</t>
  </si>
  <si>
    <t xml:space="preserve">Extra 1</t>
  </si>
  <si>
    <t xml:space="preserve">Fin 1</t>
  </si>
  <si>
    <t xml:space="preserve">Extra 2</t>
  </si>
  <si>
    <t xml:space="preserve">Fin 2</t>
  </si>
  <si>
    <t xml:space="preserve">Extra 3</t>
  </si>
  <si>
    <t xml:space="preserve">Fin 3</t>
  </si>
  <si>
    <t xml:space="preserve">Horas</t>
  </si>
  <si>
    <t xml:space="preserve">BREVE EXPLICACION</t>
  </si>
  <si>
    <t xml:space="preserve">OT # 175603. Chuchumbletza, apoyo a Grupo de Línea Energizada en cambio de secuencia de fases AP Bomboiza; medición y pruebas para comprobar secuencia de fases, se normaliza la topología de la red.</t>
  </si>
  <si>
    <t xml:space="preserve">OT # 175605. Tunduli, se coordina con personal de SEDEMI paso de cuerda manila en Torres de 69 kV; Se coordina maniobras con el Centro de Control.</t>
  </si>
  <si>
    <t xml:space="preserve">OT # 175610. Tunduli, se coordina con personal de SEDEMI paso de cuerda manila en Torres de 69 kV; Se coordina maniobras con el Centro de Control.</t>
  </si>
  <si>
    <t xml:space="preserve">RIOS RIOS FRANCISCO FERNANDO</t>
  </si>
  <si>
    <t xml:space="preserve">Cuadrilla Zamora</t>
  </si>
  <si>
    <t xml:space="preserve">OT # 173886. La Península, se aísla transformadores privados en mal estado, Est 70356, cambio de fusible de 8A-T, se normaliza el servicio al trafo # 16926 de 25KVA.</t>
  </si>
  <si>
    <t xml:space="preserve">OT # 174090. DIA FESTIVO “Viernes Santo”. Calle Diego de Vaca, en transformador 13903 se encuentra pararrayo en mal estado, se aísla y reestablece servicio. El Maní, Est 28669 RBV arrancada por conector en mal estado, se empalma y regula, se cambia conectores en bajante del trafo # 24441</t>
  </si>
  <si>
    <t xml:space="preserve">OT # 174212. Nambija, Est 194212 se arregla bajantes del transformador 22182,se rehabilita.</t>
  </si>
  <si>
    <t xml:space="preserve">OT # 175190. San Marcos, Med # 18-219157 falla interna. Jamboe Bajo, Med # 249208 acometida arrancada por vehículo, se empalma.</t>
  </si>
  <si>
    <t xml:space="preserve">OT # 175428. Quebrada de Cumbaratza, Med. 18-208984 acometida arrancada, se empalma.</t>
  </si>
  <si>
    <t xml:space="preserve">OT # 175503. Yaguarzongo, Med 1000418192 ajuste de conexiones y se habilita breaker. Nambija Bajo, Med # 18-232857 acometida en mal estado, se cambia.</t>
  </si>
  <si>
    <t xml:space="preserve">OT # 175529. Desde Namirez hasta Namirez Alto, se revisa LMV, no se encuentra novedades, en la Est 217381, se cambia fusible de 25A tipo T, fuertes lluvias en el sector.</t>
  </si>
  <si>
    <t xml:space="preserve">SILVA ARMIJOS ROMEL EDUARDO</t>
  </si>
  <si>
    <t xml:space="preserve">OT # 174606. San José Alto, se arregla punto caliente de la RBV, y acometida del medidor 18-250523</t>
  </si>
  <si>
    <t xml:space="preserve">OT # 175983. Buenaventura, en el medidor 28877 se ajusta conexiones. Timbara, arreglo de acometida de los medidores 1000391243 y 1000420312 desde Est 182055.</t>
  </si>
  <si>
    <t xml:space="preserve">OT # 175984. San Marcos, se arregla acometida arrancada, se asegura caja del medidor y se reinstala medidor 18-219157 Est 62337. Quebrada de Cumbaratza, se retira medidor en mal estado 18-208984, se arregla acometida arrancada Est 278752, queda provisionalmente con servicio sin medidor. Av. del Ejercito, Medidor 18-205705, falla general en una de las fases del Alimentador Zamora 2. Zamora, se revisa comunicaciones en el Reconectador Yaguarzongo Est 205353. Subestación Cumbaratza, se revisa y hace maniobras para recuperar comunicación con SCADA. Subestación Cumbaratza, se revisa y arregla CAP del patio de maniobras.</t>
  </si>
  <si>
    <t xml:space="preserve">OT # 175178. Soñaderos, Est 61916 se cambia tirafusible 25A-T, no se encuentra novedad; posible causa: descargas atmosféricas.</t>
  </si>
  <si>
    <t xml:space="preserve">LEON CUEVA LUIS ALBERTO</t>
  </si>
  <si>
    <t xml:space="preserve">OT # 174649. Namakuntza, se arregla acometida arrancada Med # 1000378694. mismo sector, arreglo de acometida arrancada maquinaria Med # 207282.</t>
  </si>
  <si>
    <t xml:space="preserve">OT # 174705. Barrio Pio Jaramillo, se cambia pararrayo dañado Trafo 19806. Puente Azul, se arregla acometida arrancada Med # 18-207820</t>
  </si>
  <si>
    <t xml:space="preserve">OT # 175648. El Retorno, se cambia fusible 6A-T Est 26900; Causa desconocida. El Tambo, Med. 271329 breaker con sulfatos, se despeja la falla y se normaliza.</t>
  </si>
  <si>
    <t xml:space="preserve">OT # 175752. Romerillos Bajo, se empalma acometida de 150m del medidor 0157864. Guaguayme Alto, medidor 1000419737, falla interna, se aísla e informa. Namirez Alto, se empalma neutro arrancado de la acometida Med # 179337, se empalma. Cumbaratza, Medidor 18518088, ajuste de conexiones, se habilita breaker.</t>
  </si>
  <si>
    <t xml:space="preserve">CASTILLO RODRIGUEZ JIMMY LEODAN</t>
  </si>
  <si>
    <t xml:space="preserve">ZHUNAULA GUAMAN VICTOR ANIBAL</t>
  </si>
  <si>
    <t xml:space="preserve">JARA NARVAEZ GALO SILVERIO</t>
  </si>
  <si>
    <t xml:space="preserve">Agencia Zamora</t>
  </si>
  <si>
    <t xml:space="preserve">OT # 174216. Timbara – Bellavista, Med # 276547 conexiones internas recalentadas, se aísla y normaliza el servicio eléctrico</t>
  </si>
  <si>
    <t xml:space="preserve">OT # 174212. Namakuntza, se rehabilita transformador 6420 causa desconocida. </t>
  </si>
  <si>
    <t xml:space="preserve">OT # 174577. En Kurintza se retira 3 medidores para suspensión definitiva Nro. 18-229733; 18-229734, 18-229735; Pernocta en Yacuambi</t>
  </si>
  <si>
    <t xml:space="preserve">OT # 175122. La Chacra se reubica y Restituye dos medidores de la Est 217884. Urbanización Gálvez, se instala S/O desde Est 36581.</t>
  </si>
  <si>
    <t xml:space="preserve">OT # 175166. Kurintza, se instala N/S 18-264157 desde la Est 272136. Pernocta en Yacuambi</t>
  </si>
  <si>
    <t xml:space="preserve">ORTEGA SERRANO STALIN JAVIER</t>
  </si>
  <si>
    <t xml:space="preserve">MORALES RIVERA LUIS ALBERTO</t>
  </si>
  <si>
    <t xml:space="preserve">Alumbrado Zamora</t>
  </si>
  <si>
    <t xml:space="preserve">OT # 174010. Arreglo de luminarias en cambio de horario</t>
  </si>
  <si>
    <t xml:space="preserve">OT # 174101. Arreglo de luminarias en cambio de horario</t>
  </si>
  <si>
    <t xml:space="preserve">OT # 174367. Arreglo de luminarias en cambio de horario</t>
  </si>
  <si>
    <t xml:space="preserve">OT # 174436. Arreglo de luminarias en cambio de horario</t>
  </si>
  <si>
    <t xml:space="preserve">OT # 174518. Arreglo de luminarias en cambio de horario</t>
  </si>
  <si>
    <t xml:space="preserve">OT # 174937. Yantzaza – Chimbutza, aplome de Est 262666 y 262671 (AP Los Encuentros)</t>
  </si>
  <si>
    <t xml:space="preserve">OT # 175593. Arreglo de luminarias en cambio de horario</t>
  </si>
  <si>
    <t xml:space="preserve">OT # 175695. Arreglo de luminarias en cambio de horario</t>
  </si>
  <si>
    <t xml:space="preserve">OT # 175788. Arreglo de luminarias en cambio de horario</t>
  </si>
  <si>
    <t xml:space="preserve">YAURE DIAZ RAMIRO GABRIEL</t>
  </si>
  <si>
    <t xml:space="preserve">CHALCO JARAMILLO JOE DAVID</t>
  </si>
  <si>
    <t xml:space="preserve">CABRERA CABRERA MIGUEL ISAURO</t>
  </si>
  <si>
    <t xml:space="preserve">LOZANO SIGCHO NAUN ENRIQUE</t>
  </si>
  <si>
    <t xml:space="preserve">Cuadrilla Yacuambi</t>
  </si>
  <si>
    <t xml:space="preserve">OT # 173911. Chapintza Bajo, se remolca el vehículo 4-52 en mal estado hasta la agencia Zamora, se equipa al vehículo 4-36. Traslado desde Zamora hasta Chapintza Bajo, Est 38958 se repone tirafusible de 25A-T se reestablece el servicio</t>
  </si>
  <si>
    <t xml:space="preserve">OT # 174123. Guadalupe, Est 179563 se rehabilita transformador 9859; Causa: vegetación, tala de arboles</t>
  </si>
  <si>
    <t xml:space="preserve">OT # 174157. San Ramón, acometida arrancada del Med 258811; Causa: vegetación, tala de arboles, se empalma 10m y se restablece el servicio</t>
  </si>
  <si>
    <t xml:space="preserve">OT # 174319. La Unión, se colabora en corte de árbol con tirfor y motosierra</t>
  </si>
  <si>
    <t xml:space="preserve">OT # 174650. Chivatos, Est 160448 se asegura con cuerdas y tala árboles, empalma y monta líneas, se rehabilita Trafo 17150</t>
  </si>
  <si>
    <t xml:space="preserve">OT # 174851. Ortega Alto, Est 176047 desbroce de vegetación, se libera, empalma y monta RBV rehabilitación Trafo 10563</t>
  </si>
  <si>
    <t xml:space="preserve">OT # 175069. Tamboloma, Est 218243, transformador # 23401 conectores perno-hendidos recalentado, se cambia 3 conectores RP.</t>
  </si>
  <si>
    <t xml:space="preserve">OT # 175403. Conchay, Med # 197261 acometida arrancada por maquinaria, se empalma; Retorno a Yacuambi.</t>
  </si>
  <si>
    <t xml:space="preserve">OT # 175436. Desde Namakuntza Alto a Piuntza de La Paz, Med # 245925 acometida antihurto arrancada por maquinaria, se empalma 10 metros.</t>
  </si>
  <si>
    <t xml:space="preserve">CABRERA GONZALEZ WILMER DAVID</t>
  </si>
  <si>
    <t xml:space="preserve">OT # 174528. Jembuentza, acometida del Med 1241739 arrancada por deslizamiento de tierra, se desmonta y repone 20mts, se normaliza el servicio</t>
  </si>
  <si>
    <t xml:space="preserve">OT # 174530. Cantón Yacuambi, recorrido y levantamiento de información de luminarias en mal estado. </t>
  </si>
  <si>
    <t xml:space="preserve">OT # 175816. Piuntza de Guadalupe, Est 29765 - 29764 neutro del AP Yacuambi arrancado por maquinaria, difícil acceso, se desmonta y recoge.</t>
  </si>
  <si>
    <t xml:space="preserve">OT # 175852. DÍA FESTIVO. Decreto 354. San Antonio de Guadalupe, Est 30603 se recorre y no se encuentra novedad, se reponer tira fusible de 25A -T; Causa: Descargas atmosféricas. Piuntza de Guadalupe, Est 29766 se encuentra tira fusible quemado, se hace una prueba de conexión 40A-T se normaliza. Conchay, mediante llamada se confirma servicio con el cliente, mismo daño. Retorno a Yacuambi</t>
  </si>
  <si>
    <t xml:space="preserve">RUIZ GUAMÁN NIXON ANDRÉS</t>
  </si>
  <si>
    <t xml:space="preserve">BARRAZUETA GONZAGA SERVIO GUILLERMO</t>
  </si>
  <si>
    <t xml:space="preserve">Cuadrilla Yantzaza</t>
  </si>
  <si>
    <t xml:space="preserve">OT # 174472. Yatzaza, se ejecuta Plan de Maniobras en AP Yantzaza III. Muchime, reguladores de MV se ejecuta maniobras en coordinación con SCADA.</t>
  </si>
  <si>
    <t xml:space="preserve">OT # 174867. En agencia Yantzaza se reúne personal de turno para dar atención a llamada de Centro de Control por apertura de AP Los Encuentros. Se coordinan maniobras con Centro de Control traslado al sector</t>
  </si>
  <si>
    <t xml:space="preserve">OT # 174940. Loja – Yantzaza, sector Chimbutza se colabora con trabajos de aplomada de estructura y normalizar tipología del AP Los Encuentros.</t>
  </si>
  <si>
    <t xml:space="preserve">OT # 175032. El Recreo, cambio de breaker de caja moldeada en mal estado Med # 290277. Guayabal, Est 35094, se rehabilita transformador 14001; Causa: líneas arrancadas.</t>
  </si>
  <si>
    <t xml:space="preserve">OT # 175048. Yantzaza, estructura chocado con energía, Est 27383 de 12 C; el causante contrata de manera particular la restitución, arreglo de medidores desprendidos de pared frontal. Montalvo, Est 223650, transformador 22068, se retira vegetación, se repone tirafusible de 0.7A-SR.</t>
  </si>
  <si>
    <t xml:space="preserve">OT # 175082. Ungumiatza, Izaje de estructura de 11R para restituir estructura en mal estado, empalme montado y regulado de LMV, se energiza y retorna a Yantzaza.</t>
  </si>
  <si>
    <t xml:space="preserve">OT # 175336. Muchime, Reguladores de Voltaje de Los Encuentros, se ejecuta maniobras en coordinación con SCADA</t>
  </si>
  <si>
    <t xml:space="preserve">OT # 175667. Santa Lucia, Est 33922, se rehabilita transformador 6674 de 5 KVA; Causa: acometida arrancada por matte de vía. La Libertad, Est38536, se rehabilita transformador 7176; Causa: sobrecarga.</t>
  </si>
  <si>
    <t xml:space="preserve">OT # 175725. Chichis, levantamiento de LMV 3F Est 31876, falla del Reconectador Bellavista. </t>
  </si>
  <si>
    <t xml:space="preserve">ALEJANDRO PACHAR AGUSTIN EDUARDO</t>
  </si>
  <si>
    <t xml:space="preserve">OT # 174482. La Centza, Est 181929, Medidor 240856 salida del breaker en mal estado, se cambia la salida (110 V)</t>
  </si>
  <si>
    <t xml:space="preserve">OT # 174572. El Salado, Est 31927 se rehabilita el trafo # 13324 de 3 KVA; Causa: sobrecarga. Ungumiatza, Est 30623, medidor 18-207672, se encuentra sin energía, se revisa la estructura 30619, se repone 1 tirafusible de 12 A-T; Se verifica que todo quede normalizado.</t>
  </si>
  <si>
    <t xml:space="preserve">OT # 174646. San Pablo, Est 215853, se repone tirafusible de 0,7A-SR Trafo # OID11425. Orquídeas, Est 93705, Med # 18-249530, breaker en mal estado, se habilita una fase.</t>
  </si>
  <si>
    <t xml:space="preserve">OT # 174948. Chimbutza, aplome de Est 262666, cambio de pernos pin, enderezada de crucetas, regulado de los tensores; maniobras en coordinación con SCADA</t>
  </si>
  <si>
    <t xml:space="preserve">OT # 175586. Los Encuentros, Falla del Reconectador Bellavista, se recorre y en la Est 31843 se abre seccionadores, se encuentra Est 31876 destruida por vehículo de altura. Se aísla en coordinación de SCADA.</t>
  </si>
  <si>
    <t xml:space="preserve">OCHOA JARAMILLO ANGEL CLAUDIO</t>
  </si>
  <si>
    <t xml:space="preserve">OT # 174595. San Antonio, Med # 18-255976, se ajusta conexiones, se cambia breaker. San Miguel, Med # 18-237378 se revisa y en la Est 215787 se retira vegetación y reemplaza fusible de 6A-T. El Paraíso, difícil acceso, por  margen de quebrada, acometida arrancada por caída de árbol, se repone. Retorno, Agencia El Pangui.</t>
  </si>
  <si>
    <t xml:space="preserve">OT # 174643. Los Encuentros, Est 30272 maniobras en coordinación con CC; En la Est 276560 se encuentra vegetación entre la Fase B y Cruceta, se retira y normaliza el AP Los Encuentros. San Roque, Barrio Catacocha, Est 34750, se reemplaza fusible de 1.3 SR y este se quema; se recorre encentra abundante vegetación, se planifica con la Cuadrilla. </t>
  </si>
  <si>
    <t xml:space="preserve">OT # 175513. Panguitza, estructura 2674569 de alumbrado público impactada, vehículo desconocido, se informa, se retira luminarias dañadas.</t>
  </si>
  <si>
    <t xml:space="preserve">OT # 175521. La Florida, Med # 20222059011 se corrigen conexiones y rehabilita el servicio. Muchime, Med # 18-35227 se encuentra daño interno, se indica al cliente.</t>
  </si>
  <si>
    <t xml:space="preserve">OT # 175551. Quirigue, Med # 18-245941, se revisa RBV, se observa fuga de aceite, el trasformador se encuentra quemado SICAP 12727.</t>
  </si>
  <si>
    <t xml:space="preserve">OT # 175553. Barrio Norte, Med # 1000400554 en la Est 273878 caja de distribución pre ensamblado recalentado. Se limpia y se ajusta conexiones queda normal el servicio eléctrico.</t>
  </si>
  <si>
    <t xml:space="preserve">OT # 175554. Y de Chicaña, Med # 18-230935 se revisa LM/T, se encuentra una hoja de Guarumbo la estructura 272276, se corta vegetación, se cambia tira fusible de 20A-T</t>
  </si>
  <si>
    <t xml:space="preserve">TORRES MALDONADO GALO DANIEL</t>
  </si>
  <si>
    <t xml:space="preserve">CORDOVA JIMENEZ JORGE LUIS</t>
  </si>
  <si>
    <t xml:space="preserve">OT # 174727. Vista Hermosa, Trafo 1725 kVA, se rehabilita; Causa: sobrecarga</t>
  </si>
  <si>
    <t xml:space="preserve">CUADRADO LEON RAUL EFREN</t>
  </si>
  <si>
    <t xml:space="preserve">Agencia Yantzaza</t>
  </si>
  <si>
    <t xml:space="preserve">OT # 174002. Ungumiatza, Est 30626, se encuentra RBV arrancada; Causa vegetación, se aísla para energizar Trafo 7080, quedan 2 viviendas sin servicio.</t>
  </si>
  <si>
    <t xml:space="preserve">OT # 174030. DÍA FESTIVO. “Viernes Santo”. Yantzaza – Zamora, se abastece de combustible (2-112). Jesús del Gran Poder, RBV rota, se empalma y regula, se rehabilita Trafo 24273. Traslado hasta Los Encuentros</t>
  </si>
  <si>
    <t xml:space="preserve">OT # 174054. Ungumiatza, postes 30626 y 30627 desbroce de vegetación, se empalma la RBV; se rehabilita trafo 7080. Barrio Guayabal, breaker sulfatados Med # 18-214982 y se normaliza el servicio</t>
  </si>
  <si>
    <t xml:space="preserve">OT # 174076. Chimbutza, se repone tirafusible 25A-K Est 62399; Causa: ave. Vía a Zarza, en Santa Lucía, trabajos en la vía, Est 33972 se repone tirafusible de 15A tipo T; no se encuentra novedad. El Zarza, Est 33963, Med # 1000024546, tubo doblado por volquete, el cliente ya ha tenido puesto tubo, se reubica el medidor. Retorno a Yantzaza.</t>
  </si>
  <si>
    <t xml:space="preserve">OT # 175884. Yawi, (Nangaritza) se realiza inspecciones para N/S, e inspecciones para reubicar medidores, en Nuevo Paraiso se instala N/S en tablero orden 59255333 medidor 18-263653 con 43m de 3x6.</t>
  </si>
  <si>
    <t xml:space="preserve">OT # 175885. Guayzimi se instala N/S en tablero metálico orden 59231067 medidor 18-264904 solo y se reubica el 1000364460.</t>
  </si>
  <si>
    <t xml:space="preserve">CHAMBA CANGO PEDRO ROSALINO</t>
  </si>
  <si>
    <t xml:space="preserve">OT # 175885. Guayzimi se instala N/S en tablero metálico orden 59231067 medidor 18-264904 solo y se reubica el 1000364460. En Yantzaza, atención de daños.</t>
  </si>
  <si>
    <t xml:space="preserve">POMA GUAMAN LUIS ANTONIO</t>
  </si>
  <si>
    <t xml:space="preserve">OT # 175502. Barrio Bolivar, Med # 233648 breaker en mal estado, se cambia y ajusta conexiones, queda normal. La Yona, Med # 29635 conexiones flojas, sin conectores talón, se ajusta conexiones queda normal. El Padmi, Med # 204107 se encuentra normal el servicio eléctrico, se llama al cliente y manifiesta que este servicio no lo están ocupando. Nankais, Med # 259070, acometida arrancada por maquinaria, se empalma Est 31656 queda normal.</t>
  </si>
  <si>
    <t xml:space="preserve">No registrado</t>
  </si>
  <si>
    <t xml:space="preserve">OT # 173844. Se Coordina trabajos con jefe inmediato y centro de control, se realiza maniobras de mallado interno del Reconectador Las Peñas con Nueva Tarqui y Neutralizada de Reguladores Gualaquiza.</t>
  </si>
  <si>
    <t xml:space="preserve">OT # 174118. San Carlos de las Minas – Yantzaza. estructura 235766 se realiza inspección para instalación de un Reconectador monofásico.</t>
  </si>
  <si>
    <t xml:space="preserve">OT # 174761. Yantzaza- Chuchumbletza. Chuchumbletza: Se coordina con centro de control se deshabilita recierre del Reconectador Santiago Paty y Recta El Pangui, se realiza maniobras de transferencia de carga.</t>
  </si>
  <si>
    <t xml:space="preserve">OT # 175038. Chuchumbletza: estructura 70397 - 193880 se cierra y abre puentes provisionales y se retira crucetas y línea así normalizando el sistema trabajos conjuntamente con el grupo de Edwin Poma. Laboran: LA, CB, RM, CO, SR de 08:00 a 18:00. Se pernota en el Pangui.</t>
  </si>
  <si>
    <t xml:space="preserve">OT # 175327. Chuchumbletza: estructura 1980063 - 179767 se abre puentes de variante monofásica y se retira línea y se habilita recierre del Reconectador Santiago Paty, trabajos conjuntamente con Grupo de Edwin Poma. Chuchumbletza - Subestación Yantzaza- Agencia Yantzaza. Laboran: LA,CB, RM, CO, SR de 08:00 a 20:50. Recorrido canasta 2-146: Inicial: 2506 FINAL: 2593</t>
  </si>
  <si>
    <t xml:space="preserve">OT # 175390. Chucumbleza:Se cierra Rec Chuchumbletza se mide secuencia de fase estructura 28533 cambio de pararrayo y cierre de puentes de puentes de media tensión, cierre de se fusibles para normalizar el sistema. Chuchumbletza - Subestación Yantzaza - Agencia Yantzaza. Laboran: LA, CB, RM, CO, SR de 08:00 a 20:20. Kilometraje canasta 2-146: Inicial: 2630 final: 2790. Materiales: 6 conectores ranuras paralelas, 1 cruceta de 1.20m, pie amigo de 0,75, 1 perno U, 1 perno de 5/8 x 18nro10, 2 seccionadores barra vertical, 1 cruceta de 2,40, 2 pernos de 1/2 x 1 1/2¨".</t>
  </si>
  <si>
    <t xml:space="preserve">OT # 175480. Gualaquiza: estructura S/N nuevas se coordina con centro de control realiza maniobras, se abre puentes para des energizar un tramo de línea para cambio de estructura chocado. Yanzaza: estructura 303796 se coordina con centro de control se realiza el cambio de estructura chocado con LE trabajos coordinados con el Ing. Andreo Quezada. Laboran: LA, CB, RM, SR de 08:00 a 20:00. CO permiso cargo a vacaciones. SE PERNOTA EN GUALAQUIZA. KILOMETRAJE CANASTA 2-146: INICIAL: 2790 FINAL: 2892 MATERIALES : 2 AISLADORES ROLLO. TIEMPO POR DESMONTAJE DE FIBRAS: 1 HORA POR CAMBIO DE POSTE CHOCADO.</t>
  </si>
  <si>
    <t xml:space="preserve">OT # 175639. Se coordina con centro de control y se realiza maniobras de neutralizar reguladores de voltaje, mallado interno de Rec Nueva Tarqui con las Rec Las Peñas.</t>
  </si>
  <si>
    <t xml:space="preserve">OT # 175717. Gualaquiza: estructura 193893 se instala puentes provisionales, para aislar línea de media tensión, para poder montar un transformador de 50KVA trifásico, con seccionadores fusible y pararrayos .</t>
  </si>
  <si>
    <t xml:space="preserve">AMARI ORDONEZ JUNIOR IVAN</t>
  </si>
  <si>
    <t xml:space="preserve">Cuadrilla Paquisha</t>
  </si>
  <si>
    <t xml:space="preserve">OT # 174048. Natenza, Est 32476 se revisa Med # 18-213414 se cambia el breaker en mal estado quedando normal</t>
  </si>
  <si>
    <t xml:space="preserve">OT # 174127. Cuje, se revisa las derivaciones en MV en la estructura 29135 y 289546 y se encuentran normal, no es posible contactar con la persona que reporta el reclamo.</t>
  </si>
  <si>
    <t xml:space="preserve">OT # 174423. Santa Elena, Est 34357 Trafo 14444 bloqueado, se revisa y se encuentra cortocircuito interno en el Med # 270991, se aísla la falla y se reconecta el transformador</t>
  </si>
  <si>
    <t xml:space="preserve">OT # 174471. Guaysimi, se recoge a los compañeros de la cuadrilla de Guaysimi, Traslado a El Miasi atención de daños</t>
  </si>
  <si>
    <t xml:space="preserve">OT # 174770. Traslado a Mariposa – Alto Nangaritza, atención de daños LMV arrancada. </t>
  </si>
  <si>
    <t xml:space="preserve">OT # 174999. Conguime, Est 34615 se arregla LMV arrancada por maquinaria, quedando normal el servicio eléctrico. Paquisha, Est 29691 Trafo 11499 se encuentra puentes del Med # 18-209151 en mal estado, se reconecta el breaker del Trafo</t>
  </si>
  <si>
    <t xml:space="preserve">OT # 175039. San Antonio de Natenza, Est 63047 Trafo 24469 se reconecta normal; Causa: desconocida</t>
  </si>
  <si>
    <t xml:space="preserve">OT # 175727. Los Almendros, se alza la LMV trifásica en la estructura 31876, falla del Reconectador Bellavista. </t>
  </si>
  <si>
    <t xml:space="preserve">SAMANIEGO INIGUEZ MAURO CRISTOBAL</t>
  </si>
  <si>
    <t xml:space="preserve">OT # 175382. El Milagro, Est 32658 se recorre LMV hasta 32696, sin novedad; Se repone tirafusible de 6A-T, se reestablece el servicio.</t>
  </si>
  <si>
    <t xml:space="preserve">OT # 175565. Yantzaza, Est 268537, Trafo 16229 de 50KVA bloqueado, red arrancada, falla mecánica, se empalma, monta y regula.</t>
  </si>
  <si>
    <t xml:space="preserve">GRANDA MORALES DANIEL ALEJANDRO</t>
  </si>
  <si>
    <t xml:space="preserve">OT # 174548. Yantzaza, Est 273881, se encuentra caja de distribución de RBV en malas condiciones, se cambia fase de acometida. San Francisco, Est 244982, acometida del Med # 18-226698 se cambia 5m, se rehabilita trafo # 13622</t>
  </si>
  <si>
    <t xml:space="preserve">OT # 174581. San Luis, Est 270680 , se rehabilita transformador 24432; Causa: Sobrecarga. Zumbi, Med # 18-215893, se encuentra puentes y conector en malas condiciones, se corrige en cable preensamblado.</t>
  </si>
  <si>
    <t xml:space="preserve">OT # 175505. Santa Cecilia, Est 34653, se recorre hasta Est 245424, sin novedad; Se repone tirafusible de 6A-T se reestablece el servicio. Guanwintza, Est 34643 Med #1262554 árbol desplomado sobre la acometida, desbroce de vegetación, se empalma 2m de tríplex, se rehabilita trafo 15268.</t>
  </si>
  <si>
    <t xml:space="preserve">OT # 175511. Santa Cecilia, se camina a la estructura 34657 (20min), mediciones de voltaje se encuentra transformador 11778 de 3 KVA en mal estado, se planifica cambio.</t>
  </si>
  <si>
    <t xml:space="preserve">JARAMILLO PINTA JORGE JOVANNY</t>
  </si>
  <si>
    <t xml:space="preserve">QUIROGA ORDONEZ CARLOS HERNAN</t>
  </si>
  <si>
    <t xml:space="preserve">Cuadrilla Guayzimi</t>
  </si>
  <si>
    <t xml:space="preserve">OT # 174393. Guayzimi – Yayu, Est 71535 estructura quebrado por caída de un árbol de raíz se coordina apoyo de Cuadrilla Paquisha</t>
  </si>
  <si>
    <t xml:space="preserve">OT # 174473. Yawi, cambio de estructura Nro. 71535 quebrado.</t>
  </si>
  <si>
    <t xml:space="preserve">OT # 174771. Mariposa, con apoyo de Cuadrilla Paquisha en bote por Río Nangaritza, LMV arrancada por caída de árbol</t>
  </si>
  <si>
    <t xml:space="preserve">OT # 175050. Guayzimi, Est 33062 seccionalizador abierto, se recorre LMV,  se energiza por secciones y no se encuentra novedad; Causa: desconocida. Guayzimi, Est 33010 acometida arrancada Med # 1000361578 por vehículo</t>
  </si>
  <si>
    <t xml:space="preserve">OT # 175259. De Nuevo Paraíso a Santa Rosa, Est 32723 se rehabilita trafo # 7197; Causa: Acometida cortocircuito y arrancada por vehículo.</t>
  </si>
  <si>
    <t xml:space="preserve">OT # 175662. Shaime, estructura 502012 -232622 se arregla LMT arrancada en la Est 61990 se repone tirafusible de 20A-K.</t>
  </si>
  <si>
    <t xml:space="preserve">CACAY LUZURIAGA ASDRUBAL HUMBERTO</t>
  </si>
  <si>
    <t xml:space="preserve">LARA JIMENEZ JAIME PATRICIO</t>
  </si>
  <si>
    <t xml:space="preserve">MENDIETA MENDIETA HENRRY ALEXANDER</t>
  </si>
  <si>
    <t xml:space="preserve">Cuadrilla El Pangui</t>
  </si>
  <si>
    <t xml:space="preserve">OT # 173908. San Miguel, Est 208978 se apoya a Cuadrilla Gualaquiza en cambio de estructura colapsada por choque de vehículo.</t>
  </si>
  <si>
    <t xml:space="preserve">OT # 173951. El Pangui, Est 227941 se rehabilita el trafo # 23783; Causa: desconocida</t>
  </si>
  <si>
    <t xml:space="preserve">OT # 174014. DIA FESTIVO “Viernes Santo”. Barrio 8 de Diciembre, Est 71319 se repone 1 tirafusible de 1,3A-SR para el tramo 18194; Causa: ave</t>
  </si>
  <si>
    <t xml:space="preserve">OT # 174070. Soldado Rivera, sector lejano a pie hasta Est 127591, se revisa y no se encuentra novedad, se repone tirafusible de 1A-SR; Causa: descargas atmosféricas</t>
  </si>
  <si>
    <t xml:space="preserve">OT # 174626. cantón El Pangui, recorrido y anota luminarias en mal estado. </t>
  </si>
  <si>
    <t xml:space="preserve">OT # 175002. La Yanúa, Est 180275 RBV arrancada por volqueta, se rehabilita el trafo 19822. Shakay, Est 32534, se repone tirafusible de 12 A- K; Causa: descargas atmosféricas. Tiukcha, a pie hasta la Est 247713, se repone tirafusible de 0.4A-SR trafo 24598 de 10 KVA a las 17:20. Traslado en Tiukcha a pie hasta el vehículo 4-118. Tiukcha, trafo 12478 de 5 KVA se encuentra en mal estado.</t>
  </si>
  <si>
    <t xml:space="preserve">OT # 175025. La Argelia, Est 127460, se repone tirafusible de 6 A-T; Causa: descargas Atmosféricas. Retorno a El Pangui</t>
  </si>
  <si>
    <t xml:space="preserve">OT # 175378. Reconectador Chuchumbletza, en coordinación con SCADA se ejecutan maniobras.</t>
  </si>
  <si>
    <t xml:space="preserve">OT # 175569. Monterrey, Est 127554, se repone tirafusible de 8A-K, no se encuentra novedad. </t>
  </si>
  <si>
    <t xml:space="preserve">VERA SANCHEZ LIVIO STALIN</t>
  </si>
  <si>
    <t xml:space="preserve">OT # 175468. Traslado de Monterrey a Chatus, caminando y llevando herramientas, arreglo RBV. Chatus, postes 127556 a 127558 se RBV arrancada por vegetación, se arregla y rehabilita Trafo # 12081, Retorno. En Catacocha, se cambia el tirafusible de 12A Tipo K, estructura 31777.</t>
  </si>
  <si>
    <t xml:space="preserve">OT # 175644. Sector Catacocha, se recorre y revisa la LMV en el poste 34723 arrancada la LMV por caída de árbol seco, se lo llama al compañero Fausto Ambuludi para que nos colabore</t>
  </si>
  <si>
    <t xml:space="preserve">DIAS CURAY ANDRES XAVIER</t>
  </si>
  <si>
    <t xml:space="preserve">AMBULUDI SILVA FAUSTO JOEL</t>
  </si>
  <si>
    <t xml:space="preserve">Agencia El Pangui</t>
  </si>
  <si>
    <t xml:space="preserve">OT # 174710. El Pangui, calle 24 de Mayo, acometida arrancada Med # 18-255815, se empalma y normaliza el servicio.</t>
  </si>
  <si>
    <t xml:space="preserve">OT # 175158. El Quimi, se arregla RBV arrancada por volquete entre los postes 195181 y 282295, se rehabilita Trafo # 16802</t>
  </si>
  <si>
    <t xml:space="preserve">OT # 175644. Catacocha, se empalma la línea, en la Est 31777 se cambia tirafusible de 12 A-K. El Pangui Est 36772 se cambia acometida del Med # 1000359715 ocasionado por vehículo desconocido.</t>
  </si>
  <si>
    <t xml:space="preserve">OT # 175640. Muchime, Est 30151 se arregla la L1 de la RBT arrancada entre las estructura 185399 y 185394; se restituye 20m de acometida arrancada del medidor 18-242643, se resetea el transformador 19420, se normaliza el servicio, traslado de Muchime a el Pangui</t>
  </si>
  <si>
    <t xml:space="preserve">SALDAÑA PRIETO ANTHONY MICHAEL</t>
  </si>
  <si>
    <t xml:space="preserve">GUZMAN BARROS MARCO FERNANDO</t>
  </si>
  <si>
    <t xml:space="preserve">Cuadrilla Gualaquiza</t>
  </si>
  <si>
    <t xml:space="preserve">OT # 174616. Sevilla, por disposición del Ing. Quezada, mediciones de voltaje en transformador 10622. Marginal Churuyacu, árbol seco caído sobre la RBV estructura 61863-62765, se corta árbol, se regula líneas. Barrio La Union, se repone tirafusible de 6A-T en Est 40595. Barrio Amistad, Est 303711 se rehabilita transformador 14582 de 30 kVA (3ø); Causa: sobrecarga</t>
  </si>
  <si>
    <t xml:space="preserve">OT # 174708. La Libertad, retiro de árbol sobre LMV, reposición tirafusible de  1,3A-SR Est 161135. Retorno a Gualaquiza</t>
  </si>
  <si>
    <t xml:space="preserve">OT # 174783. Yuma, Est 210213 se acometida arrancada por incendio forestal. </t>
  </si>
  <si>
    <t xml:space="preserve">OT # 174872. Gualaquiza, Parque Central, Est 40441 y 40442 se revisa RBV, se rehabilita breaker conectando normal el servicio; CAUSA sobrecarga.</t>
  </si>
  <si>
    <t xml:space="preserve">OT # 174936. Parroquia Mercedes Molina, registro de luminarias apagadas en el sector Sevilla- Tambo Viejo- Relleno Sanitario.</t>
  </si>
  <si>
    <t xml:space="preserve">OT # 175066. San Francisco, Est 224794 se revisa LMV y se repone tirafusible de 12A-T; Causa: descargas. Yawi, se revisa LMV, se repone fusible Est 128175 de 2,1 A-SR ; Causa: vegetación.</t>
  </si>
  <si>
    <t xml:space="preserve">OT # 175070. Yumaza, Med 251293 Est 62790 se encuentra sulfato en puente de la RBV, se arregla conexiones.</t>
  </si>
  <si>
    <t xml:space="preserve">OT # 175568. Av. Sixto Duran, estructura 303796 cambio de estructura en mal estado, se suelta las fibras ópticas, estructura 303711 se abre breaker de transformador 14582, desmontaje de lampara, acometidas, líneas. Se cambia y energiza</t>
  </si>
  <si>
    <t xml:space="preserve">LOJAN PAZ CARLOS DIEGO</t>
  </si>
  <si>
    <t xml:space="preserve">OT # 174310. La Pradera, se arregla acometida del Med # 240908, se rehabilita trafo 20916, retorno a Gualaquiza</t>
  </si>
  <si>
    <t xml:space="preserve">OT # 174313. Shiramentza, se revisa RBV, no se encuentra novedad, se cambia tirafusible de 1,3A-SR en Est 237230 trafo # 22357</t>
  </si>
  <si>
    <t xml:space="preserve">OT # 174486. Tutus, reposición de tirafusible 6A-T Est 91980; Causa: desconocida</t>
  </si>
  <si>
    <t xml:space="preserve">OT # 174555. Guabi Alto, se recupera medidor por caída de tubo, Med # 1223232, se  rehabilita trafo 21485, en la Est 1266959 de 6A-T. Buenos Aires, se repone tirafusible de 6A-T en Est 266482; Causa: desconocida</t>
  </si>
  <si>
    <t xml:space="preserve">OT # 174743. Nueva Zaruma, Est 127829 cambio tirafusible 8A-T; Causa: desconocida</t>
  </si>
  <si>
    <t xml:space="preserve">ALMEIDA ENCALADA MANUEL AGUSTIN</t>
  </si>
  <si>
    <t xml:space="preserve">OT # 175420. Bomboiza, acometida arrancada del Med # 1000407925, se reemplaza 18 mts de tríplex y se repone caja Anti Hurto, estructura 303905.</t>
  </si>
  <si>
    <t xml:space="preserve">OT # 175698. El Portón, se revisa LMV, se retira rama sobre la línea, se cambia tira fusible de 6 A-T en Est 303867. Proveeduría, En la Est 127155 se retira hoja seca entre línea y cruceta, Est 247703 se repone tira fusible de 15 A-T. Tutus, Est 261163 se repone tira fusible 0,4 A-SR trafo 24555; Causa desconocida. Bomboiza, se arregla acometida arrancada del Medidor 1000407667, Est 92437. Pumpuis, se cambia puentes y breaker del medidor 1000372494 se normaliza, Est 214287.</t>
  </si>
  <si>
    <t xml:space="preserve">OT # 175705. El Rosario, desbroce de vegetación, se cambia 45m de acometida Med # 1210860 estructura 128715.</t>
  </si>
  <si>
    <t xml:space="preserve">BUELE UYAGUARI CESAR CRISTIAN</t>
  </si>
  <si>
    <t xml:space="preserve">Agencia Gualaquiza</t>
  </si>
  <si>
    <t xml:space="preserve">OT # 173960. Guayusal, revisión y limpieza RBV Est 219763, rehabilitación transf 23459 de 10kva, estructura 255869; Causa: vegetación</t>
  </si>
  <si>
    <t xml:space="preserve">OT # 174080. DIA FESTIVO “Viernes Santo” Naichap, Est 037299, revisión y restitución medidor 194238 por 18-258039 borneras quemadas. Aguacate, Est 127921, revisión y restitución medidor 194324 por 18-258040</t>
  </si>
  <si>
    <t xml:space="preserve">OT # 174083. Guayusal, revisión LMV estructuras 291765 a 128632, sin encontrar novedad, en la Est 291765 cambio tirafusible 25A-T; Causa: descargas atmosféricas</t>
  </si>
  <si>
    <t xml:space="preserve">OT # 174084. Chumpias, revisión LMV estructuras 028535 a 065848, sin encontrar novedad, Est 028535 cambio tirafusible 25A-T; Causa: descargas atmosféricas</t>
  </si>
  <si>
    <t xml:space="preserve">CARTUCHE SILVA GERARDO PATRICIO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</si>
</sst>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h:mm"/>
    <numFmt numFmtId="167" formatCode="h:mm;@"/>
    <numFmt numFmtId="168" formatCode="[$-C0A]d/mmm\ yyyy;@"/>
  </numFmts>
  <fonts count="20">
    <font>
      <sz val="12"/>
      <name val="Courier Ne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"/>
      <color rgb="FF000000"/>
      <name val="Courier New"/>
      <family val="0"/>
      <charset val="134"/>
    </font>
    <font>
      <i val="true"/>
      <sz val="1"/>
      <color rgb="FF000000"/>
      <name val="Courier New"/>
      <family val="0"/>
      <charset val="134"/>
    </font>
    <font>
      <sz val="10"/>
      <name val="Arial"/>
      <family val="0"/>
      <charset val="134"/>
    </font>
    <font>
      <b val="true"/>
      <sz val="12"/>
      <name val="Franklin Gothic Book"/>
      <family val="2"/>
      <charset val="1"/>
    </font>
    <font>
      <b val="true"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 val="true"/>
      <sz val="18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21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21"/>
      <name val="Times New Roman"/>
      <family val="0"/>
      <charset val="134"/>
    </font>
    <font>
      <sz val="10"/>
      <name val="Calibri"/>
      <family val="2"/>
      <charset val="1"/>
    </font>
    <font>
      <b val="true"/>
      <sz val="12"/>
      <name val="Aptos Display"/>
      <family val="0"/>
      <charset val="134"/>
    </font>
    <font>
      <sz val="14"/>
      <name val="Calibri"/>
      <family val="2"/>
      <charset val="1"/>
    </font>
    <font>
      <sz val="12"/>
      <name val="Aptos Display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666699"/>
        <bgColor rgb="FF808080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>
        <color rgb="FF3465A4"/>
      </right>
      <top style="thin"/>
      <bottom/>
      <diagonal/>
    </border>
    <border diagonalUp="false" diagonalDown="false">
      <left/>
      <right style="thin">
        <color rgb="FF3465A4"/>
      </right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hair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/>
      <bottom style="hair">
        <color rgb="FF3465A4"/>
      </bottom>
      <diagonal/>
    </border>
    <border diagonalUp="false" diagonalDown="false">
      <left/>
      <right/>
      <top/>
      <bottom style="hair">
        <color rgb="FF3465A4"/>
      </bottom>
      <diagonal/>
    </border>
    <border diagonalUp="false" diagonalDown="false">
      <left style="thin">
        <color rgb="FF3465A4"/>
      </left>
      <right style="thin"/>
      <top style="thin">
        <color rgb="FF3465A4"/>
      </top>
      <bottom style="hair">
        <color rgb="FF3465A4"/>
      </bottom>
      <diagonal/>
    </border>
    <border diagonalUp="false" diagonalDown="false">
      <left/>
      <right style="thin">
        <color rgb="FF3465A4"/>
      </right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hair">
        <color rgb="FF3465A4"/>
      </top>
      <bottom style="hair">
        <color rgb="FF3465A4"/>
      </bottom>
      <diagonal/>
    </border>
    <border diagonalUp="false" diagonalDown="false">
      <left style="thin">
        <color rgb="FF3465A4"/>
      </left>
      <right style="thin"/>
      <top style="hair">
        <color rgb="FF3465A4"/>
      </top>
      <bottom style="hair">
        <color rgb="FF3465A4"/>
      </bottom>
      <diagonal/>
    </border>
    <border diagonalUp="false" diagonalDown="false">
      <left/>
      <right/>
      <top style="thin">
        <color rgb="FF3465A4"/>
      </top>
      <bottom style="thin">
        <color rgb="FF3465A4"/>
      </bottom>
      <diagonal/>
    </border>
    <border diagonalUp="false" diagonalDown="false">
      <left style="thin"/>
      <right/>
      <top style="hair">
        <color rgb="FF3465A4"/>
      </top>
      <bottom style="thin"/>
      <diagonal/>
    </border>
    <border diagonalUp="false" diagonalDown="false">
      <left/>
      <right style="thin">
        <color rgb="FF3465A4"/>
      </right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3465A4"/>
      </left>
      <right style="thin"/>
      <top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tru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true"/>
    </xf>
    <xf numFmtId="164" fontId="1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righ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8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8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9" fillId="0" borderId="9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8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9" fillId="0" borderId="1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9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F2" xfId="20"/>
    <cellStyle name="F3" xfId="21"/>
    <cellStyle name="F4" xfId="22"/>
    <cellStyle name="F5" xfId="23"/>
    <cellStyle name="F6" xfId="24"/>
    <cellStyle name="F7" xfId="25"/>
    <cellStyle name="F8" xfId="26"/>
    <cellStyle name="Normal 2" xfId="27"/>
  </cellStyles>
  <dxfs count="2">
    <dxf>
      <font>
        <color rgb="FFFFFFFF"/>
      </font>
      <fill>
        <patternFill>
          <bgColor rgb="FF8D8DB3"/>
        </patternFill>
      </fill>
    </dxf>
    <dxf>
      <font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666699"/>
      <rgbColor rgb="FF8D8DB3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J8" activeCellId="0" sqref="J8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</v>
      </c>
      <c r="I2" s="8" t="n">
        <f aca="false">SUM(K6:K36)</f>
        <v>46.175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</v>
      </c>
      <c r="I3" s="12" t="n">
        <f aca="false">SUM(I6:I36)</f>
        <v>0.980555555555556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28.3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0.708333333333333</v>
      </c>
      <c r="D29" s="34" t="n">
        <v>0.782638888888889</v>
      </c>
      <c r="E29" s="33"/>
      <c r="F29" s="34"/>
      <c r="G29" s="33"/>
      <c r="H29" s="34"/>
      <c r="I29" s="33" t="n">
        <f aca="false">SUM(D29-C29, F29-E29, H29-G29)</f>
        <v>0.0743055555555556</v>
      </c>
      <c r="J29" s="35" t="s">
        <v>19</v>
      </c>
      <c r="K29" s="1" t="n">
        <f aca="false">SUM((D29-C29)*1.5*24)</f>
        <v>2.675</v>
      </c>
    </row>
    <row r="30" customFormat="false" ht="23.1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0.291666666666667</v>
      </c>
      <c r="D30" s="34" t="n">
        <v>0.541666666666667</v>
      </c>
      <c r="E30" s="33" t="n">
        <v>0.583333333333333</v>
      </c>
      <c r="F30" s="34" t="n">
        <v>0.75</v>
      </c>
      <c r="G30" s="33"/>
      <c r="H30" s="34"/>
      <c r="I30" s="33" t="n">
        <f aca="false">SUM(D30-C30, F30-E30, H30-G30)</f>
        <v>0.416666666666667</v>
      </c>
      <c r="J30" s="35" t="s">
        <v>20</v>
      </c>
      <c r="K30" s="1" t="n">
        <f aca="false">SUM((D30-C30)*2*24,(F30-E30)*2*24)</f>
        <v>20</v>
      </c>
    </row>
    <row r="31" customFormat="false" ht="29.8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0.291666666666667</v>
      </c>
      <c r="D31" s="34" t="n">
        <v>0.541666666666667</v>
      </c>
      <c r="E31" s="33" t="n">
        <v>0.583333333333333</v>
      </c>
      <c r="F31" s="34" t="n">
        <v>0.708333333333333</v>
      </c>
      <c r="G31" s="33" t="n">
        <v>0.75</v>
      </c>
      <c r="H31" s="34" t="n">
        <v>0.864583333333333</v>
      </c>
      <c r="I31" s="33" t="n">
        <f aca="false">SUM(D31-C31, F31-E31, H31-G31)</f>
        <v>0.489583333333333</v>
      </c>
      <c r="J31" s="35" t="s">
        <v>21</v>
      </c>
      <c r="K31" s="1" t="n">
        <f aca="false">SUM((D31-C31)*2*24,(F31-E31)*2*24,(H31-G31)*2*24)</f>
        <v>23.5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2" activeCellId="0" sqref="C32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22</v>
      </c>
      <c r="I2" s="8" t="n">
        <f aca="false">SUM(K6:K36)</f>
        <v>43.0083333333333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23</v>
      </c>
      <c r="I3" s="45" t="n">
        <f aca="false">SUM(I6:I36)*24</f>
        <v>22.95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20.85" hidden="false" customHeight="false" outlineLevel="0" collapsed="false">
      <c r="A6" s="27" t="str">
        <f aca="false">IF(B6&gt;0,PROPER(TEXT(B6,"dddd")),"")</f>
        <v>Miércoles</v>
      </c>
      <c r="B6" s="28" t="n">
        <v>46113</v>
      </c>
      <c r="C6" s="29" t="n">
        <v>0.938194444444444</v>
      </c>
      <c r="D6" s="30" t="n">
        <v>0.98125</v>
      </c>
      <c r="E6" s="29"/>
      <c r="F6" s="30"/>
      <c r="G6" s="29"/>
      <c r="H6" s="30"/>
      <c r="I6" s="29" t="n">
        <f aca="false">SUM(D6-C6, F6-E6, H6-G6)</f>
        <v>0.0430555555555556</v>
      </c>
      <c r="J6" s="31" t="s">
        <v>24</v>
      </c>
      <c r="K6" s="1" t="n">
        <f aca="false">SUM((D6-C6)*1.5*24)</f>
        <v>1.55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26.8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0.384027777777778</v>
      </c>
      <c r="D8" s="34" t="n">
        <v>0.536805555555556</v>
      </c>
      <c r="E8" s="33" t="n">
        <v>0.651388888888889</v>
      </c>
      <c r="F8" s="34" t="n">
        <v>0.753472222222222</v>
      </c>
      <c r="G8" s="33"/>
      <c r="H8" s="34"/>
      <c r="I8" s="33" t="n">
        <f aca="false">SUM(D8-C8, F8-E8, H8-G8)</f>
        <v>0.254861111111111</v>
      </c>
      <c r="J8" s="35" t="s">
        <v>25</v>
      </c>
      <c r="K8" s="1" t="n">
        <f aca="false">SUM((D8-C8)*2*24,(F8-E8)*2*24)</f>
        <v>12.2333333333333</v>
      </c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0.708333333333333</v>
      </c>
      <c r="D13" s="34" t="n">
        <v>0.772222222222222</v>
      </c>
      <c r="E13" s="33"/>
      <c r="F13" s="34"/>
      <c r="G13" s="33"/>
      <c r="H13" s="34"/>
      <c r="I13" s="33" t="n">
        <f aca="false">SUM(D13-C13, F13-E13, H13-G13)</f>
        <v>0.0638888888888889</v>
      </c>
      <c r="J13" s="35" t="s">
        <v>26</v>
      </c>
      <c r="K13" s="1" t="n">
        <f aca="false">SUM((D13-C13)*1.5*24)</f>
        <v>2.3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0.708333333333333</v>
      </c>
      <c r="D26" s="34" t="n">
        <v>0.786805555555556</v>
      </c>
      <c r="E26" s="33"/>
      <c r="F26" s="34"/>
      <c r="G26" s="33"/>
      <c r="H26" s="34"/>
      <c r="I26" s="33" t="n">
        <f aca="false">SUM(D26-C26, F26-E26, H26-G26)</f>
        <v>0.0784722222222222</v>
      </c>
      <c r="J26" s="35" t="s">
        <v>27</v>
      </c>
      <c r="K26" s="1" t="n">
        <f aca="false">SUM((D26-C26)*1.5*24)</f>
        <v>2.825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0.729166666666667</v>
      </c>
      <c r="D29" s="34" t="n">
        <v>0.784722222222222</v>
      </c>
      <c r="E29" s="33"/>
      <c r="F29" s="34"/>
      <c r="G29" s="33"/>
      <c r="H29" s="34"/>
      <c r="I29" s="33" t="n">
        <f aca="false">SUM(D29-C29, F29-E29, H29-G29)</f>
        <v>0.0555555555555556</v>
      </c>
      <c r="J29" s="35" t="s">
        <v>28</v>
      </c>
      <c r="K29" s="1" t="n">
        <f aca="false">SUM((D29-C29)*1.5*24)</f>
        <v>2</v>
      </c>
    </row>
    <row r="30" customFormat="false" ht="26.8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0.364583333333333</v>
      </c>
      <c r="D30" s="34" t="n">
        <v>0.570833333333333</v>
      </c>
      <c r="E30" s="33" t="n">
        <v>0.870138888888889</v>
      </c>
      <c r="F30" s="34" t="n">
        <v>0.917361111111111</v>
      </c>
      <c r="G30" s="33" t="n">
        <v>0.925694444444445</v>
      </c>
      <c r="H30" s="34" t="n">
        <v>0.995138888888889</v>
      </c>
      <c r="I30" s="33" t="n">
        <f aca="false">SUM(D30-C30, F30-E30, H30-G30)</f>
        <v>0.322916666666667</v>
      </c>
      <c r="J30" s="35" t="s">
        <v>29</v>
      </c>
      <c r="K30" s="1" t="n">
        <f aca="false">SUM((D30-C30)*2*24,(F30-E30)*2*24,(H30-G30)*2*24)</f>
        <v>15.5</v>
      </c>
    </row>
    <row r="31" customFormat="false" ht="29.8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0.378472222222222</v>
      </c>
      <c r="D31" s="34" t="n">
        <v>0.463888888888889</v>
      </c>
      <c r="E31" s="33" t="n">
        <v>0.5625</v>
      </c>
      <c r="F31" s="34" t="n">
        <v>0.614583333333333</v>
      </c>
      <c r="G31" s="33"/>
      <c r="H31" s="34"/>
      <c r="I31" s="33" t="n">
        <f aca="false">SUM(D31-C31, F31-E31, H31-G31)</f>
        <v>0.1375</v>
      </c>
      <c r="J31" s="35" t="s">
        <v>30</v>
      </c>
      <c r="K31" s="1" t="n">
        <f aca="false">SUM((D31-C31)*2*24,(F31-E31)*2*24)</f>
        <v>6.6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31</v>
      </c>
      <c r="I2" s="8" t="n">
        <f aca="false">SUM(K6:K36)</f>
        <v>23.2916666666667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23</v>
      </c>
      <c r="I3" s="45" t="n">
        <f aca="false">SUM(I6:I36)*24</f>
        <v>14.6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0.861111111111111</v>
      </c>
      <c r="D9" s="34" t="n">
        <v>0.903472222222222</v>
      </c>
      <c r="E9" s="33"/>
      <c r="F9" s="34"/>
      <c r="G9" s="33"/>
      <c r="H9" s="34"/>
      <c r="I9" s="33" t="n">
        <f aca="false">SUM(D9-C9, F9-E9, H9-G9)</f>
        <v>0.0423611111111111</v>
      </c>
      <c r="J9" s="35" t="s">
        <v>32</v>
      </c>
      <c r="K9" s="1" t="n">
        <f aca="false">SUM((D9-C9)*2*24)</f>
        <v>2.03333333333333</v>
      </c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0.708333333333333</v>
      </c>
      <c r="D13" s="34" t="n">
        <v>0.772222222222222</v>
      </c>
      <c r="E13" s="33"/>
      <c r="F13" s="34"/>
      <c r="G13" s="33"/>
      <c r="H13" s="34"/>
      <c r="I13" s="33" t="n">
        <f aca="false">SUM(D13-C13, F13-E13, H13-G13)</f>
        <v>0.0638888888888889</v>
      </c>
      <c r="J13" s="35" t="s">
        <v>26</v>
      </c>
      <c r="K13" s="1" t="n">
        <f aca="false">SUM((D13-C13)*1.5*24)</f>
        <v>2.3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21.6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 t="n">
        <v>0.747222222222222</v>
      </c>
      <c r="D21" s="34" t="n">
        <v>0.805555555555556</v>
      </c>
      <c r="E21" s="33"/>
      <c r="F21" s="34"/>
      <c r="G21" s="33"/>
      <c r="H21" s="34"/>
      <c r="I21" s="33" t="n">
        <f aca="false">SUM(D21-C21, F21-E21, H21-G21)</f>
        <v>0.0583333333333333</v>
      </c>
      <c r="J21" s="35" t="s">
        <v>33</v>
      </c>
      <c r="K21" s="1" t="n">
        <f aca="false">SUM((D21-C21)*1.5*24)</f>
        <v>2.1</v>
      </c>
    </row>
    <row r="22" customFormat="false" ht="59.7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0.722222222222222</v>
      </c>
      <c r="D22" s="34" t="n">
        <v>0.958333333333333</v>
      </c>
      <c r="E22" s="33"/>
      <c r="F22" s="34"/>
      <c r="G22" s="33"/>
      <c r="H22" s="34"/>
      <c r="I22" s="33" t="n">
        <f aca="false">SUM(D22-C22, F22-E22, H22-G22)</f>
        <v>0.236111111111111</v>
      </c>
      <c r="J22" s="35" t="s">
        <v>34</v>
      </c>
      <c r="K22" s="1" t="n">
        <f aca="false">SUM((D22-C22)*1.5*24)</f>
        <v>8.5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fals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0.5875</v>
      </c>
      <c r="D24" s="34" t="n">
        <v>0.661111111111111</v>
      </c>
      <c r="E24" s="33"/>
      <c r="F24" s="34"/>
      <c r="G24" s="33"/>
      <c r="H24" s="34"/>
      <c r="I24" s="33" t="n">
        <f aca="false">SUM(D24-C24, F24-E24, H24-G24)</f>
        <v>0.0736111111111111</v>
      </c>
      <c r="J24" s="35" t="s">
        <v>35</v>
      </c>
      <c r="K24" s="1" t="n">
        <f aca="false">SUM((D24-C24)*2*24)</f>
        <v>3.53333333333333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0.708333333333333</v>
      </c>
      <c r="D26" s="34" t="n">
        <v>0.786805555555556</v>
      </c>
      <c r="E26" s="33"/>
      <c r="F26" s="34"/>
      <c r="G26" s="33"/>
      <c r="H26" s="34"/>
      <c r="I26" s="33" t="n">
        <f aca="false">SUM(D26-C26, F26-E26, H26-G26)</f>
        <v>0.0784722222222222</v>
      </c>
      <c r="J26" s="35" t="s">
        <v>27</v>
      </c>
      <c r="K26" s="1" t="n">
        <f aca="false">SUM((D26-C26)*1.5*24)</f>
        <v>2.825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0.729166666666667</v>
      </c>
      <c r="D29" s="34" t="n">
        <v>0.784722222222222</v>
      </c>
      <c r="E29" s="33"/>
      <c r="F29" s="34"/>
      <c r="G29" s="33"/>
      <c r="H29" s="34"/>
      <c r="I29" s="33" t="n">
        <f aca="false">SUM(D29-C29, F29-E29, H29-G29)</f>
        <v>0.0555555555555556</v>
      </c>
      <c r="J29" s="35" t="s">
        <v>28</v>
      </c>
      <c r="K29" s="1" t="n">
        <f aca="false">SUM((D29-C29)*1.5*24)</f>
        <v>2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D34" activeCellId="0" sqref="D34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36</v>
      </c>
      <c r="I2" s="8" t="n">
        <f aca="false">SUM(K6:K36)</f>
        <v>38.55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23</v>
      </c>
      <c r="I3" s="45" t="n">
        <f aca="false">SUM(I6:I36)*24</f>
        <v>22.6833333333333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0.708333333333333</v>
      </c>
      <c r="D13" s="34" t="n">
        <v>0.772222222222222</v>
      </c>
      <c r="E13" s="33" t="n">
        <v>0.847222222222222</v>
      </c>
      <c r="F13" s="34" t="n">
        <v>0.940972222222222</v>
      </c>
      <c r="G13" s="33"/>
      <c r="H13" s="34"/>
      <c r="I13" s="33" t="n">
        <f aca="false">SUM(D13-C13, F13-E13, H13-G13)</f>
        <v>0.157638888888889</v>
      </c>
      <c r="J13" s="35" t="s">
        <v>26</v>
      </c>
      <c r="K13" s="1" t="n">
        <f aca="false">SUM((D13-C13)*1.5*24,(F13-E13)*1.5*24)</f>
        <v>5.675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0.340277777777778</v>
      </c>
      <c r="D16" s="34" t="n">
        <v>0.569444444444444</v>
      </c>
      <c r="E16" s="33"/>
      <c r="F16" s="34"/>
      <c r="G16" s="33"/>
      <c r="H16" s="34"/>
      <c r="I16" s="33" t="n">
        <f aca="false">SUM(D16-C16, F16-E16, H16-G16)</f>
        <v>0.229166666666667</v>
      </c>
      <c r="J16" s="35" t="s">
        <v>37</v>
      </c>
      <c r="K16" s="1" t="n">
        <f aca="false">SUM((D16-C16)*2*24)</f>
        <v>11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0.542361111111111</v>
      </c>
      <c r="D17" s="34" t="n">
        <v>0.690277777777778</v>
      </c>
      <c r="E17" s="33"/>
      <c r="F17" s="34"/>
      <c r="G17" s="33"/>
      <c r="H17" s="34"/>
      <c r="I17" s="33" t="n">
        <f aca="false">SUM(D17-C17, F17-E17, H17-G17)</f>
        <v>0.147916666666667</v>
      </c>
      <c r="J17" s="35" t="s">
        <v>38</v>
      </c>
      <c r="K17" s="1" t="n">
        <f aca="false">SUM((D17-C17)*2*24)</f>
        <v>7.1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0.729166666666667</v>
      </c>
      <c r="D29" s="34" t="n">
        <v>0.784722222222222</v>
      </c>
      <c r="E29" s="33"/>
      <c r="F29" s="34"/>
      <c r="G29" s="33"/>
      <c r="H29" s="34"/>
      <c r="I29" s="33" t="n">
        <f aca="false">SUM(D29-C29, F29-E29, H29-G29)</f>
        <v>0.0555555555555556</v>
      </c>
      <c r="J29" s="35" t="s">
        <v>28</v>
      </c>
      <c r="K29" s="1" t="n">
        <f aca="false">SUM((D29-C29)*1.5*24)</f>
        <v>2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25.3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0.847916666666667</v>
      </c>
      <c r="E33" s="33"/>
      <c r="F33" s="34"/>
      <c r="G33" s="33"/>
      <c r="H33" s="34"/>
      <c r="I33" s="33" t="n">
        <f aca="false">SUM(D33-C33, F33-E33, H33-G33)</f>
        <v>0.139583333333333</v>
      </c>
      <c r="J33" s="35" t="s">
        <v>39</v>
      </c>
      <c r="K33" s="1" t="n">
        <f aca="false">SUM((D33-C33)*1.5*24)</f>
        <v>5.025</v>
      </c>
    </row>
    <row r="34" customFormat="false" ht="41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0.708333333333333</v>
      </c>
      <c r="D34" s="34" t="n">
        <v>0.923611111111111</v>
      </c>
      <c r="E34" s="33"/>
      <c r="F34" s="34"/>
      <c r="G34" s="33"/>
      <c r="H34" s="34"/>
      <c r="I34" s="33" t="n">
        <f aca="false">SUM(D34-C34, F34-E34, H34-G34)</f>
        <v>0.215277777777778</v>
      </c>
      <c r="J34" s="35" t="s">
        <v>40</v>
      </c>
      <c r="K34" s="1" t="n">
        <f aca="false">SUM((D34-C34)*1.5*24)</f>
        <v>7.75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41</v>
      </c>
      <c r="I2" s="8" t="n">
        <f aca="false">SUM(K6:K36)</f>
        <v>43.4916666666667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23</v>
      </c>
      <c r="I3" s="45" t="n">
        <f aca="false">SUM(I6:I36)*24</f>
        <v>26.6166666666667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20.85" hidden="false" customHeight="false" outlineLevel="0" collapsed="false">
      <c r="A6" s="27" t="str">
        <f aca="false">IF(B6&gt;0,PROPER(TEXT(B6,"dddd")),"")</f>
        <v>Miércoles</v>
      </c>
      <c r="B6" s="28" t="n">
        <v>46113</v>
      </c>
      <c r="C6" s="29" t="n">
        <v>0.938194444444444</v>
      </c>
      <c r="D6" s="30" t="n">
        <v>0.98125</v>
      </c>
      <c r="E6" s="29"/>
      <c r="F6" s="30"/>
      <c r="G6" s="29"/>
      <c r="H6" s="30"/>
      <c r="I6" s="29" t="n">
        <f aca="false">SUM(D6-C6, F6-E6, H6-G6)</f>
        <v>0.0430555555555556</v>
      </c>
      <c r="J6" s="31" t="s">
        <v>24</v>
      </c>
      <c r="K6" s="1" t="n">
        <f aca="false">SUM((D6-C6)*1.5*24)</f>
        <v>1.55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29.1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0.384027777777778</v>
      </c>
      <c r="D8" s="34" t="n">
        <v>0.536805555555556</v>
      </c>
      <c r="E8" s="33" t="n">
        <v>0.651388888888889</v>
      </c>
      <c r="F8" s="34" t="n">
        <v>0.753472222222222</v>
      </c>
      <c r="G8" s="33"/>
      <c r="H8" s="34"/>
      <c r="I8" s="33" t="n">
        <f aca="false">SUM(D8-C8, F8-E8, H8-G8)</f>
        <v>0.254861111111111</v>
      </c>
      <c r="J8" s="35" t="s">
        <v>25</v>
      </c>
      <c r="K8" s="1" t="n">
        <f aca="false">SUM((D8-C8)*2*24,(F8-E8)*2*24)</f>
        <v>12.2333333333333</v>
      </c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0.861111111111111</v>
      </c>
      <c r="D9" s="34" t="n">
        <v>0.903472222222222</v>
      </c>
      <c r="E9" s="33"/>
      <c r="F9" s="34"/>
      <c r="G9" s="33"/>
      <c r="H9" s="34"/>
      <c r="I9" s="33" t="n">
        <f aca="false">SUM(D9-C9, F9-E9, H9-G9)</f>
        <v>0.0423611111111111</v>
      </c>
      <c r="J9" s="35" t="s">
        <v>32</v>
      </c>
      <c r="K9" s="1" t="n">
        <f aca="false">SUM((D9-C9)*2*24)</f>
        <v>2.03333333333333</v>
      </c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0.708333333333333</v>
      </c>
      <c r="D13" s="34" t="n">
        <v>0.772222222222222</v>
      </c>
      <c r="E13" s="33"/>
      <c r="F13" s="34"/>
      <c r="G13" s="33"/>
      <c r="H13" s="34"/>
      <c r="I13" s="33" t="n">
        <f aca="false">SUM(D13-C13, F13-E13, H13-G13)</f>
        <v>0.0638888888888889</v>
      </c>
      <c r="J13" s="35" t="s">
        <v>26</v>
      </c>
      <c r="K13" s="1" t="n">
        <f aca="false">SUM((D13-C13)*1.5*24)</f>
        <v>2.3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29.8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 t="n">
        <v>0.747222222222222</v>
      </c>
      <c r="D21" s="34" t="n">
        <v>0.805555555555556</v>
      </c>
      <c r="E21" s="33"/>
      <c r="F21" s="34"/>
      <c r="G21" s="33"/>
      <c r="H21" s="34"/>
      <c r="I21" s="33" t="n">
        <f aca="false">SUM(D21-C21, F21-E21, H21-G21)</f>
        <v>0.0583333333333333</v>
      </c>
      <c r="J21" s="35" t="s">
        <v>33</v>
      </c>
      <c r="K21" s="1" t="n">
        <f aca="false">SUM((D21-C21)*1.5*24)</f>
        <v>2.1</v>
      </c>
    </row>
    <row r="22" customFormat="false" ht="59.7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0.722222222222222</v>
      </c>
      <c r="D22" s="34" t="n">
        <v>0.958333333333333</v>
      </c>
      <c r="E22" s="33"/>
      <c r="F22" s="34"/>
      <c r="G22" s="33"/>
      <c r="H22" s="34"/>
      <c r="I22" s="33" t="n">
        <f aca="false">SUM(D22-C22, F22-E22, H22-G22)</f>
        <v>0.236111111111111</v>
      </c>
      <c r="J22" s="35" t="s">
        <v>34</v>
      </c>
      <c r="K22" s="1" t="n">
        <f aca="false">SUM((D22-C22)*1.5*24)</f>
        <v>8.5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0.729166666666667</v>
      </c>
      <c r="D29" s="34" t="n">
        <v>0.784722222222222</v>
      </c>
      <c r="E29" s="33"/>
      <c r="F29" s="34"/>
      <c r="G29" s="33"/>
      <c r="H29" s="34"/>
      <c r="I29" s="33" t="n">
        <f aca="false">SUM(D29-C29, F29-E29, H29-G29)</f>
        <v>0.0555555555555556</v>
      </c>
      <c r="J29" s="35" t="s">
        <v>28</v>
      </c>
      <c r="K29" s="1" t="n">
        <f aca="false">SUM((D29-C29)*1.5*24)</f>
        <v>2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23.8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0.847916666666667</v>
      </c>
      <c r="E33" s="33"/>
      <c r="F33" s="34"/>
      <c r="G33" s="33"/>
      <c r="H33" s="34"/>
      <c r="I33" s="33" t="n">
        <f aca="false">SUM(D33-C33, F33-E33, H33-G33)</f>
        <v>0.139583333333333</v>
      </c>
      <c r="J33" s="35" t="s">
        <v>39</v>
      </c>
      <c r="K33" s="1" t="n">
        <f aca="false">SUM((D33-C33)*1.5*24)</f>
        <v>5.025</v>
      </c>
    </row>
    <row r="34" customFormat="false" ht="34.3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0.708333333333333</v>
      </c>
      <c r="D34" s="34" t="n">
        <v>0.923611111111111</v>
      </c>
      <c r="E34" s="33"/>
      <c r="F34" s="34"/>
      <c r="G34" s="33"/>
      <c r="H34" s="34"/>
      <c r="I34" s="33" t="n">
        <f aca="false">SUM(D34-C34, F34-E34, H34-G34)</f>
        <v>0.215277777777778</v>
      </c>
      <c r="J34" s="35" t="s">
        <v>40</v>
      </c>
      <c r="K34" s="1" t="n">
        <f aca="false">SUM((D34-C34)*1.5*24)</f>
        <v>7.75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42</v>
      </c>
      <c r="I2" s="8" t="n">
        <f aca="false">SUM(K6:K36)</f>
        <v>29.225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23</v>
      </c>
      <c r="I3" s="45" t="n">
        <f aca="false">SUM(I6:I36)*24</f>
        <v>15.8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0.708333333333333</v>
      </c>
      <c r="D13" s="34" t="n">
        <v>0.772222222222222</v>
      </c>
      <c r="E13" s="33"/>
      <c r="F13" s="34"/>
      <c r="G13" s="33"/>
      <c r="H13" s="34"/>
      <c r="I13" s="33" t="n">
        <f aca="false">SUM(D13-C13, F13-E13, H13-G13)</f>
        <v>0.0638888888888889</v>
      </c>
      <c r="J13" s="35" t="s">
        <v>26</v>
      </c>
      <c r="K13" s="1" t="n">
        <f aca="false">SUM((D13-C13)*1.5*24)</f>
        <v>2.3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0.708333333333333</v>
      </c>
      <c r="D26" s="34" t="n">
        <v>0.786805555555556</v>
      </c>
      <c r="E26" s="33"/>
      <c r="F26" s="34"/>
      <c r="G26" s="33"/>
      <c r="H26" s="34"/>
      <c r="I26" s="33" t="n">
        <f aca="false">SUM(D26-C26, F26-E26, H26-G26)</f>
        <v>0.0784722222222222</v>
      </c>
      <c r="J26" s="35" t="s">
        <v>27</v>
      </c>
      <c r="K26" s="1" t="n">
        <f aca="false">SUM((D26-C26)*1.5*24)</f>
        <v>2.825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0.729166666666667</v>
      </c>
      <c r="D29" s="34" t="n">
        <v>0.784722222222222</v>
      </c>
      <c r="E29" s="33"/>
      <c r="F29" s="34"/>
      <c r="G29" s="33"/>
      <c r="H29" s="34"/>
      <c r="I29" s="33" t="n">
        <f aca="false">SUM(D29-C29, F29-E29, H29-G29)</f>
        <v>0.0555555555555556</v>
      </c>
      <c r="J29" s="35" t="s">
        <v>28</v>
      </c>
      <c r="K29" s="1" t="n">
        <f aca="false">SUM((D29-C29)*1.5*24)</f>
        <v>2</v>
      </c>
    </row>
    <row r="30" customFormat="false" ht="23.8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0.364583333333333</v>
      </c>
      <c r="D30" s="34" t="n">
        <v>0.570833333333333</v>
      </c>
      <c r="E30" s="33" t="n">
        <v>0.870138888888889</v>
      </c>
      <c r="F30" s="34" t="n">
        <v>0.917361111111111</v>
      </c>
      <c r="G30" s="33" t="n">
        <v>0.925694444444445</v>
      </c>
      <c r="H30" s="34" t="n">
        <v>0.995138888888889</v>
      </c>
      <c r="I30" s="33" t="n">
        <f aca="false">SUM(D30-C30, F30-E30, H30-G30)</f>
        <v>0.322916666666667</v>
      </c>
      <c r="J30" s="35" t="s">
        <v>29</v>
      </c>
      <c r="K30" s="1" t="n">
        <f aca="false">SUM((D30-C30)*2*24,(F30-E30)*2*24,(H30-G30)*2*24)</f>
        <v>15.5</v>
      </c>
    </row>
    <row r="31" customFormat="false" ht="27.6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0.378472222222222</v>
      </c>
      <c r="D31" s="34" t="n">
        <v>0.463888888888889</v>
      </c>
      <c r="E31" s="33" t="n">
        <v>0.5625</v>
      </c>
      <c r="F31" s="34" t="n">
        <v>0.614583333333333</v>
      </c>
      <c r="G31" s="33"/>
      <c r="H31" s="34"/>
      <c r="I31" s="33" t="n">
        <f aca="false">SUM(D31-C31, F31-E31, H31-G31)</f>
        <v>0.1375</v>
      </c>
      <c r="J31" s="35" t="s">
        <v>30</v>
      </c>
      <c r="K31" s="1" t="n">
        <f aca="false">SUM((D31-C31)*2*24,(F31-E31)*2*24)</f>
        <v>6.6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43</v>
      </c>
      <c r="I2" s="8" t="n">
        <f aca="false">SUM(K6:K36)</f>
        <v>30.9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44</v>
      </c>
      <c r="I3" s="45" t="n">
        <f aca="false">SUM(I6:I36)*24</f>
        <v>17.5833333333333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0.708333333333333</v>
      </c>
      <c r="D12" s="34" t="n">
        <v>0.781944444444444</v>
      </c>
      <c r="E12" s="33"/>
      <c r="F12" s="34"/>
      <c r="G12" s="33"/>
      <c r="H12" s="34"/>
      <c r="I12" s="36" t="n">
        <f aca="false">SUM(D12-C12, F12-E12, H12-G12)</f>
        <v>0.0736111111111111</v>
      </c>
      <c r="J12" s="35" t="s">
        <v>45</v>
      </c>
      <c r="K12" s="1" t="n">
        <f aca="false">SUM((D12-C12)*1.5*24)</f>
        <v>2.65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0.847222222222222</v>
      </c>
      <c r="D13" s="34" t="n">
        <v>0.940972222222222</v>
      </c>
      <c r="E13" s="33"/>
      <c r="F13" s="34"/>
      <c r="G13" s="33"/>
      <c r="H13" s="34"/>
      <c r="I13" s="33" t="n">
        <f aca="false">SUM(D13-C13, F13-E13, H13-G13)</f>
        <v>0.09375</v>
      </c>
      <c r="J13" s="35" t="s">
        <v>46</v>
      </c>
      <c r="K13" s="1" t="n">
        <f aca="false">SUM((D13-C13)*1.5*24)</f>
        <v>3.375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0.340277777777778</v>
      </c>
      <c r="D16" s="34" t="n">
        <v>0.569444444444444</v>
      </c>
      <c r="E16" s="33"/>
      <c r="F16" s="34"/>
      <c r="G16" s="33"/>
      <c r="H16" s="34"/>
      <c r="I16" s="33" t="n">
        <f aca="false">SUM(D16-C16, F16-E16, H16-G16)</f>
        <v>0.229166666666667</v>
      </c>
      <c r="J16" s="35" t="s">
        <v>37</v>
      </c>
      <c r="K16" s="1" t="n">
        <f aca="false">SUM((D16-C16)*2*24)</f>
        <v>11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0.542361111111111</v>
      </c>
      <c r="D17" s="34" t="n">
        <v>0.690277777777778</v>
      </c>
      <c r="E17" s="33"/>
      <c r="F17" s="34"/>
      <c r="G17" s="33"/>
      <c r="H17" s="34"/>
      <c r="I17" s="33" t="n">
        <f aca="false">SUM(D17-C17, F17-E17, H17-G17)</f>
        <v>0.147916666666667</v>
      </c>
      <c r="J17" s="35" t="s">
        <v>38</v>
      </c>
      <c r="K17" s="1" t="n">
        <f aca="false">SUM((D17-C17)*2*24)</f>
        <v>7.1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0.774305555555556</v>
      </c>
      <c r="E18" s="33"/>
      <c r="F18" s="34"/>
      <c r="G18" s="33"/>
      <c r="H18" s="34"/>
      <c r="I18" s="33" t="n">
        <f aca="false">SUM(D18-C18, F18-E18, H18-G18)</f>
        <v>0.0659722222222222</v>
      </c>
      <c r="J18" s="35" t="s">
        <v>47</v>
      </c>
      <c r="K18" s="1" t="n">
        <f aca="false">SUM((D18-C18)*1.5*24)</f>
        <v>2.375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0.764583333333333</v>
      </c>
      <c r="E25" s="33"/>
      <c r="F25" s="34"/>
      <c r="G25" s="33"/>
      <c r="H25" s="34"/>
      <c r="I25" s="33" t="n">
        <f aca="false">SUM(D25-C25, F25-E25, H25-G25)</f>
        <v>0.05625</v>
      </c>
      <c r="J25" s="35" t="s">
        <v>48</v>
      </c>
      <c r="K25" s="1" t="n">
        <f aca="false">SUM((D25-C25)*1.5*24)</f>
        <v>2.025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0.708333333333333</v>
      </c>
      <c r="D26" s="34" t="n">
        <v>0.774305555555556</v>
      </c>
      <c r="E26" s="33"/>
      <c r="F26" s="34"/>
      <c r="G26" s="33"/>
      <c r="H26" s="34"/>
      <c r="I26" s="33" t="n">
        <f aca="false">SUM(D26-C26, F26-E26, H26-G26)</f>
        <v>0.0659722222222222</v>
      </c>
      <c r="J26" s="35" t="s">
        <v>49</v>
      </c>
      <c r="K26" s="1" t="n">
        <f aca="false">SUM((D26-C26)*1.5*24)</f>
        <v>2.375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50</v>
      </c>
      <c r="I2" s="8" t="n">
        <f aca="false">SUM(K6:K36)</f>
        <v>12.9583333333333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44</v>
      </c>
      <c r="I3" s="45" t="n">
        <f aca="false">SUM(I6:I36)*24</f>
        <v>8.05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0.708333333333333</v>
      </c>
      <c r="D12" s="34" t="n">
        <v>0.781944444444444</v>
      </c>
      <c r="E12" s="33"/>
      <c r="F12" s="34"/>
      <c r="G12" s="33"/>
      <c r="H12" s="34"/>
      <c r="I12" s="36" t="n">
        <f aca="false">SUM(D12-C12, F12-E12, H12-G12)</f>
        <v>0.0736111111111111</v>
      </c>
      <c r="J12" s="35" t="s">
        <v>45</v>
      </c>
      <c r="K12" s="1" t="n">
        <f aca="false">SUM((D12-C12)*1.5*24)</f>
        <v>2.65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0.774305555555556</v>
      </c>
      <c r="E18" s="33"/>
      <c r="F18" s="34"/>
      <c r="G18" s="33"/>
      <c r="H18" s="34"/>
      <c r="I18" s="33" t="n">
        <f aca="false">SUM(D18-C18, F18-E18, H18-G18)</f>
        <v>0.0659722222222222</v>
      </c>
      <c r="J18" s="35" t="s">
        <v>47</v>
      </c>
      <c r="K18" s="1" t="n">
        <f aca="false">SUM((D18-C18)*1.5*24)</f>
        <v>2.375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0.5875</v>
      </c>
      <c r="D24" s="34" t="n">
        <v>0.661111111111111</v>
      </c>
      <c r="E24" s="33"/>
      <c r="F24" s="34"/>
      <c r="G24" s="33"/>
      <c r="H24" s="34"/>
      <c r="I24" s="33" t="n">
        <f aca="false">SUM(D24-C24, F24-E24, H24-G24)</f>
        <v>0.0736111111111111</v>
      </c>
      <c r="J24" s="35" t="s">
        <v>35</v>
      </c>
      <c r="K24" s="1" t="n">
        <f aca="false">SUM((D24-C24)*2*24)</f>
        <v>3.53333333333333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0.764583333333333</v>
      </c>
      <c r="E25" s="33"/>
      <c r="F25" s="34"/>
      <c r="G25" s="33"/>
      <c r="H25" s="34"/>
      <c r="I25" s="33" t="n">
        <f aca="false">SUM(D25-C25, F25-E25, H25-G25)</f>
        <v>0.05625</v>
      </c>
      <c r="J25" s="35" t="s">
        <v>48</v>
      </c>
      <c r="K25" s="1" t="n">
        <f aca="false">SUM((D25-C25)*1.5*24)</f>
        <v>2.025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0.708333333333333</v>
      </c>
      <c r="D26" s="34" t="n">
        <v>0.774305555555556</v>
      </c>
      <c r="E26" s="33"/>
      <c r="F26" s="34"/>
      <c r="G26" s="33"/>
      <c r="H26" s="34"/>
      <c r="I26" s="33" t="n">
        <f aca="false">SUM(D26-C26, F26-E26, H26-G26)</f>
        <v>0.0659722222222222</v>
      </c>
      <c r="J26" s="35" t="s">
        <v>49</v>
      </c>
      <c r="K26" s="1" t="n">
        <f aca="false">SUM((D26-C26)*1.5*24)</f>
        <v>2.375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8" activeCellId="0" sqref="J18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51</v>
      </c>
      <c r="I2" s="8" t="n">
        <f aca="false">SUM(K6:K36)</f>
        <v>9.025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52</v>
      </c>
      <c r="I3" s="45" t="n">
        <f aca="false">SUM(I6:I36)*24</f>
        <v>26.0166666666667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0.791666666666667</v>
      </c>
      <c r="D11" s="34" t="n">
        <v>0.916666666666667</v>
      </c>
      <c r="E11" s="33"/>
      <c r="F11" s="34"/>
      <c r="G11" s="33"/>
      <c r="H11" s="34"/>
      <c r="I11" s="33" t="n">
        <f aca="false">SUM(D11-C11, F11-E11, H11-G11)</f>
        <v>0.125</v>
      </c>
      <c r="J11" s="35" t="s">
        <v>53</v>
      </c>
      <c r="K11" s="1" t="n">
        <f aca="false">SUM((D11-C11)*0.25*24)</f>
        <v>0.75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0.791666666666667</v>
      </c>
      <c r="D12" s="34" t="n">
        <v>0.916666666666667</v>
      </c>
      <c r="E12" s="33"/>
      <c r="F12" s="34"/>
      <c r="G12" s="33"/>
      <c r="H12" s="34"/>
      <c r="I12" s="36" t="n">
        <f aca="false">SUM(D12-C12, F12-E12, H12-G12)</f>
        <v>0.125</v>
      </c>
      <c r="J12" s="35" t="s">
        <v>54</v>
      </c>
      <c r="K12" s="1" t="n">
        <f aca="false">SUM((D12-C12)*0.25*24)</f>
        <v>0.75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0.791666666666667</v>
      </c>
      <c r="D13" s="34" t="n">
        <v>0.916666666666667</v>
      </c>
      <c r="E13" s="33"/>
      <c r="F13" s="34"/>
      <c r="G13" s="33"/>
      <c r="H13" s="34"/>
      <c r="I13" s="33" t="n">
        <f aca="false">SUM(D13-C13, F13-E13, H13-G13)</f>
        <v>0.125</v>
      </c>
      <c r="J13" s="35" t="s">
        <v>55</v>
      </c>
      <c r="K13" s="1" t="n">
        <f aca="false">SUM((D13-C13)*0.25*24)</f>
        <v>0.75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0.791666666666667</v>
      </c>
      <c r="D14" s="34" t="n">
        <v>0.916666666666667</v>
      </c>
      <c r="E14" s="33"/>
      <c r="F14" s="34"/>
      <c r="G14" s="33"/>
      <c r="H14" s="34"/>
      <c r="I14" s="33" t="n">
        <f aca="false">SUM(D14-C14, F14-E14, H14-G14)</f>
        <v>0.125</v>
      </c>
      <c r="J14" s="35" t="s">
        <v>56</v>
      </c>
      <c r="K14" s="1" t="n">
        <f aca="false">SUM((D14-C14)*0.25*24)</f>
        <v>0.75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0.791666666666667</v>
      </c>
      <c r="D15" s="34" t="n">
        <v>0.916666666666667</v>
      </c>
      <c r="E15" s="33"/>
      <c r="F15" s="34"/>
      <c r="G15" s="33"/>
      <c r="H15" s="34"/>
      <c r="I15" s="33" t="n">
        <f aca="false">SUM(D15-C15, F15-E15, H15-G15)</f>
        <v>0.125</v>
      </c>
      <c r="J15" s="35" t="s">
        <v>57</v>
      </c>
      <c r="K15" s="1" t="n">
        <f aca="false">SUM((D15-C15)*0.25*24)</f>
        <v>0.75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0.792361111111111</v>
      </c>
      <c r="E22" s="33"/>
      <c r="F22" s="34"/>
      <c r="G22" s="33"/>
      <c r="H22" s="34"/>
      <c r="I22" s="33" t="n">
        <f aca="false">SUM(D22-C22, F22-E22, H22-G22)</f>
        <v>0.0840277777777778</v>
      </c>
      <c r="J22" s="35" t="s">
        <v>58</v>
      </c>
      <c r="K22" s="1" t="n">
        <f aca="false">SUM((D22-C22)*1.5*24)</f>
        <v>3.025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0.791666666666667</v>
      </c>
      <c r="D32" s="34" t="n">
        <v>0.916666666666667</v>
      </c>
      <c r="E32" s="33"/>
      <c r="F32" s="34"/>
      <c r="G32" s="33"/>
      <c r="H32" s="34"/>
      <c r="I32" s="33" t="n">
        <f aca="false">SUM(D32-C32, F32-E32, H32-G32)</f>
        <v>0.125</v>
      </c>
      <c r="J32" s="35" t="s">
        <v>59</v>
      </c>
      <c r="K32" s="1" t="n">
        <f aca="false">SUM((D32-C32)*0.25*24)</f>
        <v>0.75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0.791666666666667</v>
      </c>
      <c r="D33" s="34" t="n">
        <v>0.916666666666667</v>
      </c>
      <c r="E33" s="33"/>
      <c r="F33" s="34"/>
      <c r="G33" s="33"/>
      <c r="H33" s="34"/>
      <c r="I33" s="33" t="n">
        <f aca="false">SUM(D33-C33, F33-E33, H33-G33)</f>
        <v>0.125</v>
      </c>
      <c r="J33" s="35" t="s">
        <v>60</v>
      </c>
      <c r="K33" s="1" t="n">
        <f aca="false">SUM((D33-C33)*0.25*24)</f>
        <v>0.75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0.791666666666667</v>
      </c>
      <c r="D34" s="34" t="n">
        <v>0.916666666666667</v>
      </c>
      <c r="E34" s="33"/>
      <c r="F34" s="34"/>
      <c r="G34" s="33"/>
      <c r="H34" s="34"/>
      <c r="I34" s="33" t="n">
        <f aca="false">SUM(D34-C34, F34-E34, H34-G34)</f>
        <v>0.125</v>
      </c>
      <c r="J34" s="35" t="s">
        <v>61</v>
      </c>
      <c r="K34" s="1" t="n">
        <f aca="false">SUM((D34-C34)*0.25*24)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62</v>
      </c>
      <c r="I2" s="8" t="n">
        <f aca="false">SUM(K6:K36)</f>
        <v>9.025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52</v>
      </c>
      <c r="I3" s="45" t="n">
        <f aca="false">SUM(I6:I36)*24</f>
        <v>26.0166666666667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0.791666666666667</v>
      </c>
      <c r="D11" s="34" t="n">
        <v>0.916666666666667</v>
      </c>
      <c r="E11" s="33"/>
      <c r="F11" s="34"/>
      <c r="G11" s="33"/>
      <c r="H11" s="34"/>
      <c r="I11" s="33" t="n">
        <f aca="false">SUM(D11-C11, F11-E11, H11-G11)</f>
        <v>0.125</v>
      </c>
      <c r="J11" s="35" t="s">
        <v>53</v>
      </c>
      <c r="K11" s="1" t="n">
        <f aca="false">SUM((D11-C11)*0.25*24)</f>
        <v>0.75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0.791666666666667</v>
      </c>
      <c r="D12" s="34" t="n">
        <v>0.916666666666667</v>
      </c>
      <c r="E12" s="33"/>
      <c r="F12" s="34"/>
      <c r="G12" s="33"/>
      <c r="H12" s="34"/>
      <c r="I12" s="36" t="n">
        <f aca="false">SUM(D12-C12, F12-E12, H12-G12)</f>
        <v>0.125</v>
      </c>
      <c r="J12" s="35" t="s">
        <v>54</v>
      </c>
      <c r="K12" s="1" t="n">
        <f aca="false">SUM((D12-C12)*0.25*24)</f>
        <v>0.75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0.791666666666667</v>
      </c>
      <c r="D13" s="34" t="n">
        <v>0.916666666666667</v>
      </c>
      <c r="E13" s="33"/>
      <c r="F13" s="34"/>
      <c r="G13" s="33"/>
      <c r="H13" s="34"/>
      <c r="I13" s="33" t="n">
        <f aca="false">SUM(D13-C13, F13-E13, H13-G13)</f>
        <v>0.125</v>
      </c>
      <c r="J13" s="35" t="s">
        <v>55</v>
      </c>
      <c r="K13" s="1" t="n">
        <f aca="false">SUM((D13-C13)*0.25*24)</f>
        <v>0.75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0.791666666666667</v>
      </c>
      <c r="D14" s="34" t="n">
        <v>0.916666666666667</v>
      </c>
      <c r="E14" s="33"/>
      <c r="F14" s="34"/>
      <c r="G14" s="33"/>
      <c r="H14" s="34"/>
      <c r="I14" s="33" t="n">
        <f aca="false">SUM(D14-C14, F14-E14, H14-G14)</f>
        <v>0.125</v>
      </c>
      <c r="J14" s="35" t="s">
        <v>56</v>
      </c>
      <c r="K14" s="1" t="n">
        <f aca="false">SUM((D14-C14)*0.25*24)</f>
        <v>0.75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0.791666666666667</v>
      </c>
      <c r="D15" s="34" t="n">
        <v>0.916666666666667</v>
      </c>
      <c r="E15" s="33"/>
      <c r="F15" s="34"/>
      <c r="G15" s="33"/>
      <c r="H15" s="34"/>
      <c r="I15" s="33" t="n">
        <f aca="false">SUM(D15-C15, F15-E15, H15-G15)</f>
        <v>0.125</v>
      </c>
      <c r="J15" s="35" t="s">
        <v>57</v>
      </c>
      <c r="K15" s="1" t="n">
        <f aca="false">SUM((D15-C15)*0.25*24)</f>
        <v>0.75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0.792361111111111</v>
      </c>
      <c r="E22" s="33"/>
      <c r="F22" s="34"/>
      <c r="G22" s="33"/>
      <c r="H22" s="34"/>
      <c r="I22" s="33" t="n">
        <f aca="false">SUM(D22-C22, F22-E22, H22-G22)</f>
        <v>0.0840277777777778</v>
      </c>
      <c r="J22" s="35" t="s">
        <v>58</v>
      </c>
      <c r="K22" s="1" t="n">
        <f aca="false">SUM((D22-C22)*1.5*24)</f>
        <v>3.025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0.791666666666667</v>
      </c>
      <c r="D32" s="34" t="n">
        <v>0.916666666666667</v>
      </c>
      <c r="E32" s="33"/>
      <c r="F32" s="34"/>
      <c r="G32" s="33"/>
      <c r="H32" s="34"/>
      <c r="I32" s="33" t="n">
        <f aca="false">SUM(D32-C32, F32-E32, H32-G32)</f>
        <v>0.125</v>
      </c>
      <c r="J32" s="35" t="s">
        <v>59</v>
      </c>
      <c r="K32" s="1" t="n">
        <f aca="false">SUM((D32-C32)*0.25*24)</f>
        <v>0.75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0.791666666666667</v>
      </c>
      <c r="D33" s="34" t="n">
        <v>0.916666666666667</v>
      </c>
      <c r="E33" s="33"/>
      <c r="F33" s="34"/>
      <c r="G33" s="33"/>
      <c r="H33" s="34"/>
      <c r="I33" s="33" t="n">
        <f aca="false">SUM(D33-C33, F33-E33, H33-G33)</f>
        <v>0.125</v>
      </c>
      <c r="J33" s="35" t="s">
        <v>60</v>
      </c>
      <c r="K33" s="1" t="n">
        <f aca="false">SUM((D33-C33)*0.25*24)</f>
        <v>0.75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0.791666666666667</v>
      </c>
      <c r="D34" s="34" t="n">
        <v>0.916666666666667</v>
      </c>
      <c r="E34" s="33"/>
      <c r="F34" s="34"/>
      <c r="G34" s="33"/>
      <c r="H34" s="34"/>
      <c r="I34" s="33" t="n">
        <f aca="false">SUM(D34-C34, F34-E34, H34-G34)</f>
        <v>0.125</v>
      </c>
      <c r="J34" s="35" t="s">
        <v>61</v>
      </c>
      <c r="K34" s="1" t="n">
        <f aca="false">SUM((D34-C34)*0.25*24)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63</v>
      </c>
      <c r="I2" s="8" t="n">
        <f aca="false">SUM(K6:K36)</f>
        <v>9.025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52</v>
      </c>
      <c r="I3" s="45" t="n">
        <f aca="false">SUM(I6:I36)*24</f>
        <v>26.0166666666667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0.791666666666667</v>
      </c>
      <c r="D11" s="34" t="n">
        <v>0.916666666666667</v>
      </c>
      <c r="E11" s="33"/>
      <c r="F11" s="34"/>
      <c r="G11" s="33"/>
      <c r="H11" s="34"/>
      <c r="I11" s="33" t="n">
        <f aca="false">SUM(D11-C11, F11-E11, H11-G11)</f>
        <v>0.125</v>
      </c>
      <c r="J11" s="35" t="s">
        <v>53</v>
      </c>
      <c r="K11" s="1" t="n">
        <f aca="false">SUM((D11-C11)*0.25*24)</f>
        <v>0.75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0.791666666666667</v>
      </c>
      <c r="D12" s="34" t="n">
        <v>0.916666666666667</v>
      </c>
      <c r="E12" s="33"/>
      <c r="F12" s="34"/>
      <c r="G12" s="33"/>
      <c r="H12" s="34"/>
      <c r="I12" s="36" t="n">
        <f aca="false">SUM(D12-C12, F12-E12, H12-G12)</f>
        <v>0.125</v>
      </c>
      <c r="J12" s="35" t="s">
        <v>54</v>
      </c>
      <c r="K12" s="1" t="n">
        <f aca="false">SUM((D12-C12)*0.25*24)</f>
        <v>0.75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0.791666666666667</v>
      </c>
      <c r="D13" s="34" t="n">
        <v>0.916666666666667</v>
      </c>
      <c r="E13" s="33"/>
      <c r="F13" s="34"/>
      <c r="G13" s="33"/>
      <c r="H13" s="34"/>
      <c r="I13" s="33" t="n">
        <f aca="false">SUM(D13-C13, F13-E13, H13-G13)</f>
        <v>0.125</v>
      </c>
      <c r="J13" s="35" t="s">
        <v>55</v>
      </c>
      <c r="K13" s="1" t="n">
        <f aca="false">SUM((D13-C13)*0.25*24)</f>
        <v>0.75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0.791666666666667</v>
      </c>
      <c r="D14" s="34" t="n">
        <v>0.916666666666667</v>
      </c>
      <c r="E14" s="33"/>
      <c r="F14" s="34"/>
      <c r="G14" s="33"/>
      <c r="H14" s="34"/>
      <c r="I14" s="33" t="n">
        <f aca="false">SUM(D14-C14, F14-E14, H14-G14)</f>
        <v>0.125</v>
      </c>
      <c r="J14" s="35" t="s">
        <v>56</v>
      </c>
      <c r="K14" s="1" t="n">
        <f aca="false">SUM((D14-C14)*0.25*24)</f>
        <v>0.75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0.791666666666667</v>
      </c>
      <c r="D15" s="34" t="n">
        <v>0.916666666666667</v>
      </c>
      <c r="E15" s="33"/>
      <c r="F15" s="34"/>
      <c r="G15" s="33"/>
      <c r="H15" s="34"/>
      <c r="I15" s="33" t="n">
        <f aca="false">SUM(D15-C15, F15-E15, H15-G15)</f>
        <v>0.125</v>
      </c>
      <c r="J15" s="35" t="s">
        <v>57</v>
      </c>
      <c r="K15" s="1" t="n">
        <f aca="false">SUM((D15-C15)*0.25*24)</f>
        <v>0.75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0.792361111111111</v>
      </c>
      <c r="E22" s="33"/>
      <c r="F22" s="34"/>
      <c r="G22" s="33"/>
      <c r="H22" s="34"/>
      <c r="I22" s="33" t="n">
        <f aca="false">SUM(D22-C22, F22-E22, H22-G22)</f>
        <v>0.0840277777777778</v>
      </c>
      <c r="J22" s="35" t="s">
        <v>58</v>
      </c>
      <c r="K22" s="1" t="n">
        <f aca="false">SUM((D22-C22)*1.5*24)</f>
        <v>3.025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0.791666666666667</v>
      </c>
      <c r="D32" s="34" t="n">
        <v>0.916666666666667</v>
      </c>
      <c r="E32" s="33"/>
      <c r="F32" s="34"/>
      <c r="G32" s="33"/>
      <c r="H32" s="34"/>
      <c r="I32" s="33" t="n">
        <f aca="false">SUM(D32-C32, F32-E32, H32-G32)</f>
        <v>0.125</v>
      </c>
      <c r="J32" s="35" t="s">
        <v>59</v>
      </c>
      <c r="K32" s="1" t="n">
        <f aca="false">SUM((D32-C32)*0.25*24)</f>
        <v>0.75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0.791666666666667</v>
      </c>
      <c r="D33" s="34" t="n">
        <v>0.916666666666667</v>
      </c>
      <c r="E33" s="33"/>
      <c r="F33" s="34"/>
      <c r="G33" s="33"/>
      <c r="H33" s="34"/>
      <c r="I33" s="33" t="n">
        <f aca="false">SUM(D33-C33, F33-E33, H33-G33)</f>
        <v>0.125</v>
      </c>
      <c r="J33" s="35" t="s">
        <v>60</v>
      </c>
      <c r="K33" s="1" t="n">
        <f aca="false">SUM((D33-C33)*0.25*24)</f>
        <v>0.75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0.791666666666667</v>
      </c>
      <c r="D34" s="34" t="n">
        <v>0.916666666666667</v>
      </c>
      <c r="E34" s="33"/>
      <c r="F34" s="34"/>
      <c r="G34" s="33"/>
      <c r="H34" s="34"/>
      <c r="I34" s="33" t="n">
        <f aca="false">SUM(D34-C34, F34-E34, H34-G34)</f>
        <v>0.125</v>
      </c>
      <c r="J34" s="35" t="s">
        <v>61</v>
      </c>
      <c r="K34" s="1" t="n">
        <f aca="false">SUM((D34-C34)*0.25*24)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64</v>
      </c>
      <c r="I2" s="8" t="n">
        <f aca="false">SUM(K6:K36)</f>
        <v>9.025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52</v>
      </c>
      <c r="I3" s="45" t="n">
        <f aca="false">SUM(I6:I36)*24</f>
        <v>26.0166666666667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0.791666666666667</v>
      </c>
      <c r="D11" s="34" t="n">
        <v>0.916666666666667</v>
      </c>
      <c r="E11" s="33"/>
      <c r="F11" s="34"/>
      <c r="G11" s="33"/>
      <c r="H11" s="34"/>
      <c r="I11" s="33" t="n">
        <f aca="false">SUM(D11-C11, F11-E11, H11-G11)</f>
        <v>0.125</v>
      </c>
      <c r="J11" s="35" t="s">
        <v>53</v>
      </c>
      <c r="K11" s="1" t="n">
        <f aca="false">SUM((D11-C11)*0.25*24)</f>
        <v>0.75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0.791666666666667</v>
      </c>
      <c r="D12" s="34" t="n">
        <v>0.916666666666667</v>
      </c>
      <c r="E12" s="33"/>
      <c r="F12" s="34"/>
      <c r="G12" s="33"/>
      <c r="H12" s="34"/>
      <c r="I12" s="36" t="n">
        <f aca="false">SUM(D12-C12, F12-E12, H12-G12)</f>
        <v>0.125</v>
      </c>
      <c r="J12" s="35" t="s">
        <v>54</v>
      </c>
      <c r="K12" s="1" t="n">
        <f aca="false">SUM((D12-C12)*0.25*24)</f>
        <v>0.75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0.791666666666667</v>
      </c>
      <c r="D13" s="34" t="n">
        <v>0.916666666666667</v>
      </c>
      <c r="E13" s="33"/>
      <c r="F13" s="34"/>
      <c r="G13" s="33"/>
      <c r="H13" s="34"/>
      <c r="I13" s="33" t="n">
        <f aca="false">SUM(D13-C13, F13-E13, H13-G13)</f>
        <v>0.125</v>
      </c>
      <c r="J13" s="35" t="s">
        <v>55</v>
      </c>
      <c r="K13" s="1" t="n">
        <f aca="false">SUM((D13-C13)*0.25*24)</f>
        <v>0.75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0.791666666666667</v>
      </c>
      <c r="D14" s="34" t="n">
        <v>0.916666666666667</v>
      </c>
      <c r="E14" s="33"/>
      <c r="F14" s="34"/>
      <c r="G14" s="33"/>
      <c r="H14" s="34"/>
      <c r="I14" s="33" t="n">
        <f aca="false">SUM(D14-C14, F14-E14, H14-G14)</f>
        <v>0.125</v>
      </c>
      <c r="J14" s="35" t="s">
        <v>56</v>
      </c>
      <c r="K14" s="1" t="n">
        <f aca="false">SUM((D14-C14)*0.25*24)</f>
        <v>0.75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0.791666666666667</v>
      </c>
      <c r="D15" s="34" t="n">
        <v>0.916666666666667</v>
      </c>
      <c r="E15" s="33"/>
      <c r="F15" s="34"/>
      <c r="G15" s="33"/>
      <c r="H15" s="34"/>
      <c r="I15" s="33" t="n">
        <f aca="false">SUM(D15-C15, F15-E15, H15-G15)</f>
        <v>0.125</v>
      </c>
      <c r="J15" s="35" t="s">
        <v>57</v>
      </c>
      <c r="K15" s="1" t="n">
        <f aca="false">SUM((D15-C15)*0.25*24)</f>
        <v>0.75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0.792361111111111</v>
      </c>
      <c r="E22" s="33"/>
      <c r="F22" s="34"/>
      <c r="G22" s="33"/>
      <c r="H22" s="34"/>
      <c r="I22" s="33" t="n">
        <f aca="false">SUM(D22-C22, F22-E22, H22-G22)</f>
        <v>0.0840277777777778</v>
      </c>
      <c r="J22" s="35" t="s">
        <v>58</v>
      </c>
      <c r="K22" s="1" t="n">
        <f aca="false">SUM((D22-C22)*1.5*24)</f>
        <v>3.025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0.791666666666667</v>
      </c>
      <c r="D32" s="34" t="n">
        <v>0.916666666666667</v>
      </c>
      <c r="E32" s="33"/>
      <c r="F32" s="34"/>
      <c r="G32" s="33"/>
      <c r="H32" s="34"/>
      <c r="I32" s="33" t="n">
        <f aca="false">SUM(D32-C32, F32-E32, H32-G32)</f>
        <v>0.125</v>
      </c>
      <c r="J32" s="35" t="s">
        <v>59</v>
      </c>
      <c r="K32" s="1" t="n">
        <f aca="false">SUM((D32-C32)*0.25*24)</f>
        <v>0.75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0.791666666666667</v>
      </c>
      <c r="D33" s="34" t="n">
        <v>0.916666666666667</v>
      </c>
      <c r="E33" s="33"/>
      <c r="F33" s="34"/>
      <c r="G33" s="33"/>
      <c r="H33" s="34"/>
      <c r="I33" s="33" t="n">
        <f aca="false">SUM(D33-C33, F33-E33, H33-G33)</f>
        <v>0.125</v>
      </c>
      <c r="J33" s="35" t="s">
        <v>60</v>
      </c>
      <c r="K33" s="1" t="n">
        <f aca="false">SUM((D33-C33)*0.25*24)</f>
        <v>0.75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0.791666666666667</v>
      </c>
      <c r="D34" s="34" t="n">
        <v>0.916666666666667</v>
      </c>
      <c r="E34" s="33"/>
      <c r="F34" s="34"/>
      <c r="G34" s="33"/>
      <c r="H34" s="34"/>
      <c r="I34" s="33" t="n">
        <f aca="false">SUM(D34-C34, F34-E34, H34-G34)</f>
        <v>0.125</v>
      </c>
      <c r="J34" s="35" t="s">
        <v>61</v>
      </c>
      <c r="K34" s="1" t="n">
        <f aca="false">SUM((D34-C34)*0.25*24)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5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65</v>
      </c>
      <c r="I2" s="8" t="n">
        <f aca="false">SUM(K6:K36)</f>
        <v>57.2583333333333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66</v>
      </c>
      <c r="I3" s="45" t="n">
        <f aca="false">SUM(I6:I36)*24</f>
        <v>34.4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24.6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0.708333333333333</v>
      </c>
      <c r="D6" s="30" t="n">
        <v>0.90625</v>
      </c>
      <c r="E6" s="29"/>
      <c r="F6" s="30"/>
      <c r="G6" s="29"/>
      <c r="H6" s="30"/>
      <c r="I6" s="29" t="n">
        <f aca="false">SUM(D6-C6, F6-E6, H6-G6)</f>
        <v>0.197916666666667</v>
      </c>
      <c r="J6" s="31" t="s">
        <v>67</v>
      </c>
      <c r="K6" s="1" t="n">
        <f aca="false">SUM((D6-C6)*1.5*24)</f>
        <v>7.125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0.826388888888889</v>
      </c>
      <c r="D9" s="34" t="n">
        <v>0.958333333333333</v>
      </c>
      <c r="E9" s="33"/>
      <c r="F9" s="34"/>
      <c r="G9" s="33"/>
      <c r="H9" s="34"/>
      <c r="I9" s="33" t="n">
        <f aca="false">SUM(D9-C9, F9-E9, H9-G9)</f>
        <v>0.131944444444444</v>
      </c>
      <c r="J9" s="35" t="s">
        <v>68</v>
      </c>
      <c r="K9" s="1" t="n">
        <f aca="false">SUM((D9-C9)*2*24)</f>
        <v>6.33333333333333</v>
      </c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0.375</v>
      </c>
      <c r="D10" s="34" t="n">
        <v>0.569444444444444</v>
      </c>
      <c r="E10" s="33"/>
      <c r="F10" s="34"/>
      <c r="G10" s="33"/>
      <c r="H10" s="34"/>
      <c r="I10" s="33" t="n">
        <f aca="false">SUM(D10-C10, F10-E10, H10-G10)</f>
        <v>0.194444444444444</v>
      </c>
      <c r="J10" s="35" t="s">
        <v>69</v>
      </c>
      <c r="K10" s="1" t="n">
        <f aca="false">SUM((D10-C10)*2*24)</f>
        <v>9.33333333333333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0.256944444444444</v>
      </c>
      <c r="D13" s="34" t="n">
        <v>0.333333333333333</v>
      </c>
      <c r="E13" s="33"/>
      <c r="F13" s="34"/>
      <c r="G13" s="33"/>
      <c r="H13" s="34"/>
      <c r="I13" s="33" t="n">
        <f aca="false">SUM(D13-C13, F13-E13, H13-G13)</f>
        <v>0.0763888888888889</v>
      </c>
      <c r="J13" s="35" t="s">
        <v>70</v>
      </c>
      <c r="K13" s="1" t="n">
        <f aca="false">SUM((D13-C13)*1.5*24)</f>
        <v>2.75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0.875</v>
      </c>
      <c r="E18" s="33"/>
      <c r="F18" s="34"/>
      <c r="G18" s="33"/>
      <c r="H18" s="34"/>
      <c r="I18" s="33" t="n">
        <f aca="false">SUM(D18-C18, F18-E18, H18-G18)</f>
        <v>0.166666666666667</v>
      </c>
      <c r="J18" s="35" t="s">
        <v>71</v>
      </c>
      <c r="K18" s="1" t="n">
        <f aca="false">SUM((D18-C18)*1.5*24)</f>
        <v>6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0.708333333333333</v>
      </c>
      <c r="D20" s="34" t="n">
        <v>0.840972222222222</v>
      </c>
      <c r="E20" s="33"/>
      <c r="F20" s="34"/>
      <c r="G20" s="33"/>
      <c r="H20" s="34"/>
      <c r="I20" s="33" t="n">
        <f aca="false">SUM(D20-C20, F20-E20, H20-G20)</f>
        <v>0.132638888888889</v>
      </c>
      <c r="J20" s="35" t="s">
        <v>72</v>
      </c>
      <c r="K20" s="1" t="n">
        <f aca="false">SUM((D20-C20)*1.5*24)</f>
        <v>4.775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0.443055555555556</v>
      </c>
      <c r="D24" s="34" t="n">
        <v>0.588194444444445</v>
      </c>
      <c r="E24" s="33"/>
      <c r="F24" s="34"/>
      <c r="G24" s="33"/>
      <c r="H24" s="34"/>
      <c r="I24" s="33" t="n">
        <f aca="false">SUM(D24-C24, F24-E24, H24-G24)</f>
        <v>0.145138888888889</v>
      </c>
      <c r="J24" s="35" t="s">
        <v>73</v>
      </c>
      <c r="K24" s="1" t="n">
        <f aca="false">SUM((D24-C24)*2*24)</f>
        <v>6.96666666666667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0.708333333333333</v>
      </c>
      <c r="D28" s="34" t="n">
        <v>0.800694444444445</v>
      </c>
      <c r="E28" s="33" t="n">
        <v>0.828472222222222</v>
      </c>
      <c r="F28" s="34" t="n">
        <v>0.999305555555556</v>
      </c>
      <c r="G28" s="33"/>
      <c r="H28" s="34"/>
      <c r="I28" s="33" t="n">
        <f aca="false">SUM(D28-C28, F28-E28, H28-G28)</f>
        <v>0.263194444444444</v>
      </c>
      <c r="J28" s="35" t="s">
        <v>74</v>
      </c>
      <c r="K28" s="1" t="n">
        <f aca="false">SUM((D28-C28)*1.5*24,(F28-E28)*1.5*24)</f>
        <v>9.475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0.708333333333333</v>
      </c>
      <c r="D29" s="34" t="n">
        <v>0.833333333333333</v>
      </c>
      <c r="E29" s="33"/>
      <c r="F29" s="34"/>
      <c r="G29" s="33"/>
      <c r="H29" s="34"/>
      <c r="I29" s="33" t="n">
        <f aca="false">SUM(D29-C29, F29-E29, H29-G29)</f>
        <v>0.125</v>
      </c>
      <c r="J29" s="35" t="s">
        <v>75</v>
      </c>
      <c r="K29" s="1" t="n">
        <f aca="false">SUM((D29-C29)*1.5*24)</f>
        <v>4.5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D14" colorId="64" zoomScale="100" zoomScaleNormal="100" zoomScalePageLayoutView="100" workbookViewId="0">
      <selection pane="topLeft" activeCell="J35" activeCellId="0" sqref="J35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76</v>
      </c>
      <c r="I2" s="8" t="n">
        <f aca="false">SUM(K6:K36)</f>
        <v>72.35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66</v>
      </c>
      <c r="I3" s="45" t="n">
        <f aca="false">SUM(I6:I36)*24</f>
        <v>43.15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23.1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0.708333333333333</v>
      </c>
      <c r="D6" s="30" t="n">
        <v>0.90625</v>
      </c>
      <c r="E6" s="29"/>
      <c r="F6" s="30"/>
      <c r="G6" s="29"/>
      <c r="H6" s="30"/>
      <c r="I6" s="29" t="n">
        <f aca="false">SUM(D6-C6, F6-E6, H6-G6)</f>
        <v>0.197916666666667</v>
      </c>
      <c r="J6" s="31" t="s">
        <v>67</v>
      </c>
      <c r="K6" s="1" t="n">
        <f aca="false">SUM((D6-C6)*1.5*24)</f>
        <v>7.125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0.826388888888889</v>
      </c>
      <c r="D9" s="34" t="n">
        <v>0.958333333333333</v>
      </c>
      <c r="E9" s="33"/>
      <c r="F9" s="34"/>
      <c r="G9" s="33"/>
      <c r="H9" s="34"/>
      <c r="I9" s="33" t="n">
        <f aca="false">SUM(D9-C9, F9-E9, H9-G9)</f>
        <v>0.131944444444444</v>
      </c>
      <c r="J9" s="35" t="s">
        <v>68</v>
      </c>
      <c r="K9" s="1" t="n">
        <f aca="false">SUM((D9-C9)*2*24)</f>
        <v>6.33333333333333</v>
      </c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0.375</v>
      </c>
      <c r="D10" s="34" t="n">
        <v>0.569444444444444</v>
      </c>
      <c r="E10" s="33"/>
      <c r="F10" s="34"/>
      <c r="G10" s="33"/>
      <c r="H10" s="34"/>
      <c r="I10" s="33" t="n">
        <f aca="false">SUM(D10-C10, F10-E10, H10-G10)</f>
        <v>0.194444444444444</v>
      </c>
      <c r="J10" s="35" t="s">
        <v>69</v>
      </c>
      <c r="K10" s="1" t="n">
        <f aca="false">SUM((D10-C10)*2*24)</f>
        <v>9.33333333333333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0.256944444444444</v>
      </c>
      <c r="D13" s="34" t="n">
        <v>0.333333333333333</v>
      </c>
      <c r="E13" s="33"/>
      <c r="F13" s="34"/>
      <c r="G13" s="33"/>
      <c r="H13" s="34"/>
      <c r="I13" s="33" t="n">
        <f aca="false">SUM(D13-C13, F13-E13, H13-G13)</f>
        <v>0.0763888888888889</v>
      </c>
      <c r="J13" s="35" t="s">
        <v>70</v>
      </c>
      <c r="K13" s="1" t="n">
        <f aca="false">SUM((D13-C13)*1.5*24)</f>
        <v>2.75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0.833333333333333</v>
      </c>
      <c r="D14" s="34" t="n">
        <v>0.934027777777778</v>
      </c>
      <c r="E14" s="33"/>
      <c r="F14" s="34"/>
      <c r="G14" s="33"/>
      <c r="H14" s="34"/>
      <c r="I14" s="33" t="n">
        <f aca="false">SUM(D14-C14, F14-E14, H14-G14)</f>
        <v>0.100694444444444</v>
      </c>
      <c r="J14" s="35" t="s">
        <v>77</v>
      </c>
      <c r="K14" s="1" t="n">
        <f aca="false">SUM((D14-C14)*1.5*24)</f>
        <v>3.625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0.802083333333333</v>
      </c>
      <c r="D15" s="34" t="n">
        <v>0.899305555555556</v>
      </c>
      <c r="E15" s="33"/>
      <c r="F15" s="34"/>
      <c r="G15" s="33"/>
      <c r="H15" s="34"/>
      <c r="I15" s="33" t="n">
        <f aca="false">SUM(D15-C15, F15-E15, H15-G15)</f>
        <v>0.0972222222222222</v>
      </c>
      <c r="J15" s="35" t="s">
        <v>78</v>
      </c>
      <c r="K15" s="1" t="n">
        <f aca="false">SUM((D15-C15)*1.5*24)</f>
        <v>3.5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0.875</v>
      </c>
      <c r="E18" s="33"/>
      <c r="F18" s="34"/>
      <c r="G18" s="33"/>
      <c r="H18" s="34"/>
      <c r="I18" s="33" t="n">
        <f aca="false">SUM(D18-C18, F18-E18, H18-G18)</f>
        <v>0.166666666666667</v>
      </c>
      <c r="J18" s="35" t="s">
        <v>71</v>
      </c>
      <c r="K18" s="1" t="n">
        <f aca="false">SUM((D18-C18)*1.5*24)</f>
        <v>6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0.708333333333333</v>
      </c>
      <c r="D20" s="34" t="n">
        <v>0.840972222222222</v>
      </c>
      <c r="E20" s="33"/>
      <c r="F20" s="34"/>
      <c r="G20" s="33"/>
      <c r="H20" s="34"/>
      <c r="I20" s="33" t="n">
        <f aca="false">SUM(D20-C20, F20-E20, H20-G20)</f>
        <v>0.132638888888889</v>
      </c>
      <c r="J20" s="35" t="s">
        <v>72</v>
      </c>
      <c r="K20" s="1" t="n">
        <f aca="false">SUM((D20-C20)*1.5*24)</f>
        <v>4.775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0.443055555555556</v>
      </c>
      <c r="D24" s="34" t="n">
        <v>0.588194444444445</v>
      </c>
      <c r="E24" s="33"/>
      <c r="F24" s="34"/>
      <c r="G24" s="33"/>
      <c r="H24" s="34"/>
      <c r="I24" s="33" t="n">
        <f aca="false">SUM(D24-C24, F24-E24, H24-G24)</f>
        <v>0.145138888888889</v>
      </c>
      <c r="J24" s="35" t="s">
        <v>73</v>
      </c>
      <c r="K24" s="1" t="n">
        <f aca="false">SUM((D24-C24)*2*24)</f>
        <v>6.96666666666667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0.708333333333333</v>
      </c>
      <c r="D28" s="34" t="n">
        <v>0.800694444444445</v>
      </c>
      <c r="E28" s="33"/>
      <c r="F28" s="34"/>
      <c r="G28" s="33"/>
      <c r="H28" s="34"/>
      <c r="I28" s="33" t="n">
        <f aca="false">SUM(D28-C28, F28-E28, H28-G28)</f>
        <v>0.0923611111111111</v>
      </c>
      <c r="J28" s="35" t="s">
        <v>74</v>
      </c>
      <c r="K28" s="1" t="n">
        <f aca="false">SUM((D28-C28)*1.5*24)</f>
        <v>3.325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0.708333333333333</v>
      </c>
      <c r="D29" s="34" t="n">
        <v>0.833333333333333</v>
      </c>
      <c r="E29" s="33"/>
      <c r="F29" s="34"/>
      <c r="G29" s="33"/>
      <c r="H29" s="34"/>
      <c r="I29" s="33" t="n">
        <f aca="false">SUM(D29-C29, F29-E29, H29-G29)</f>
        <v>0.125</v>
      </c>
      <c r="J29" s="35" t="s">
        <v>75</v>
      </c>
      <c r="K29" s="1" t="n">
        <f aca="false">SUM((D29-C29)*1.5*24)</f>
        <v>4.5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0.727777777777778</v>
      </c>
      <c r="D34" s="34" t="n">
        <v>0.901388888888889</v>
      </c>
      <c r="E34" s="33"/>
      <c r="F34" s="34"/>
      <c r="G34" s="33"/>
      <c r="H34" s="34"/>
      <c r="I34" s="33" t="n">
        <f aca="false">SUM(D34-C34, F34-E34, H34-G34)</f>
        <v>0.173611111111111</v>
      </c>
      <c r="J34" s="35" t="s">
        <v>79</v>
      </c>
      <c r="K34" s="1" t="n">
        <f aca="false">SUM((D34-C34)*1.5*24)</f>
        <v>6.25</v>
      </c>
    </row>
    <row r="35" customFormat="false" ht="47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 t="n">
        <v>0.798611111111111</v>
      </c>
      <c r="D35" s="34" t="n">
        <v>0.9625</v>
      </c>
      <c r="E35" s="33"/>
      <c r="F35" s="34"/>
      <c r="G35" s="33"/>
      <c r="H35" s="34"/>
      <c r="I35" s="33" t="n">
        <f aca="false">SUM(D35-C35, F35-E35, H35-G35)</f>
        <v>0.163888888888889</v>
      </c>
      <c r="J35" s="35" t="s">
        <v>80</v>
      </c>
      <c r="K35" s="1" t="n">
        <f aca="false">SUM((D35-C35)*2*24)</f>
        <v>7.86666666666667</v>
      </c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37" activeCellId="0" sqref="B37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81</v>
      </c>
      <c r="I2" s="8" t="n">
        <f aca="false">SUM(K6:K36)</f>
        <v>55.8666666666667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66</v>
      </c>
      <c r="I3" s="45" t="n">
        <f aca="false">SUM(I6:I36)*24</f>
        <v>35.9333333333333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32.8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0.708333333333333</v>
      </c>
      <c r="D6" s="30" t="n">
        <v>0.90625</v>
      </c>
      <c r="E6" s="29"/>
      <c r="F6" s="30"/>
      <c r="G6" s="29"/>
      <c r="H6" s="30"/>
      <c r="I6" s="29" t="n">
        <f aca="false">SUM(D6-C6, F6-E6, H6-G6)</f>
        <v>0.197916666666667</v>
      </c>
      <c r="J6" s="31" t="s">
        <v>67</v>
      </c>
      <c r="K6" s="1" t="n">
        <f aca="false">SUM((D6-C6)*1.5*24)</f>
        <v>7.125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 t="n">
        <v>0.256944444444444</v>
      </c>
      <c r="D13" s="34" t="n">
        <v>0.333333333333333</v>
      </c>
      <c r="E13" s="33"/>
      <c r="F13" s="34"/>
      <c r="G13" s="33"/>
      <c r="H13" s="34"/>
      <c r="I13" s="33" t="n">
        <f aca="false">SUM(D13-C13, F13-E13, H13-G13)</f>
        <v>0.0763888888888889</v>
      </c>
      <c r="J13" s="35" t="s">
        <v>70</v>
      </c>
      <c r="K13" s="1" t="n">
        <f aca="false">SUM((D13-C13)*1.5*24)</f>
        <v>2.75</v>
      </c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0.833333333333333</v>
      </c>
      <c r="D14" s="34" t="n">
        <v>0.934027777777778</v>
      </c>
      <c r="E14" s="33"/>
      <c r="F14" s="34"/>
      <c r="G14" s="33"/>
      <c r="H14" s="34"/>
      <c r="I14" s="33" t="n">
        <f aca="false">SUM(D14-C14, F14-E14, H14-G14)</f>
        <v>0.100694444444444</v>
      </c>
      <c r="J14" s="35" t="s">
        <v>77</v>
      </c>
      <c r="K14" s="1" t="n">
        <f aca="false">SUM((D14-C14)*1.5*24)</f>
        <v>3.625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0.802083333333333</v>
      </c>
      <c r="D15" s="34" t="n">
        <v>0.899305555555556</v>
      </c>
      <c r="E15" s="33"/>
      <c r="F15" s="34"/>
      <c r="G15" s="33"/>
      <c r="H15" s="34"/>
      <c r="I15" s="33" t="n">
        <f aca="false">SUM(D15-C15, F15-E15, H15-G15)</f>
        <v>0.0972222222222222</v>
      </c>
      <c r="J15" s="35" t="s">
        <v>78</v>
      </c>
      <c r="K15" s="1" t="n">
        <f aca="false">SUM((D15-C15)*1.5*24)</f>
        <v>3.5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0.875</v>
      </c>
      <c r="E18" s="33"/>
      <c r="F18" s="34"/>
      <c r="G18" s="33"/>
      <c r="H18" s="34"/>
      <c r="I18" s="33" t="n">
        <f aca="false">SUM(D18-C18, F18-E18, H18-G18)</f>
        <v>0.166666666666667</v>
      </c>
      <c r="J18" s="35" t="s">
        <v>71</v>
      </c>
      <c r="K18" s="1" t="n">
        <f aca="false">SUM((D18-C18)*1.5*24)</f>
        <v>6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0.708333333333333</v>
      </c>
      <c r="D20" s="34" t="n">
        <v>0.840972222222222</v>
      </c>
      <c r="E20" s="33"/>
      <c r="F20" s="34"/>
      <c r="G20" s="33"/>
      <c r="H20" s="34"/>
      <c r="I20" s="33" t="n">
        <f aca="false">SUM(D20-C20, F20-E20, H20-G20)</f>
        <v>0.132638888888889</v>
      </c>
      <c r="J20" s="35" t="s">
        <v>72</v>
      </c>
      <c r="K20" s="1" t="n">
        <f aca="false">SUM((D20-C20)*1.5*24)</f>
        <v>4.775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0.708333333333333</v>
      </c>
      <c r="D28" s="34" t="n">
        <v>0.800694444444445</v>
      </c>
      <c r="E28" s="33" t="n">
        <v>0.828472222222222</v>
      </c>
      <c r="F28" s="34" t="n">
        <v>0.999305555555556</v>
      </c>
      <c r="G28" s="33"/>
      <c r="H28" s="34"/>
      <c r="I28" s="33" t="n">
        <f aca="false">SUM(D28-C28, F28-E28, H28-G28)</f>
        <v>0.263194444444444</v>
      </c>
      <c r="J28" s="35" t="s">
        <v>74</v>
      </c>
      <c r="K28" s="1" t="n">
        <f aca="false">SUM((D28-C28)*1.5*24,(F28-E28)*1.5*24)</f>
        <v>9.475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0.708333333333333</v>
      </c>
      <c r="D29" s="34" t="n">
        <v>0.833333333333333</v>
      </c>
      <c r="E29" s="33"/>
      <c r="F29" s="34"/>
      <c r="G29" s="33"/>
      <c r="H29" s="34"/>
      <c r="I29" s="33" t="n">
        <f aca="false">SUM(D29-C29, F29-E29, H29-G29)</f>
        <v>0.125</v>
      </c>
      <c r="J29" s="35" t="s">
        <v>75</v>
      </c>
      <c r="K29" s="1" t="n">
        <f aca="false">SUM((D29-C29)*1.5*24)</f>
        <v>4.5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0.727777777777778</v>
      </c>
      <c r="D34" s="34" t="n">
        <v>0.901388888888889</v>
      </c>
      <c r="E34" s="33"/>
      <c r="F34" s="34"/>
      <c r="G34" s="33"/>
      <c r="H34" s="34"/>
      <c r="I34" s="33" t="n">
        <f aca="false">SUM(D34-C34, F34-E34, H34-G34)</f>
        <v>0.173611111111111</v>
      </c>
      <c r="J34" s="35" t="s">
        <v>79</v>
      </c>
      <c r="K34" s="1" t="n">
        <f aca="false">SUM((D34-C34)*1.5*24)</f>
        <v>6.25</v>
      </c>
    </row>
    <row r="35" customFormat="false" ht="38.0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 t="n">
        <v>0.798611111111111</v>
      </c>
      <c r="D35" s="34" t="n">
        <v>0.9625</v>
      </c>
      <c r="E35" s="33"/>
      <c r="F35" s="34"/>
      <c r="G35" s="33"/>
      <c r="H35" s="34"/>
      <c r="I35" s="33" t="n">
        <f aca="false">SUM(D35-C35, F35-E35, H35-G35)</f>
        <v>0.163888888888889</v>
      </c>
      <c r="J35" s="35" t="s">
        <v>80</v>
      </c>
      <c r="K35" s="1" t="n">
        <f aca="false">SUM((D35-C35)*2*24)</f>
        <v>7.86666666666667</v>
      </c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G28" activeCellId="0" sqref="G28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82</v>
      </c>
      <c r="I2" s="8" t="n">
        <f aca="false">SUM(K6:K36)</f>
        <v>59.4416666666667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83</v>
      </c>
      <c r="I3" s="45" t="n">
        <f aca="false">SUM(I6:I36)*24</f>
        <v>32.7833333333333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0.28125</v>
      </c>
      <c r="D15" s="34" t="n">
        <v>0.333333333333333</v>
      </c>
      <c r="E15" s="33"/>
      <c r="F15" s="34"/>
      <c r="G15" s="33"/>
      <c r="H15" s="34"/>
      <c r="I15" s="33" t="n">
        <f aca="false">SUM(D15-C15, F15-E15, H15-G15)</f>
        <v>0.0520833333333333</v>
      </c>
      <c r="J15" s="35" t="s">
        <v>84</v>
      </c>
      <c r="K15" s="1" t="n">
        <f aca="false">SUM((D15-C15)*1.5*24)</f>
        <v>1.875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20.85" hidden="false" customHeight="false" outlineLevel="0" collapsed="false">
      <c r="A21" s="27" t="str">
        <f aca="false">IF(B21&gt;0,PROPER(TEXT(B21,"dddd")),"")</f>
        <v>Jueves</v>
      </c>
      <c r="B21" s="32" t="n">
        <v>46128</v>
      </c>
      <c r="C21" s="33" t="n">
        <v>0.231944444444445</v>
      </c>
      <c r="D21" s="34" t="n">
        <v>0.249305555555556</v>
      </c>
      <c r="E21" s="33" t="n">
        <v>0.25</v>
      </c>
      <c r="F21" s="34" t="n">
        <v>0.333333333333333</v>
      </c>
      <c r="G21" s="33"/>
      <c r="H21" s="34"/>
      <c r="I21" s="33" t="n">
        <f aca="false">SUM(D21-C21, F21-E21, H21-G21)</f>
        <v>0.100694444444444</v>
      </c>
      <c r="J21" s="35" t="s">
        <v>85</v>
      </c>
      <c r="K21" s="1" t="n">
        <f aca="false">SUM((D21-C21)*2*24,(F21-E21)*1.5*24)</f>
        <v>3.83333333333333</v>
      </c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0.8125</v>
      </c>
      <c r="E22" s="33"/>
      <c r="F22" s="34"/>
      <c r="G22" s="33"/>
      <c r="H22" s="34"/>
      <c r="I22" s="33" t="n">
        <f aca="false">SUM(D22-C22, F22-E22, H22-G22)</f>
        <v>0.104166666666667</v>
      </c>
      <c r="J22" s="35" t="s">
        <v>86</v>
      </c>
      <c r="K22" s="1" t="n">
        <f aca="false">SUM((D22-C22)*1.5*24)</f>
        <v>3.75</v>
      </c>
    </row>
    <row r="23" customFormat="false" ht="25.3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0.4375</v>
      </c>
      <c r="D23" s="34" t="n">
        <v>0.541666666666667</v>
      </c>
      <c r="E23" s="33" t="n">
        <v>0.583333333333333</v>
      </c>
      <c r="F23" s="34" t="n">
        <v>0.847222222222222</v>
      </c>
      <c r="G23" s="33"/>
      <c r="H23" s="34"/>
      <c r="I23" s="33" t="n">
        <f aca="false">SUM(D23-C23, F23-E23, H23-G23)</f>
        <v>0.368055555555556</v>
      </c>
      <c r="J23" s="35" t="s">
        <v>87</v>
      </c>
      <c r="K23" s="1" t="n">
        <f aca="false">SUM((D23-C23)*2*24,(F23-E23)*2*24)</f>
        <v>17.6666666666667</v>
      </c>
    </row>
    <row r="24" customFormat="false" ht="25.3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0.267361111111111</v>
      </c>
      <c r="D24" s="34" t="n">
        <v>0.548611111111111</v>
      </c>
      <c r="E24" s="33" t="n">
        <v>0.696527777777778</v>
      </c>
      <c r="F24" s="34" t="n">
        <v>0.791666666666667</v>
      </c>
      <c r="G24" s="33"/>
      <c r="H24" s="34"/>
      <c r="I24" s="33" t="n">
        <f aca="false">SUM(D24-C24, F24-E24, H24-G24)</f>
        <v>0.376388888888889</v>
      </c>
      <c r="J24" s="35" t="s">
        <v>88</v>
      </c>
      <c r="K24" s="1" t="n">
        <f aca="false">SUM((D24-C24)*2*24,(F24-E24)*2*24)</f>
        <v>18.0666666666667</v>
      </c>
    </row>
    <row r="25" customFormat="false" ht="29.8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0.784722222222222</v>
      </c>
      <c r="E25" s="33"/>
      <c r="F25" s="34"/>
      <c r="G25" s="33"/>
      <c r="H25" s="34"/>
      <c r="I25" s="33" t="n">
        <f aca="false">SUM(D25-C25, F25-E25, H25-G25)</f>
        <v>0.0763888888888889</v>
      </c>
      <c r="J25" s="35" t="s">
        <v>89</v>
      </c>
      <c r="K25" s="1" t="n">
        <f aca="false">SUM((D25-C25)*1.5*24)</f>
        <v>2.75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0.239583333333333</v>
      </c>
      <c r="D28" s="34" t="n">
        <v>0.333333333333333</v>
      </c>
      <c r="E28" s="33"/>
      <c r="F28" s="34"/>
      <c r="G28" s="33"/>
      <c r="H28" s="34"/>
      <c r="I28" s="33" t="n">
        <f aca="false">SUM(D28-C28, F28-E28, H28-G28)</f>
        <v>0.09375</v>
      </c>
      <c r="J28" s="35" t="s">
        <v>90</v>
      </c>
      <c r="K28" s="1" t="n">
        <f aca="false">SUM((D28-C28)*2*24)</f>
        <v>4.5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26.8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0.71875</v>
      </c>
      <c r="D33" s="34" t="n">
        <v>0.850694444444444</v>
      </c>
      <c r="E33" s="33"/>
      <c r="F33" s="34"/>
      <c r="G33" s="33"/>
      <c r="H33" s="34"/>
      <c r="I33" s="33" t="n">
        <f aca="false">SUM(D33-C33, F33-E33, H33-G33)</f>
        <v>0.131944444444444</v>
      </c>
      <c r="J33" s="35" t="s">
        <v>91</v>
      </c>
      <c r="K33" s="1" t="n">
        <f aca="false">SUM((D33-C33)*1.5*24)</f>
        <v>4.75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0.270833333333333</v>
      </c>
      <c r="D34" s="34" t="n">
        <v>0.333333333333333</v>
      </c>
      <c r="E34" s="33"/>
      <c r="F34" s="34"/>
      <c r="G34" s="33"/>
      <c r="H34" s="34"/>
      <c r="I34" s="33" t="n">
        <f aca="false">SUM(D34-C34, F34-E34, H34-G34)</f>
        <v>0.0625</v>
      </c>
      <c r="J34" s="35" t="s">
        <v>92</v>
      </c>
      <c r="K34" s="1" t="n">
        <f aca="false">SUM((D34-C34)*1.5*24)</f>
        <v>2.25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J6" activeCellId="0" sqref="J6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93</v>
      </c>
      <c r="I2" s="8" t="n">
        <f aca="false">SUM(K6:K36)</f>
        <v>36.3583333333333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83</v>
      </c>
      <c r="I3" s="45" t="n">
        <f aca="false">SUM(I6:I36)*24</f>
        <v>22.2333333333333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0.759722222222222</v>
      </c>
      <c r="D15" s="34" t="n">
        <v>0.823611111111111</v>
      </c>
      <c r="E15" s="33"/>
      <c r="F15" s="34"/>
      <c r="G15" s="33"/>
      <c r="H15" s="34"/>
      <c r="I15" s="33" t="n">
        <f aca="false">SUM(D15-C15, F15-E15, H15-G15)</f>
        <v>0.0638888888888889</v>
      </c>
      <c r="J15" s="35" t="s">
        <v>94</v>
      </c>
      <c r="K15" s="1" t="n">
        <f aca="false">SUM((D15-C15)*1.5*24)</f>
        <v>2.3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35.0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0.36875</v>
      </c>
      <c r="D17" s="34" t="n">
        <v>0.476388888888889</v>
      </c>
      <c r="E17" s="33" t="n">
        <v>0.589583333333333</v>
      </c>
      <c r="F17" s="34" t="n">
        <v>0.732638888888889</v>
      </c>
      <c r="G17" s="33"/>
      <c r="H17" s="34"/>
      <c r="I17" s="33" t="n">
        <f aca="false">SUM(D17-C17, F17-E17, H17-G17)</f>
        <v>0.250694444444444</v>
      </c>
      <c r="J17" s="35" t="s">
        <v>95</v>
      </c>
      <c r="K17" s="1" t="n">
        <f aca="false">SUM((D17-C17)*2*24,(F17-E17)*2*24)</f>
        <v>12.0333333333333</v>
      </c>
    </row>
    <row r="18" customFormat="false" ht="25.3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0.771527777777778</v>
      </c>
      <c r="E18" s="33" t="n">
        <v>0.821527777777778</v>
      </c>
      <c r="F18" s="34" t="n">
        <v>0.952083333333333</v>
      </c>
      <c r="G18" s="33"/>
      <c r="H18" s="34"/>
      <c r="I18" s="33" t="n">
        <f aca="false">SUM(D18-C18, F18-E18, H18-G18)</f>
        <v>0.19375</v>
      </c>
      <c r="J18" s="35" t="s">
        <v>96</v>
      </c>
      <c r="K18" s="1" t="n">
        <f aca="false">SUM((D18-C18)*1.5*24,(F18-E18)*1.5*24)</f>
        <v>6.975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26.1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0.8125</v>
      </c>
      <c r="E22" s="33"/>
      <c r="F22" s="34"/>
      <c r="G22" s="33"/>
      <c r="H22" s="34"/>
      <c r="I22" s="33" t="n">
        <f aca="false">SUM(D22-C22, F22-E22, H22-G22)</f>
        <v>0.104166666666667</v>
      </c>
      <c r="J22" s="35" t="s">
        <v>97</v>
      </c>
      <c r="K22" s="1" t="n">
        <f aca="false">SUM((D22-C22)*1.5*24)</f>
        <v>3.75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29.8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0.763194444444444</v>
      </c>
      <c r="D32" s="34" t="n">
        <v>0.983333333333333</v>
      </c>
      <c r="E32" s="33"/>
      <c r="F32" s="34"/>
      <c r="G32" s="33"/>
      <c r="H32" s="34"/>
      <c r="I32" s="33" t="n">
        <f aca="false">SUM(D32-C32, F32-E32, H32-G32)</f>
        <v>0.220138888888889</v>
      </c>
      <c r="J32" s="35" t="s">
        <v>98</v>
      </c>
      <c r="K32" s="1" t="n">
        <f aca="false">SUM((D32-C32)*1.5*24)</f>
        <v>7.925</v>
      </c>
    </row>
    <row r="33" customFormat="false" ht="32.0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0.802083333333333</v>
      </c>
      <c r="E33" s="33"/>
      <c r="F33" s="34"/>
      <c r="G33" s="33"/>
      <c r="H33" s="34"/>
      <c r="I33" s="33" t="n">
        <f aca="false">SUM(D33-C33, F33-E33, H33-G33)</f>
        <v>0.09375</v>
      </c>
      <c r="J33" s="35" t="s">
        <v>91</v>
      </c>
      <c r="K33" s="1" t="n">
        <f aca="false">SUM((D33-C33)*1.5*24)</f>
        <v>3.375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E19" colorId="64" zoomScale="100" zoomScaleNormal="100" zoomScalePageLayoutView="100" workbookViewId="0">
      <selection pane="topLeft" activeCell="J50" activeCellId="0" sqref="J50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99</v>
      </c>
      <c r="I2" s="8" t="n">
        <f aca="false">SUM(K6:K36)</f>
        <v>52.8166666666667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83</v>
      </c>
      <c r="I3" s="45" t="n">
        <f aca="false">SUM(I6:I36)*24</f>
        <v>30.7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0.586805555555556</v>
      </c>
      <c r="D16" s="34" t="n">
        <v>0.786111111111111</v>
      </c>
      <c r="E16" s="33"/>
      <c r="F16" s="34"/>
      <c r="G16" s="33"/>
      <c r="H16" s="34"/>
      <c r="I16" s="33" t="n">
        <f aca="false">SUM(D16-C16, F16-E16, H16-G16)</f>
        <v>0.199305555555556</v>
      </c>
      <c r="J16" s="35" t="s">
        <v>100</v>
      </c>
      <c r="K16" s="1" t="n">
        <f aca="false">SUM((D16-C16)*2*24)</f>
        <v>9.56666666666667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0.586805555555556</v>
      </c>
      <c r="D17" s="34" t="n">
        <v>0.791666666666667</v>
      </c>
      <c r="E17" s="33"/>
      <c r="F17" s="34"/>
      <c r="G17" s="33"/>
      <c r="H17" s="34"/>
      <c r="I17" s="33" t="n">
        <f aca="false">SUM(D17-C17, F17-E17, H17-G17)</f>
        <v>0.204861111111111</v>
      </c>
      <c r="J17" s="35" t="s">
        <v>101</v>
      </c>
      <c r="K17" s="1" t="n">
        <f aca="false">SUM((D17-C17)*2*24)</f>
        <v>9.83333333333333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0.8125</v>
      </c>
      <c r="E22" s="33"/>
      <c r="F22" s="34"/>
      <c r="G22" s="33"/>
      <c r="H22" s="34"/>
      <c r="I22" s="33" t="n">
        <f aca="false">SUM(D22-C22, F22-E22, H22-G22)</f>
        <v>0.104166666666667</v>
      </c>
      <c r="J22" s="35" t="s">
        <v>97</v>
      </c>
      <c r="K22" s="1" t="n">
        <f aca="false">SUM((D22-C22)*1.5*24)</f>
        <v>3.75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0.784722222222222</v>
      </c>
      <c r="E25" s="33" t="n">
        <v>0.784722222222222</v>
      </c>
      <c r="F25" s="34" t="n">
        <v>0.948611111111111</v>
      </c>
      <c r="G25" s="33"/>
      <c r="H25" s="34"/>
      <c r="I25" s="33" t="n">
        <f aca="false">SUM(D25-C25, F25-E25, H25-G25)</f>
        <v>0.240277777777778</v>
      </c>
      <c r="J25" s="35" t="s">
        <v>89</v>
      </c>
      <c r="K25" s="1" t="n">
        <f aca="false">SUM((D25-C25)*1.5*24,(F25-E25)*1.5*24)</f>
        <v>8.65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0.0534722222222222</v>
      </c>
      <c r="D26" s="34" t="n">
        <v>0.136805555555556</v>
      </c>
      <c r="E26" s="33"/>
      <c r="F26" s="34"/>
      <c r="G26" s="33"/>
      <c r="H26" s="34"/>
      <c r="I26" s="33" t="n">
        <f aca="false">SUM(D26-C26, F26-E26, H26-G26)</f>
        <v>0.0833333333333333</v>
      </c>
      <c r="J26" s="35" t="s">
        <v>102</v>
      </c>
      <c r="K26" s="1" t="n">
        <f aca="false">SUM((D26-C26)*2*24)</f>
        <v>4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 t="n">
        <v>0.708333333333333</v>
      </c>
      <c r="D27" s="34" t="n">
        <v>0.834027777777778</v>
      </c>
      <c r="E27" s="33" t="n">
        <v>0.854166666666667</v>
      </c>
      <c r="F27" s="34" t="n">
        <v>0.938194444444444</v>
      </c>
      <c r="G27" s="33"/>
      <c r="H27" s="34"/>
      <c r="I27" s="33" t="n">
        <f aca="false">SUM(D27-C27, F27-E27, H27-G27)</f>
        <v>0.209722222222222</v>
      </c>
      <c r="J27" s="35" t="s">
        <v>103</v>
      </c>
      <c r="K27" s="1" t="n">
        <f aca="false">SUM((D27-C27)*1.5*24,(F27-E27)*1.5*24)</f>
        <v>7.55</v>
      </c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0.850694444444444</v>
      </c>
      <c r="D28" s="34" t="n">
        <v>0.918055555555556</v>
      </c>
      <c r="E28" s="33"/>
      <c r="F28" s="34"/>
      <c r="G28" s="33"/>
      <c r="H28" s="34"/>
      <c r="I28" s="33" t="n">
        <f aca="false">SUM(D28-C28, F28-E28, H28-G28)</f>
        <v>0.0673611111111111</v>
      </c>
      <c r="J28" s="35" t="s">
        <v>104</v>
      </c>
      <c r="K28" s="1" t="n">
        <f aca="false">SUM((D28-C28)*1.5*24)</f>
        <v>2.425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0.480555555555556</v>
      </c>
      <c r="D30" s="34" t="n">
        <v>0.513888888888889</v>
      </c>
      <c r="E30" s="33"/>
      <c r="F30" s="34"/>
      <c r="G30" s="33"/>
      <c r="H30" s="34"/>
      <c r="I30" s="33" t="n">
        <f aca="false">SUM(D30-C30, F30-E30, H30-G30)</f>
        <v>0.0333333333333333</v>
      </c>
      <c r="J30" s="35" t="s">
        <v>105</v>
      </c>
      <c r="K30" s="1" t="n">
        <f aca="false">SUM((D30-C30)*2*24)</f>
        <v>1.6</v>
      </c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0.582638888888889</v>
      </c>
      <c r="D31" s="34" t="n">
        <v>0.625694444444444</v>
      </c>
      <c r="E31" s="33"/>
      <c r="F31" s="34"/>
      <c r="G31" s="33"/>
      <c r="H31" s="34"/>
      <c r="I31" s="33" t="n">
        <f aca="false">SUM(D31-C31, F31-E31, H31-G31)</f>
        <v>0.0430555555555556</v>
      </c>
      <c r="J31" s="35" t="s">
        <v>106</v>
      </c>
      <c r="K31" s="1" t="n">
        <f aca="false">SUM((D31-C31)*2*24)</f>
        <v>2.06666666666667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0.802083333333333</v>
      </c>
      <c r="E33" s="33"/>
      <c r="F33" s="34"/>
      <c r="G33" s="33"/>
      <c r="H33" s="34"/>
      <c r="I33" s="33" t="n">
        <f aca="false">SUM(D33-C33, F33-E33, H33-G33)</f>
        <v>0.09375</v>
      </c>
      <c r="J33" s="35" t="s">
        <v>91</v>
      </c>
      <c r="K33" s="1" t="n">
        <f aca="false">SUM((D33-C33)*1.5*24)</f>
        <v>3.375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107</v>
      </c>
      <c r="I2" s="8" t="n">
        <f aca="false">SUM(K6:K36)</f>
        <v>26.0833333333333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83</v>
      </c>
      <c r="I3" s="45" t="n">
        <f aca="false">SUM(I6:I36)*24</f>
        <v>15.3833333333333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0.759722222222222</v>
      </c>
      <c r="D15" s="34" t="n">
        <v>0.823611111111111</v>
      </c>
      <c r="E15" s="33"/>
      <c r="F15" s="34"/>
      <c r="G15" s="33"/>
      <c r="H15" s="34"/>
      <c r="I15" s="33" t="n">
        <f aca="false">SUM(D15-C15, F15-E15, H15-G15)</f>
        <v>0.0638888888888889</v>
      </c>
      <c r="J15" s="35" t="s">
        <v>94</v>
      </c>
      <c r="K15" s="1" t="n">
        <f aca="false">SUM((D15-C15)*1.5*24)</f>
        <v>2.3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0.36875</v>
      </c>
      <c r="D17" s="34" t="n">
        <v>0.476388888888889</v>
      </c>
      <c r="E17" s="33" t="n">
        <v>0.589583333333333</v>
      </c>
      <c r="F17" s="34" t="n">
        <v>0.732638888888889</v>
      </c>
      <c r="G17" s="33"/>
      <c r="H17" s="34"/>
      <c r="I17" s="33" t="n">
        <f aca="false">SUM(D17-C17, F17-E17, H17-G17)</f>
        <v>0.250694444444444</v>
      </c>
      <c r="J17" s="35" t="s">
        <v>95</v>
      </c>
      <c r="K17" s="1" t="n">
        <f aca="false">SUM((D17-C17)*2*24,(F17-E17)*2*24)</f>
        <v>12.0333333333333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0.784722222222222</v>
      </c>
      <c r="E25" s="33"/>
      <c r="F25" s="34"/>
      <c r="G25" s="33"/>
      <c r="H25" s="34"/>
      <c r="I25" s="33" t="n">
        <f aca="false">SUM(D25-C25, F25-E25, H25-G25)</f>
        <v>0.0763888888888889</v>
      </c>
      <c r="J25" s="35" t="s">
        <v>89</v>
      </c>
      <c r="K25" s="1" t="n">
        <f aca="false">SUM((D25-C25)*1.5*24)</f>
        <v>2.75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0.270833333333333</v>
      </c>
      <c r="D34" s="34" t="n">
        <v>0.333333333333333</v>
      </c>
      <c r="E34" s="33" t="n">
        <v>0.78125</v>
      </c>
      <c r="F34" s="34" t="n">
        <v>0.930555555555556</v>
      </c>
      <c r="G34" s="33" t="n">
        <v>0.931944444444445</v>
      </c>
      <c r="H34" s="34" t="n">
        <v>0.970138888888889</v>
      </c>
      <c r="I34" s="33" t="n">
        <f aca="false">SUM(D34-C34, F34-E34, H34-G34)</f>
        <v>0.25</v>
      </c>
      <c r="J34" s="35" t="s">
        <v>92</v>
      </c>
      <c r="K34" s="1" t="n">
        <f aca="false">SUM((D34-C34)*1.5*24,(F34-E34)*1.5*24,(H34-G34)*1.5*24)</f>
        <v>9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E5" colorId="64" zoomScale="100" zoomScaleNormal="100" zoomScalePageLayoutView="100" workbookViewId="0">
      <selection pane="topLeft" activeCell="J30" activeCellId="0" sqref="J30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108</v>
      </c>
      <c r="I2" s="8" t="n">
        <f aca="false">SUM(K6:K36)</f>
        <v>71.3416666666667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83</v>
      </c>
      <c r="I3" s="45" t="n">
        <f aca="false">SUM(I6:I36)*24</f>
        <v>41.4666666666667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0.28125</v>
      </c>
      <c r="D15" s="34" t="n">
        <v>0.333333333333333</v>
      </c>
      <c r="E15" s="33"/>
      <c r="F15" s="34"/>
      <c r="G15" s="33"/>
      <c r="H15" s="34"/>
      <c r="I15" s="33" t="n">
        <f aca="false">SUM(D15-C15, F15-E15, H15-G15)</f>
        <v>0.0520833333333333</v>
      </c>
      <c r="J15" s="35" t="s">
        <v>84</v>
      </c>
      <c r="K15" s="1" t="n">
        <f aca="false">SUM((D15-C15)*1.5*24)</f>
        <v>1.875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0.708333333333333</v>
      </c>
      <c r="D18" s="34" t="n">
        <v>0.771527777777778</v>
      </c>
      <c r="E18" s="33" t="n">
        <v>0.821527777777778</v>
      </c>
      <c r="F18" s="34" t="n">
        <v>0.952083333333333</v>
      </c>
      <c r="G18" s="33"/>
      <c r="H18" s="34"/>
      <c r="I18" s="33" t="n">
        <f aca="false">SUM(D18-C18, F18-E18, H18-G18)</f>
        <v>0.19375</v>
      </c>
      <c r="J18" s="35" t="s">
        <v>96</v>
      </c>
      <c r="K18" s="1" t="n">
        <f aca="false">SUM((D18-C18)*1.5*24,(F18-E18)*1.5*24)</f>
        <v>6.975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0.8375</v>
      </c>
      <c r="D19" s="34" t="n">
        <v>0.879166666666667</v>
      </c>
      <c r="E19" s="33"/>
      <c r="F19" s="34"/>
      <c r="G19" s="33"/>
      <c r="H19" s="34"/>
      <c r="I19" s="33" t="n">
        <f aca="false">SUM(D19-C19, F19-E19, H19-G19)</f>
        <v>0.0416666666666667</v>
      </c>
      <c r="J19" s="35" t="s">
        <v>109</v>
      </c>
      <c r="K19" s="1" t="n">
        <f aca="false">SUM((D19-C19)*1.5*24)</f>
        <v>1.5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 t="n">
        <v>0.231944444444445</v>
      </c>
      <c r="D21" s="34" t="n">
        <v>0.249305555555556</v>
      </c>
      <c r="E21" s="33" t="n">
        <v>0.25</v>
      </c>
      <c r="F21" s="34" t="n">
        <v>0.333333333333333</v>
      </c>
      <c r="G21" s="33"/>
      <c r="H21" s="34"/>
      <c r="I21" s="33" t="n">
        <f aca="false">SUM(D21-C21, F21-E21, H21-G21)</f>
        <v>0.100694444444444</v>
      </c>
      <c r="J21" s="35" t="s">
        <v>85</v>
      </c>
      <c r="K21" s="1" t="n">
        <f aca="false">SUM((D21-C21)*2*24,(F21-E21)*1.5*24)</f>
        <v>3.83333333333333</v>
      </c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0.708333333333333</v>
      </c>
      <c r="D22" s="34" t="n">
        <v>0.8125</v>
      </c>
      <c r="E22" s="33"/>
      <c r="F22" s="34"/>
      <c r="G22" s="33"/>
      <c r="H22" s="34"/>
      <c r="I22" s="33" t="n">
        <f aca="false">SUM(D22-C22, F22-E22, H22-G22)</f>
        <v>0.104166666666667</v>
      </c>
      <c r="J22" s="35" t="s">
        <v>97</v>
      </c>
      <c r="K22" s="1" t="n">
        <f aca="false">SUM((D22-C22)*1.5*24)</f>
        <v>3.75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0.4375</v>
      </c>
      <c r="D23" s="34" t="n">
        <v>0.541666666666667</v>
      </c>
      <c r="E23" s="33" t="n">
        <v>0.583333333333333</v>
      </c>
      <c r="F23" s="34" t="n">
        <v>0.847222222222222</v>
      </c>
      <c r="G23" s="33"/>
      <c r="H23" s="34"/>
      <c r="I23" s="33" t="n">
        <f aca="false">SUM(D23-C23, F23-E23, H23-G23)</f>
        <v>0.368055555555556</v>
      </c>
      <c r="J23" s="35" t="s">
        <v>87</v>
      </c>
      <c r="K23" s="1" t="n">
        <f aca="false">SUM((D23-C23)*2*24,(F23-E23)*2*24)</f>
        <v>17.6666666666667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0.267361111111111</v>
      </c>
      <c r="D24" s="34" t="n">
        <v>0.548611111111111</v>
      </c>
      <c r="E24" s="33" t="n">
        <v>0.696527777777778</v>
      </c>
      <c r="F24" s="34" t="n">
        <v>0.791666666666667</v>
      </c>
      <c r="G24" s="33"/>
      <c r="H24" s="34"/>
      <c r="I24" s="33" t="n">
        <f aca="false">SUM(D24-C24, F24-E24, H24-G24)</f>
        <v>0.376388888888889</v>
      </c>
      <c r="J24" s="35" t="s">
        <v>88</v>
      </c>
      <c r="K24" s="1" t="n">
        <f aca="false">SUM((D24-C24)*2*24,(F24-E24)*2*24)</f>
        <v>18.0666666666667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0.784722222222222</v>
      </c>
      <c r="E25" s="33"/>
      <c r="F25" s="34"/>
      <c r="G25" s="33"/>
      <c r="H25" s="34"/>
      <c r="I25" s="33" t="n">
        <f aca="false">SUM(D25-C25, F25-E25, H25-G25)</f>
        <v>0.0763888888888889</v>
      </c>
      <c r="J25" s="35" t="s">
        <v>89</v>
      </c>
      <c r="K25" s="1" t="n">
        <f aca="false">SUM((D25-C25)*1.5*24)</f>
        <v>2.75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0.763194444444444</v>
      </c>
      <c r="D32" s="34" t="n">
        <v>0.983333333333333</v>
      </c>
      <c r="E32" s="33"/>
      <c r="F32" s="34"/>
      <c r="G32" s="33"/>
      <c r="H32" s="34"/>
      <c r="I32" s="33" t="n">
        <f aca="false">SUM(D32-C32, F32-E32, H32-G32)</f>
        <v>0.220138888888889</v>
      </c>
      <c r="J32" s="35" t="s">
        <v>98</v>
      </c>
      <c r="K32" s="1" t="n">
        <f aca="false">SUM((D32-C32)*1.5*24)</f>
        <v>7.925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0.71875</v>
      </c>
      <c r="D33" s="34" t="n">
        <v>0.850694444444444</v>
      </c>
      <c r="E33" s="33"/>
      <c r="F33" s="34"/>
      <c r="G33" s="33"/>
      <c r="H33" s="34"/>
      <c r="I33" s="33" t="n">
        <f aca="false">SUM(D33-C33, F33-E33, H33-G33)</f>
        <v>0.131944444444444</v>
      </c>
      <c r="J33" s="35" t="s">
        <v>91</v>
      </c>
      <c r="K33" s="1" t="n">
        <f aca="false">SUM((D33-C33)*1.5*24)</f>
        <v>4.75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0.270833333333333</v>
      </c>
      <c r="D34" s="34" t="n">
        <v>0.333333333333333</v>
      </c>
      <c r="E34" s="33"/>
      <c r="F34" s="34"/>
      <c r="G34" s="33"/>
      <c r="H34" s="34"/>
      <c r="I34" s="33" t="n">
        <f aca="false">SUM(D34-C34, F34-E34, H34-G34)</f>
        <v>0.0625</v>
      </c>
      <c r="J34" s="35" t="s">
        <v>92</v>
      </c>
      <c r="K34" s="1" t="n">
        <f aca="false">SUM((D34-C34)*1.5*24)</f>
        <v>2.25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9" activeCellId="0" sqref="J19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110</v>
      </c>
      <c r="I2" s="8" t="n">
        <f aca="false">SUM(K6:K36)</f>
        <v>54.7333333333333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111</v>
      </c>
      <c r="I3" s="45" t="n">
        <f aca="false">SUM(I6:I36)*24</f>
        <v>28.8666666666667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false" outlineLevel="0" collapsed="false">
      <c r="A7" s="27" t="str">
        <f aca="false">IF(B7&gt;0,PROPER(TEXT(B7,"dddd")),"")</f>
        <v>Jueves</v>
      </c>
      <c r="B7" s="32" t="n">
        <v>46114</v>
      </c>
      <c r="C7" s="33" t="n">
        <v>0.71875</v>
      </c>
      <c r="D7" s="34" t="n">
        <v>0.822916666666667</v>
      </c>
      <c r="E7" s="33"/>
      <c r="F7" s="34"/>
      <c r="G7" s="33"/>
      <c r="H7" s="34"/>
      <c r="I7" s="33" t="n">
        <f aca="false">SUM(D7-C7, F7-E7, H7-G7)</f>
        <v>0.104166666666667</v>
      </c>
      <c r="J7" s="35" t="s">
        <v>112</v>
      </c>
      <c r="K7" s="1" t="n">
        <f aca="false">SUM((D7-C7)*1.5*24)</f>
        <v>3.75</v>
      </c>
    </row>
    <row r="8" customFormat="false" ht="29.8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0.4375</v>
      </c>
      <c r="D8" s="34" t="n">
        <v>0.541666666666667</v>
      </c>
      <c r="E8" s="33" t="n">
        <v>0.583333333333333</v>
      </c>
      <c r="F8" s="34" t="n">
        <v>0.761111111111111</v>
      </c>
      <c r="G8" s="33"/>
      <c r="H8" s="34"/>
      <c r="I8" s="33" t="n">
        <f aca="false">SUM(D8-C8, F8-E8, H8-G8)</f>
        <v>0.281944444444444</v>
      </c>
      <c r="J8" s="35" t="s">
        <v>113</v>
      </c>
      <c r="K8" s="1" t="n">
        <f aca="false">SUM((D8-C8)*2*24,(F8-E8)*2*24)</f>
        <v>13.5333333333333</v>
      </c>
    </row>
    <row r="9" customFormat="false" ht="27.6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0.34375</v>
      </c>
      <c r="D9" s="34" t="n">
        <v>0.514583333333333</v>
      </c>
      <c r="E9" s="33" t="n">
        <v>0.604861111111111</v>
      </c>
      <c r="F9" s="34" t="n">
        <v>0.646527777777778</v>
      </c>
      <c r="G9" s="33" t="n">
        <v>0.684027777777778</v>
      </c>
      <c r="H9" s="34" t="n">
        <v>0.767361111111111</v>
      </c>
      <c r="I9" s="33" t="n">
        <f aca="false">SUM(D9-C9, F9-E9, H9-G9)</f>
        <v>0.295833333333333</v>
      </c>
      <c r="J9" s="35" t="s">
        <v>114</v>
      </c>
      <c r="K9" s="1" t="n">
        <f aca="false">SUM((D9-C9)*2*24,(F9-E9)*2*24,(H9-G9)*2*24)</f>
        <v>14.2</v>
      </c>
    </row>
    <row r="10" customFormat="false" ht="40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0.388888888888889</v>
      </c>
      <c r="D10" s="34" t="n">
        <v>0.541666666666667</v>
      </c>
      <c r="E10" s="33" t="n">
        <v>0.583333333333333</v>
      </c>
      <c r="F10" s="34" t="n">
        <v>0.701388888888889</v>
      </c>
      <c r="G10" s="33" t="n">
        <v>0.798611111111111</v>
      </c>
      <c r="H10" s="34" t="n">
        <v>0.902777777777778</v>
      </c>
      <c r="I10" s="33" t="n">
        <f aca="false">SUM(D10-C10, F10-E10, H10-G10)</f>
        <v>0.375</v>
      </c>
      <c r="J10" s="35" t="s">
        <v>115</v>
      </c>
      <c r="K10" s="1" t="n">
        <f aca="false">SUM((D10-C10)*2*24,(F10-E10)*2*24,(H10-G10)*2*24)</f>
        <v>18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32.0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0.291666666666667</v>
      </c>
      <c r="D33" s="34" t="n">
        <v>0.333333333333333</v>
      </c>
      <c r="E33" s="33" t="n">
        <v>0.708333333333333</v>
      </c>
      <c r="F33" s="34" t="n">
        <v>0.791666666666667</v>
      </c>
      <c r="G33" s="33"/>
      <c r="H33" s="34"/>
      <c r="I33" s="33" t="n">
        <f aca="false">SUM(D33-C33, F33-E33, H33-G33)</f>
        <v>0.125</v>
      </c>
      <c r="J33" s="35" t="s">
        <v>116</v>
      </c>
      <c r="K33" s="1" t="n">
        <f aca="false">SUM((D33-C33)*1.5*24,(F33-E33)*1.5*24)</f>
        <v>4.5</v>
      </c>
    </row>
    <row r="34" customFormat="false" ht="26.1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0.3125</v>
      </c>
      <c r="D34" s="34" t="n">
        <v>0.333333333333333</v>
      </c>
      <c r="E34" s="33"/>
      <c r="F34" s="34"/>
      <c r="G34" s="33"/>
      <c r="H34" s="34"/>
      <c r="I34" s="33" t="n">
        <f aca="false">SUM(D34-C34, F34-E34, H34-G34)</f>
        <v>0.0208333333333333</v>
      </c>
      <c r="J34" s="35" t="s">
        <v>117</v>
      </c>
      <c r="K34" s="1" t="n">
        <f aca="false">SUM((D34-C34)*1.5*24)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J35" activeCellId="0" sqref="J35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118</v>
      </c>
      <c r="I2" s="8" t="n">
        <f aca="false">SUM(K6:K36)</f>
        <v>63.0333333333333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111</v>
      </c>
      <c r="I3" s="45" t="n">
        <f aca="false">SUM(I6:I36)*24</f>
        <v>34.4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 t="n">
        <v>0.71875</v>
      </c>
      <c r="D7" s="34" t="n">
        <v>0.822916666666667</v>
      </c>
      <c r="E7" s="33"/>
      <c r="F7" s="34"/>
      <c r="G7" s="33"/>
      <c r="H7" s="34"/>
      <c r="I7" s="33" t="n">
        <f aca="false">SUM(D7-C7, F7-E7, H7-G7)</f>
        <v>0.104166666666667</v>
      </c>
      <c r="J7" s="35" t="s">
        <v>112</v>
      </c>
      <c r="K7" s="1" t="n">
        <f aca="false">SUM((D7-C7)*1.5*24)</f>
        <v>3.75</v>
      </c>
    </row>
    <row r="8" customFormat="false" ht="26.1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0.4375</v>
      </c>
      <c r="D8" s="34" t="n">
        <v>0.541666666666667</v>
      </c>
      <c r="E8" s="33" t="n">
        <v>0.583333333333333</v>
      </c>
      <c r="F8" s="34" t="n">
        <v>0.761111111111111</v>
      </c>
      <c r="G8" s="33"/>
      <c r="H8" s="34"/>
      <c r="I8" s="33" t="n">
        <f aca="false">SUM(D8-C8, F8-E8, H8-G8)</f>
        <v>0.281944444444444</v>
      </c>
      <c r="J8" s="35" t="s">
        <v>113</v>
      </c>
      <c r="K8" s="1" t="n">
        <f aca="false">SUM((D8-C8)*2*24,(F8-E8)*2*24)</f>
        <v>13.5333333333333</v>
      </c>
    </row>
    <row r="9" customFormat="false" ht="26.1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0.34375</v>
      </c>
      <c r="D9" s="34" t="n">
        <v>0.514583333333333</v>
      </c>
      <c r="E9" s="33" t="n">
        <v>0.604861111111111</v>
      </c>
      <c r="F9" s="34" t="n">
        <v>0.646527777777778</v>
      </c>
      <c r="G9" s="33" t="n">
        <v>0.684027777777778</v>
      </c>
      <c r="H9" s="34" t="n">
        <v>0.767361111111111</v>
      </c>
      <c r="I9" s="33" t="n">
        <f aca="false">SUM(D9-C9, F9-E9, H9-G9)</f>
        <v>0.295833333333333</v>
      </c>
      <c r="J9" s="35" t="s">
        <v>114</v>
      </c>
      <c r="K9" s="1" t="n">
        <f aca="false">SUM((D9-C9)*2*24,(F9-E9)*2*24,(H9-G9)*2*24)</f>
        <v>14.2</v>
      </c>
    </row>
    <row r="10" customFormat="false" ht="38.0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0.388888888888889</v>
      </c>
      <c r="D10" s="34" t="n">
        <v>0.541666666666667</v>
      </c>
      <c r="E10" s="33" t="n">
        <v>0.583333333333333</v>
      </c>
      <c r="F10" s="34" t="n">
        <v>0.701388888888889</v>
      </c>
      <c r="G10" s="33" t="n">
        <v>0.798611111111111</v>
      </c>
      <c r="H10" s="34" t="n">
        <v>0.902777777777778</v>
      </c>
      <c r="I10" s="33" t="n">
        <f aca="false">SUM(D10-C10, F10-E10, H10-G10)</f>
        <v>0.375</v>
      </c>
      <c r="J10" s="35" t="s">
        <v>115</v>
      </c>
      <c r="K10" s="1" t="n">
        <f aca="false">SUM((D10-C10)*2*24,(F10-E10)*2*24,(H10-G10)*2*24)</f>
        <v>18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0.8375</v>
      </c>
      <c r="D19" s="34" t="n">
        <v>0.879166666666667</v>
      </c>
      <c r="E19" s="33"/>
      <c r="F19" s="34"/>
      <c r="G19" s="33"/>
      <c r="H19" s="34"/>
      <c r="I19" s="33" t="n">
        <f aca="false">SUM(D19-C19, F19-E19, H19-G19)</f>
        <v>0.0416666666666667</v>
      </c>
      <c r="J19" s="35" t="s">
        <v>109</v>
      </c>
      <c r="K19" s="1" t="n">
        <f aca="false">SUM((D19-C19)*1.5*24)</f>
        <v>1.5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28.3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0.291666666666667</v>
      </c>
      <c r="D33" s="34" t="n">
        <v>0.333333333333333</v>
      </c>
      <c r="E33" s="33" t="n">
        <v>0.708333333333333</v>
      </c>
      <c r="F33" s="34" t="n">
        <v>0.791666666666667</v>
      </c>
      <c r="G33" s="33"/>
      <c r="H33" s="34"/>
      <c r="I33" s="33" t="n">
        <f aca="false">SUM(D33-C33, F33-E33, H33-G33)</f>
        <v>0.125</v>
      </c>
      <c r="J33" s="35" t="s">
        <v>116</v>
      </c>
      <c r="K33" s="1" t="n">
        <f aca="false">SUM((D33-C33)*1.5*24,(F33-E33)*1.5*24)</f>
        <v>4.5</v>
      </c>
    </row>
    <row r="34" customFormat="false" ht="32.8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0.3125</v>
      </c>
      <c r="D34" s="34" t="n">
        <v>0.333333333333333</v>
      </c>
      <c r="E34" s="33" t="n">
        <v>0.78125</v>
      </c>
      <c r="F34" s="34" t="n">
        <v>0.970138888888889</v>
      </c>
      <c r="G34" s="33"/>
      <c r="H34" s="34"/>
      <c r="I34" s="33" t="n">
        <f aca="false">SUM(D34-C34, F34-E34, H34-G34)</f>
        <v>0.209722222222222</v>
      </c>
      <c r="J34" s="35" t="s">
        <v>119</v>
      </c>
      <c r="K34" s="1" t="n">
        <f aca="false">SUM((D34-C34)*1.5*24,(F34-E34)*1.5*24,(H34-G34)*1.5*24)</f>
        <v>7.55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0" activeCellId="0" sqref="D30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120</v>
      </c>
      <c r="I2" s="8" t="n">
        <f aca="false">SUM(K6:K36)</f>
        <v>28.0083333333333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111</v>
      </c>
      <c r="I3" s="45" t="n">
        <f aca="false">SUM(I6:I36)*24</f>
        <v>17.4166666666667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4.1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4.1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4.1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4.1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4.1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4.1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4.1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4.1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4.1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4.1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4.1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4.1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4.1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4.1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4.1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4.1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4.1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4.1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4.1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40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0.784722222222222</v>
      </c>
      <c r="D25" s="34" t="n">
        <v>0.948611111111111</v>
      </c>
      <c r="E25" s="33"/>
      <c r="F25" s="34"/>
      <c r="G25" s="33"/>
      <c r="H25" s="34"/>
      <c r="I25" s="33" t="n">
        <f aca="false">SUM(D25-C25, F25-E25, H25-G25)</f>
        <v>0.163888888888889</v>
      </c>
      <c r="J25" s="35" t="s">
        <v>121</v>
      </c>
      <c r="K25" s="1" t="n">
        <f aca="false">SUM((D25-C25)*1.5*24)</f>
        <v>5.9</v>
      </c>
    </row>
    <row r="26" customFormat="false" ht="30.5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0.0534722222222222</v>
      </c>
      <c r="D26" s="34" t="n">
        <v>0.136805555555556</v>
      </c>
      <c r="E26" s="33"/>
      <c r="F26" s="34"/>
      <c r="G26" s="33"/>
      <c r="H26" s="34"/>
      <c r="I26" s="33" t="n">
        <f aca="false">SUM(D26-C26, F26-E26, H26-G26)</f>
        <v>0.0833333333333333</v>
      </c>
      <c r="J26" s="35" t="s">
        <v>102</v>
      </c>
      <c r="K26" s="1" t="n">
        <f aca="false">SUM((D26-C26)*2*24)</f>
        <v>4</v>
      </c>
    </row>
    <row r="27" customFormat="false" ht="26.1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 t="n">
        <v>0.708333333333333</v>
      </c>
      <c r="D27" s="34" t="n">
        <v>0.834027777777778</v>
      </c>
      <c r="E27" s="33" t="n">
        <v>0.872222222222222</v>
      </c>
      <c r="F27" s="34" t="n">
        <v>0.938194444444444</v>
      </c>
      <c r="G27" s="33"/>
      <c r="H27" s="34"/>
      <c r="I27" s="33" t="n">
        <f aca="false">SUM(D27-C27, F27-E27, H27-G27)</f>
        <v>0.191666666666667</v>
      </c>
      <c r="J27" s="35" t="s">
        <v>103</v>
      </c>
      <c r="K27" s="1" t="n">
        <f aca="false">SUM((D27-C27)*1.5*24,(F27-E27)*1.5*24)</f>
        <v>6.9</v>
      </c>
    </row>
    <row r="28" customFormat="false" ht="20.8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0.850694444444444</v>
      </c>
      <c r="D28" s="34" t="n">
        <v>0.918055555555556</v>
      </c>
      <c r="E28" s="33"/>
      <c r="F28" s="34"/>
      <c r="G28" s="33"/>
      <c r="H28" s="34"/>
      <c r="I28" s="33" t="n">
        <f aca="false">SUM(D28-C28, F28-E28, H28-G28)</f>
        <v>0.0673611111111111</v>
      </c>
      <c r="J28" s="35" t="s">
        <v>104</v>
      </c>
      <c r="K28" s="1" t="n">
        <f aca="false">SUM((D28-C28)*1.5*24)</f>
        <v>2.425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26.8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0.483333333333333</v>
      </c>
      <c r="D30" s="34" t="n">
        <v>0.513888888888889</v>
      </c>
      <c r="E30" s="33"/>
      <c r="F30" s="34"/>
      <c r="G30" s="33"/>
      <c r="H30" s="34"/>
      <c r="I30" s="33" t="n">
        <f aca="false">SUM(D30-C30, F30-E30, H30-G30)</f>
        <v>0.0305555555555556</v>
      </c>
      <c r="J30" s="35" t="s">
        <v>105</v>
      </c>
      <c r="K30" s="1" t="n">
        <f aca="false">SUM((D30-C30)*2*24)</f>
        <v>1.46666666666667</v>
      </c>
    </row>
    <row r="31" customFormat="false" ht="26.8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0.582638888888889</v>
      </c>
      <c r="D31" s="34" t="n">
        <v>0.625694444444444</v>
      </c>
      <c r="E31" s="33"/>
      <c r="F31" s="34"/>
      <c r="G31" s="33"/>
      <c r="H31" s="34"/>
      <c r="I31" s="33" t="n">
        <f aca="false">SUM(D31-C31, F31-E31, H31-G31)</f>
        <v>0.0430555555555556</v>
      </c>
      <c r="J31" s="35" t="s">
        <v>106</v>
      </c>
      <c r="K31" s="1" t="n">
        <f aca="false">SUM((D31-C31)*2*24)</f>
        <v>2.06666666666667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26.1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0.291666666666667</v>
      </c>
      <c r="D33" s="34" t="n">
        <v>0.333333333333333</v>
      </c>
      <c r="E33" s="33" t="n">
        <v>0.708333333333333</v>
      </c>
      <c r="F33" s="34" t="n">
        <v>0.791666666666667</v>
      </c>
      <c r="G33" s="33"/>
      <c r="H33" s="34"/>
      <c r="I33" s="33" t="n">
        <f aca="false">SUM(D33-C33, F33-E33, H33-G33)</f>
        <v>0.125</v>
      </c>
      <c r="J33" s="35" t="s">
        <v>116</v>
      </c>
      <c r="K33" s="1" t="n">
        <f aca="false">SUM((D33-C33)*1.5*24,(F33-E33)*1.5*24)</f>
        <v>4.5</v>
      </c>
    </row>
    <row r="34" customFormat="false" ht="21.6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0.3125</v>
      </c>
      <c r="D34" s="34" t="n">
        <v>0.333333333333333</v>
      </c>
      <c r="E34" s="33"/>
      <c r="F34" s="34"/>
      <c r="G34" s="33"/>
      <c r="H34" s="34"/>
      <c r="I34" s="33" t="n">
        <f aca="false">SUM(D34-C34, F34-E34, H34-G34)</f>
        <v>0.0208333333333333</v>
      </c>
      <c r="J34" s="35" t="s">
        <v>117</v>
      </c>
      <c r="K34" s="1" t="n">
        <f aca="false">SUM((D34-C34)*1.5*24)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122</v>
      </c>
      <c r="I2" s="8" t="n">
        <f aca="false">SUM(K6:K36)</f>
        <v>32.125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122</v>
      </c>
      <c r="I3" s="45" t="n">
        <f aca="false">SUM(I6:I36)*24</f>
        <v>21.4166666666667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0.270833333333333</v>
      </c>
      <c r="D6" s="30" t="n">
        <v>0.333333333333333</v>
      </c>
      <c r="E6" s="29" t="n">
        <v>0.708333333333333</v>
      </c>
      <c r="F6" s="30" t="n">
        <v>0.770833333333333</v>
      </c>
      <c r="G6" s="29"/>
      <c r="H6" s="30"/>
      <c r="I6" s="29" t="n">
        <f aca="false">SUM(D6-C6, F6-E6, H6-G6)</f>
        <v>0.125</v>
      </c>
      <c r="J6" s="31" t="s">
        <v>123</v>
      </c>
      <c r="K6" s="1" t="n">
        <f aca="false">SUM((D6-C6)*1.5*24,(F6-E6)*1.5*24)</f>
        <v>4.5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0.708333333333333</v>
      </c>
      <c r="D11" s="34" t="n">
        <v>0.770833333333333</v>
      </c>
      <c r="E11" s="33"/>
      <c r="F11" s="34"/>
      <c r="G11" s="33"/>
      <c r="H11" s="34"/>
      <c r="I11" s="33" t="n">
        <f aca="false">SUM(D11-C11, F11-E11, H11-G11)</f>
        <v>0.0625</v>
      </c>
      <c r="J11" s="35" t="s">
        <v>124</v>
      </c>
      <c r="K11" s="1" t="n">
        <f aca="false">SUM((D11-C11)*1.5*24)</f>
        <v>2.25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0.28125</v>
      </c>
      <c r="D20" s="34" t="n">
        <v>0.333333333333333</v>
      </c>
      <c r="E20" s="33" t="n">
        <v>0.708333333333333</v>
      </c>
      <c r="F20" s="34" t="n">
        <v>0.8125</v>
      </c>
      <c r="G20" s="33"/>
      <c r="H20" s="34"/>
      <c r="I20" s="33" t="n">
        <f aca="false">SUM(D20-C20, F20-E20, H20-G20)</f>
        <v>0.15625</v>
      </c>
      <c r="J20" s="35" t="s">
        <v>125</v>
      </c>
      <c r="K20" s="1" t="n">
        <f aca="false">SUM((D20-C20)*1.5*24,(F20-E20)*1.5*24)</f>
        <v>5.625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 t="n">
        <v>0.708333333333333</v>
      </c>
      <c r="D25" s="34" t="n">
        <v>0.75</v>
      </c>
      <c r="E25" s="33"/>
      <c r="F25" s="34"/>
      <c r="G25" s="33"/>
      <c r="H25" s="34"/>
      <c r="I25" s="33" t="n">
        <f aca="false">SUM(D25-C25, F25-E25, H25-G25)</f>
        <v>0.0416666666666667</v>
      </c>
      <c r="J25" s="35" t="s">
        <v>126</v>
      </c>
      <c r="K25" s="1" t="n">
        <f aca="false">SUM((D25-C25)*1.5*24)</f>
        <v>1.5</v>
      </c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 t="n">
        <v>0.708333333333333</v>
      </c>
      <c r="D27" s="34" t="n">
        <v>0.868055555555556</v>
      </c>
      <c r="E27" s="33"/>
      <c r="F27" s="34"/>
      <c r="G27" s="33"/>
      <c r="H27" s="34"/>
      <c r="I27" s="33" t="n">
        <f aca="false">SUM(D27-C27, F27-E27, H27-G27)</f>
        <v>0.159722222222222</v>
      </c>
      <c r="J27" s="35" t="s">
        <v>127</v>
      </c>
      <c r="K27" s="1" t="n">
        <f aca="false">SUM((D27-C27)*1.5*24)</f>
        <v>5.75</v>
      </c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0.739583333333333</v>
      </c>
      <c r="D29" s="34" t="n">
        <v>0.847222222222222</v>
      </c>
      <c r="E29" s="33"/>
      <c r="F29" s="34"/>
      <c r="G29" s="33"/>
      <c r="H29" s="34"/>
      <c r="I29" s="33" t="n">
        <f aca="false">SUM(D29-C29, F29-E29, H29-G29)</f>
        <v>0.107638888888889</v>
      </c>
      <c r="J29" s="35" t="s">
        <v>128</v>
      </c>
      <c r="K29" s="1" t="n">
        <f aca="false">SUM((D29-C29)*1.5*24)</f>
        <v>3.875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0.708333333333333</v>
      </c>
      <c r="D32" s="34" t="n">
        <v>0.833333333333333</v>
      </c>
      <c r="E32" s="33"/>
      <c r="F32" s="34"/>
      <c r="G32" s="33"/>
      <c r="H32" s="34"/>
      <c r="I32" s="33" t="n">
        <f aca="false">SUM(D32-C32, F32-E32, H32-G32)</f>
        <v>0.125</v>
      </c>
      <c r="J32" s="35" t="s">
        <v>129</v>
      </c>
      <c r="K32" s="1" t="n">
        <f aca="false">SUM((D32-C32)*1.5*24)</f>
        <v>4.5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0.302083333333333</v>
      </c>
      <c r="D33" s="34" t="n">
        <v>0.333333333333333</v>
      </c>
      <c r="E33" s="33" t="n">
        <v>0.708333333333333</v>
      </c>
      <c r="F33" s="34" t="n">
        <v>0.770833333333333</v>
      </c>
      <c r="G33" s="33"/>
      <c r="H33" s="34"/>
      <c r="I33" s="33" t="n">
        <f aca="false">SUM(D33-C33, F33-E33, H33-G33)</f>
        <v>0.09375</v>
      </c>
      <c r="J33" s="35" t="s">
        <v>130</v>
      </c>
      <c r="K33" s="1" t="n">
        <f aca="false">SUM((D33-C33)*1.5*24,(F33-E33)*1.5*24)</f>
        <v>3.375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0.3125</v>
      </c>
      <c r="D34" s="34" t="n">
        <v>0.333333333333333</v>
      </c>
      <c r="E34" s="33"/>
      <c r="F34" s="34"/>
      <c r="G34" s="33"/>
      <c r="H34" s="34"/>
      <c r="I34" s="33" t="n">
        <f aca="false">SUM(D34-C34, F34-E34, H34-G34)</f>
        <v>0.0208333333333333</v>
      </c>
      <c r="J34" s="35" t="s">
        <v>131</v>
      </c>
      <c r="K34" s="1" t="n">
        <f aca="false">SUM((D34-C34)*1.5*24)</f>
        <v>0.75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132</v>
      </c>
      <c r="I2" s="8" t="n">
        <f aca="false">SUM(K6:K36)</f>
        <v>29.95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133</v>
      </c>
      <c r="I3" s="45" t="n">
        <f aca="false">SUM(I6:I36)*24</f>
        <v>17.6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0.431944444444445</v>
      </c>
      <c r="D9" s="34" t="n">
        <v>0.475694444444444</v>
      </c>
      <c r="E9" s="33"/>
      <c r="F9" s="34"/>
      <c r="G9" s="33"/>
      <c r="H9" s="34"/>
      <c r="I9" s="33" t="n">
        <f aca="false">SUM(D9-C9, F9-E9, H9-G9)</f>
        <v>0.04375</v>
      </c>
      <c r="J9" s="35" t="s">
        <v>134</v>
      </c>
      <c r="K9" s="1" t="n">
        <f aca="false">SUM((D9-C9)*2*24)</f>
        <v>2.1</v>
      </c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0.638194444444444</v>
      </c>
      <c r="D10" s="34" t="n">
        <v>0.688194444444444</v>
      </c>
      <c r="E10" s="33"/>
      <c r="F10" s="34"/>
      <c r="G10" s="33"/>
      <c r="H10" s="34"/>
      <c r="I10" s="33" t="n">
        <f aca="false">SUM(D10-C10, F10-E10, H10-G10)</f>
        <v>0.05</v>
      </c>
      <c r="J10" s="35" t="s">
        <v>135</v>
      </c>
      <c r="K10" s="1" t="n">
        <f aca="false">SUM((D10-C10)*2*24)</f>
        <v>2.4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0.708333333333333</v>
      </c>
      <c r="D14" s="34" t="n">
        <v>0.8125</v>
      </c>
      <c r="E14" s="33"/>
      <c r="F14" s="34"/>
      <c r="G14" s="33"/>
      <c r="H14" s="34"/>
      <c r="I14" s="33" t="n">
        <f aca="false">SUM(D14-C14, F14-E14, H14-G14)</f>
        <v>0.104166666666667</v>
      </c>
      <c r="J14" s="35" t="s">
        <v>136</v>
      </c>
      <c r="K14" s="1" t="n">
        <f aca="false">SUM((D14-C14)*1.5*24)</f>
        <v>3.75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0.25</v>
      </c>
      <c r="D15" s="34" t="n">
        <v>0.333333333333333</v>
      </c>
      <c r="E15" s="33" t="n">
        <v>0.708333333333333</v>
      </c>
      <c r="F15" s="34" t="n">
        <v>0.75</v>
      </c>
      <c r="G15" s="33"/>
      <c r="H15" s="34"/>
      <c r="I15" s="33" t="n">
        <f aca="false">SUM(D15-C15, F15-E15, H15-G15)</f>
        <v>0.125</v>
      </c>
      <c r="J15" s="35" t="s">
        <v>137</v>
      </c>
      <c r="K15" s="1" t="n">
        <f aca="false">SUM((D15-C15)*1.5*24,(F15-E15)*1.5*24)</f>
        <v>4.5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0.291666666666667</v>
      </c>
      <c r="D20" s="34" t="n">
        <v>0.333333333333333</v>
      </c>
      <c r="E20" s="33" t="n">
        <v>0.708333333333333</v>
      </c>
      <c r="F20" s="34" t="n">
        <v>0.791666666666667</v>
      </c>
      <c r="G20" s="33"/>
      <c r="H20" s="34"/>
      <c r="I20" s="33" t="n">
        <f aca="false">SUM(D20-C20, F20-E20, H20-G20)</f>
        <v>0.125</v>
      </c>
      <c r="J20" s="35" t="s">
        <v>138</v>
      </c>
      <c r="K20" s="1" t="n">
        <f aca="false">SUM((D20-C20)*1.5*24,(F20-E20)*1.5*24)</f>
        <v>4.5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0.3375</v>
      </c>
      <c r="D23" s="34" t="n">
        <v>0.495138888888889</v>
      </c>
      <c r="E23" s="33"/>
      <c r="F23" s="34"/>
      <c r="G23" s="33"/>
      <c r="H23" s="34"/>
      <c r="I23" s="33" t="n">
        <f aca="false">SUM(D23-C23, F23-E23, H23-G23)</f>
        <v>0.157638888888889</v>
      </c>
      <c r="J23" s="35" t="s">
        <v>139</v>
      </c>
      <c r="K23" s="1" t="n">
        <f aca="false">SUM((D23-C23)*2*24)</f>
        <v>7.56666666666667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0.74375</v>
      </c>
      <c r="D24" s="34" t="n">
        <v>0.788194444444444</v>
      </c>
      <c r="E24" s="33"/>
      <c r="F24" s="34"/>
      <c r="G24" s="33"/>
      <c r="H24" s="34"/>
      <c r="I24" s="33" t="n">
        <f aca="false">SUM(D24-C24, F24-E24, H24-G24)</f>
        <v>0.0444444444444444</v>
      </c>
      <c r="J24" s="35" t="s">
        <v>140</v>
      </c>
      <c r="K24" s="1" t="n">
        <f aca="false">SUM((D24-C24)*2*24)</f>
        <v>2.13333333333333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0.291666666666667</v>
      </c>
      <c r="D34" s="34" t="n">
        <v>0.333333333333333</v>
      </c>
      <c r="E34" s="33" t="n">
        <v>0.708333333333333</v>
      </c>
      <c r="F34" s="34" t="n">
        <v>0.75</v>
      </c>
      <c r="G34" s="33"/>
      <c r="H34" s="34"/>
      <c r="I34" s="33" t="n">
        <f aca="false">SUM(D34-C34, F34-E34, H34-G34)</f>
        <v>0.0833333333333333</v>
      </c>
      <c r="J34" s="35" t="s">
        <v>141</v>
      </c>
      <c r="K34" s="1" t="n">
        <f aca="false">SUM((D34-C34)*1.5*24,(F34-E34)*1.5*24)</f>
        <v>3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142</v>
      </c>
      <c r="I2" s="8" t="n">
        <f aca="false">SUM(K6:K36)</f>
        <v>39.525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133</v>
      </c>
      <c r="I3" s="45" t="n">
        <f aca="false">SUM(I6:I36)*24</f>
        <v>23.9833333333333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0.431944444444445</v>
      </c>
      <c r="D9" s="34" t="n">
        <v>0.475694444444444</v>
      </c>
      <c r="E9" s="33"/>
      <c r="F9" s="34"/>
      <c r="G9" s="33"/>
      <c r="H9" s="34"/>
      <c r="I9" s="33" t="n">
        <f aca="false">SUM(D9-C9, F9-E9, H9-G9)</f>
        <v>0.04375</v>
      </c>
      <c r="J9" s="35" t="s">
        <v>134</v>
      </c>
      <c r="K9" s="1" t="n">
        <f aca="false">SUM((D9-C9)*2*24)</f>
        <v>2.1</v>
      </c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0.638194444444444</v>
      </c>
      <c r="D10" s="34" t="n">
        <v>0.688194444444444</v>
      </c>
      <c r="E10" s="33"/>
      <c r="F10" s="34"/>
      <c r="G10" s="33"/>
      <c r="H10" s="34"/>
      <c r="I10" s="33" t="n">
        <f aca="false">SUM(D10-C10, F10-E10, H10-G10)</f>
        <v>0.05</v>
      </c>
      <c r="J10" s="35" t="s">
        <v>135</v>
      </c>
      <c r="K10" s="1" t="n">
        <f aca="false">SUM((D10-C10)*2*24)</f>
        <v>2.4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0.708333333333333</v>
      </c>
      <c r="D14" s="34" t="n">
        <v>0.8125</v>
      </c>
      <c r="E14" s="33"/>
      <c r="F14" s="34"/>
      <c r="G14" s="33"/>
      <c r="H14" s="34"/>
      <c r="I14" s="33" t="n">
        <f aca="false">SUM(D14-C14, F14-E14, H14-G14)</f>
        <v>0.104166666666667</v>
      </c>
      <c r="J14" s="35" t="s">
        <v>136</v>
      </c>
      <c r="K14" s="1" t="n">
        <f aca="false">SUM((D14-C14)*1.5*24)</f>
        <v>3.75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0.25</v>
      </c>
      <c r="D15" s="34" t="n">
        <v>0.333333333333333</v>
      </c>
      <c r="E15" s="33" t="n">
        <v>0.708333333333333</v>
      </c>
      <c r="F15" s="34" t="n">
        <v>0.75</v>
      </c>
      <c r="G15" s="33"/>
      <c r="H15" s="34"/>
      <c r="I15" s="33" t="n">
        <f aca="false">SUM(D15-C15, F15-E15, H15-G15)</f>
        <v>0.125</v>
      </c>
      <c r="J15" s="35" t="s">
        <v>137</v>
      </c>
      <c r="K15" s="1" t="n">
        <f aca="false">SUM((D15-C15)*1.5*24,(F15-E15)*1.5*24)</f>
        <v>4.5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0.291666666666667</v>
      </c>
      <c r="D20" s="34" t="n">
        <v>0.333333333333333</v>
      </c>
      <c r="E20" s="33" t="n">
        <v>0.708333333333333</v>
      </c>
      <c r="F20" s="34" t="n">
        <v>0.791666666666667</v>
      </c>
      <c r="G20" s="33"/>
      <c r="H20" s="34"/>
      <c r="I20" s="33" t="n">
        <f aca="false">SUM(D20-C20, F20-E20, H20-G20)</f>
        <v>0.125</v>
      </c>
      <c r="J20" s="35" t="s">
        <v>138</v>
      </c>
      <c r="K20" s="1" t="n">
        <f aca="false">SUM((D20-C20)*1.5*24,(F20-E20)*1.5*24)</f>
        <v>4.5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0.3375</v>
      </c>
      <c r="D23" s="34" t="n">
        <v>0.495138888888889</v>
      </c>
      <c r="E23" s="33"/>
      <c r="F23" s="34"/>
      <c r="G23" s="33"/>
      <c r="H23" s="34"/>
      <c r="I23" s="33" t="n">
        <f aca="false">SUM(D23-C23, F23-E23, H23-G23)</f>
        <v>0.157638888888889</v>
      </c>
      <c r="J23" s="35" t="s">
        <v>139</v>
      </c>
      <c r="K23" s="1" t="n">
        <f aca="false">SUM((D23-C23)*2*24)</f>
        <v>7.56666666666667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0.74375</v>
      </c>
      <c r="D24" s="34" t="n">
        <v>0.788194444444444</v>
      </c>
      <c r="E24" s="33"/>
      <c r="F24" s="34"/>
      <c r="G24" s="33"/>
      <c r="H24" s="34"/>
      <c r="I24" s="33" t="n">
        <f aca="false">SUM(D24-C24, F24-E24, H24-G24)</f>
        <v>0.0444444444444444</v>
      </c>
      <c r="J24" s="35" t="s">
        <v>140</v>
      </c>
      <c r="K24" s="1" t="n">
        <f aca="false">SUM((D24-C24)*2*24)</f>
        <v>2.13333333333333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0.830555555555556</v>
      </c>
      <c r="D28" s="34" t="n">
        <v>0.896527777777778</v>
      </c>
      <c r="E28" s="33"/>
      <c r="F28" s="34"/>
      <c r="G28" s="33"/>
      <c r="H28" s="34"/>
      <c r="I28" s="33" t="n">
        <f aca="false">SUM(D28-C28, F28-E28, H28-G28)</f>
        <v>0.0659722222222222</v>
      </c>
      <c r="J28" s="35" t="s">
        <v>143</v>
      </c>
      <c r="K28" s="1" t="n">
        <f aca="false">SUM((D28-C28)*1.5*24)</f>
        <v>2.375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0.885416666666667</v>
      </c>
      <c r="D32" s="34" t="n">
        <v>0.999305555555556</v>
      </c>
      <c r="E32" s="33"/>
      <c r="F32" s="34"/>
      <c r="G32" s="33"/>
      <c r="H32" s="34"/>
      <c r="I32" s="33" t="n">
        <f aca="false">SUM(D32-C32, F32-E32, H32-G32)</f>
        <v>0.113888888888889</v>
      </c>
      <c r="J32" s="35" t="s">
        <v>144</v>
      </c>
      <c r="K32" s="1" t="n">
        <f aca="false">SUM((D32-C32)*1.5*24)</f>
        <v>4.1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0.291666666666667</v>
      </c>
      <c r="D34" s="34" t="n">
        <v>0.333333333333333</v>
      </c>
      <c r="E34" s="33" t="n">
        <v>0.708333333333333</v>
      </c>
      <c r="F34" s="34" t="n">
        <v>0.75</v>
      </c>
      <c r="G34" s="33" t="n">
        <v>0.790277777777778</v>
      </c>
      <c r="H34" s="34" t="n">
        <v>0.876388888888889</v>
      </c>
      <c r="I34" s="33" t="n">
        <f aca="false">SUM(D34-C34, F34-E34, H34-G34)</f>
        <v>0.169444444444444</v>
      </c>
      <c r="J34" s="35" t="s">
        <v>141</v>
      </c>
      <c r="K34" s="1" t="n">
        <f aca="false">SUM((D34-C34)*1.5*24,(F34-E34)*1.5*24,(H34-G34)*1.5*24)</f>
        <v>6.1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145</v>
      </c>
      <c r="I2" s="8" t="n">
        <f aca="false">SUM(K6:K36)</f>
        <v>47.625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133</v>
      </c>
      <c r="I3" s="45" t="n">
        <f aca="false">SUM(I6:I36)*24</f>
        <v>27.5166666666667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0.708333333333333</v>
      </c>
      <c r="D14" s="34" t="n">
        <v>0.8125</v>
      </c>
      <c r="E14" s="33"/>
      <c r="F14" s="34"/>
      <c r="G14" s="33"/>
      <c r="H14" s="34"/>
      <c r="I14" s="33" t="n">
        <f aca="false">SUM(D14-C14, F14-E14, H14-G14)</f>
        <v>0.104166666666667</v>
      </c>
      <c r="J14" s="35" t="s">
        <v>136</v>
      </c>
      <c r="K14" s="1" t="n">
        <f aca="false">SUM((D14-C14)*1.5*24)</f>
        <v>3.75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0.25</v>
      </c>
      <c r="D15" s="34" t="n">
        <v>0.333333333333333</v>
      </c>
      <c r="E15" s="33" t="n">
        <v>0.708333333333333</v>
      </c>
      <c r="F15" s="34" t="n">
        <v>0.75</v>
      </c>
      <c r="G15" s="33"/>
      <c r="H15" s="34"/>
      <c r="I15" s="33" t="n">
        <f aca="false">SUM(D15-C15, F15-E15, H15-G15)</f>
        <v>0.125</v>
      </c>
      <c r="J15" s="35" t="s">
        <v>137</v>
      </c>
      <c r="K15" s="1" t="n">
        <f aca="false">SUM((D15-C15)*1.5*24,(F15-E15)*1.5*24)</f>
        <v>4.5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0.55625</v>
      </c>
      <c r="D16" s="34" t="n">
        <v>0.709722222222222</v>
      </c>
      <c r="E16" s="33"/>
      <c r="F16" s="34"/>
      <c r="G16" s="33"/>
      <c r="H16" s="34"/>
      <c r="I16" s="33" t="n">
        <f aca="false">SUM(D16-C16, F16-E16, H16-G16)</f>
        <v>0.153472222222222</v>
      </c>
      <c r="J16" s="35" t="s">
        <v>146</v>
      </c>
      <c r="K16" s="1" t="n">
        <f aca="false">SUM((D16-C16)*2*24)</f>
        <v>7.36666666666667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0.586111111111111</v>
      </c>
      <c r="D17" s="34" t="n">
        <v>0.682638888888889</v>
      </c>
      <c r="E17" s="33"/>
      <c r="F17" s="34"/>
      <c r="G17" s="33"/>
      <c r="H17" s="34"/>
      <c r="I17" s="33" t="n">
        <f aca="false">SUM(D17-C17, F17-E17, H17-G17)</f>
        <v>0.0965277777777778</v>
      </c>
      <c r="J17" s="35" t="s">
        <v>147</v>
      </c>
      <c r="K17" s="1" t="n">
        <f aca="false">SUM((D17-C17)*2*24)</f>
        <v>4.63333333333333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0.291666666666667</v>
      </c>
      <c r="D20" s="34" t="n">
        <v>0.333333333333333</v>
      </c>
      <c r="E20" s="33" t="n">
        <v>0.708333333333333</v>
      </c>
      <c r="F20" s="34" t="n">
        <v>0.791666666666667</v>
      </c>
      <c r="G20" s="33"/>
      <c r="H20" s="34"/>
      <c r="I20" s="33" t="n">
        <f aca="false">SUM(D20-C20, F20-E20, H20-G20)</f>
        <v>0.125</v>
      </c>
      <c r="J20" s="35" t="s">
        <v>138</v>
      </c>
      <c r="K20" s="1" t="n">
        <f aca="false">SUM((D20-C20)*1.5*24,(F20-E20)*1.5*24)</f>
        <v>4.5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0.830555555555556</v>
      </c>
      <c r="D28" s="34" t="n">
        <v>0.896527777777778</v>
      </c>
      <c r="E28" s="33"/>
      <c r="F28" s="34"/>
      <c r="G28" s="33"/>
      <c r="H28" s="34"/>
      <c r="I28" s="33" t="n">
        <f aca="false">SUM(D28-C28, F28-E28, H28-G28)</f>
        <v>0.0659722222222222</v>
      </c>
      <c r="J28" s="35" t="s">
        <v>143</v>
      </c>
      <c r="K28" s="1" t="n">
        <f aca="false">SUM((D28-C28)*1.5*24)</f>
        <v>2.375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0.663888888888889</v>
      </c>
      <c r="D30" s="34" t="n">
        <v>0.875</v>
      </c>
      <c r="E30" s="33"/>
      <c r="F30" s="34"/>
      <c r="G30" s="33"/>
      <c r="H30" s="34"/>
      <c r="I30" s="33" t="n">
        <f aca="false">SUM(D30-C30, F30-E30, H30-G30)</f>
        <v>0.211111111111111</v>
      </c>
      <c r="J30" s="35" t="s">
        <v>148</v>
      </c>
      <c r="K30" s="1" t="n">
        <f aca="false">SUM((D30-C30)*2*24)</f>
        <v>10.1333333333333</v>
      </c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0.578472222222222</v>
      </c>
      <c r="D31" s="34" t="n">
        <v>0.646527777777778</v>
      </c>
      <c r="E31" s="33"/>
      <c r="F31" s="34"/>
      <c r="G31" s="33"/>
      <c r="H31" s="34"/>
      <c r="I31" s="33" t="n">
        <f aca="false">SUM(D31-C31, F31-E31, H31-G31)</f>
        <v>0.0680555555555556</v>
      </c>
      <c r="J31" s="35" t="s">
        <v>149</v>
      </c>
      <c r="K31" s="1" t="n">
        <f aca="false">SUM((D31-C31)*2*24)</f>
        <v>3.26666666666667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0.885416666666667</v>
      </c>
      <c r="D32" s="34" t="n">
        <v>0.999305555555556</v>
      </c>
      <c r="E32" s="33"/>
      <c r="F32" s="34"/>
      <c r="G32" s="33"/>
      <c r="H32" s="34"/>
      <c r="I32" s="33" t="n">
        <f aca="false">SUM(D32-C32, F32-E32, H32-G32)</f>
        <v>0.113888888888889</v>
      </c>
      <c r="J32" s="35" t="s">
        <v>144</v>
      </c>
      <c r="K32" s="1" t="n">
        <f aca="false">SUM((D32-C32)*1.5*24)</f>
        <v>4.1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0.291666666666667</v>
      </c>
      <c r="D34" s="34" t="n">
        <v>0.333333333333333</v>
      </c>
      <c r="E34" s="33" t="n">
        <v>0.708333333333333</v>
      </c>
      <c r="F34" s="34" t="n">
        <v>0.75</v>
      </c>
      <c r="G34" s="33"/>
      <c r="H34" s="34"/>
      <c r="I34" s="33" t="n">
        <f aca="false">SUM(D34-C34, F34-E34, H34-G34)</f>
        <v>0.0833333333333333</v>
      </c>
      <c r="J34" s="35" t="s">
        <v>141</v>
      </c>
      <c r="K34" s="1" t="n">
        <f aca="false">SUM((D34-C34)*1.5*24,(F34-E34)*1.5*24)</f>
        <v>3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150</v>
      </c>
      <c r="I2" s="8" t="n">
        <f aca="false">SUM(K6:K36)</f>
        <v>41.15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133</v>
      </c>
      <c r="I3" s="45" t="n">
        <f aca="false">SUM(I6:I36)*24</f>
        <v>23.2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0.708333333333333</v>
      </c>
      <c r="D14" s="34" t="n">
        <v>0.8125</v>
      </c>
      <c r="E14" s="33"/>
      <c r="F14" s="34"/>
      <c r="G14" s="33"/>
      <c r="H14" s="34"/>
      <c r="I14" s="33" t="n">
        <f aca="false">SUM(D14-C14, F14-E14, H14-G14)</f>
        <v>0.104166666666667</v>
      </c>
      <c r="J14" s="35" t="s">
        <v>136</v>
      </c>
      <c r="K14" s="1" t="n">
        <f aca="false">SUM((D14-C14)*1.5*24)</f>
        <v>3.75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0.25</v>
      </c>
      <c r="D15" s="34" t="n">
        <v>0.333333333333333</v>
      </c>
      <c r="E15" s="33" t="n">
        <v>0.708333333333333</v>
      </c>
      <c r="F15" s="34" t="n">
        <v>0.75</v>
      </c>
      <c r="G15" s="33"/>
      <c r="H15" s="34"/>
      <c r="I15" s="33" t="n">
        <f aca="false">SUM(D15-C15, F15-E15, H15-G15)</f>
        <v>0.125</v>
      </c>
      <c r="J15" s="35" t="s">
        <v>137</v>
      </c>
      <c r="K15" s="1" t="n">
        <f aca="false">SUM((D15-C15)*1.5*24,(F15-E15)*1.5*24)</f>
        <v>4.5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0.55625</v>
      </c>
      <c r="D16" s="34" t="n">
        <v>0.709722222222222</v>
      </c>
      <c r="E16" s="33"/>
      <c r="F16" s="34"/>
      <c r="G16" s="33"/>
      <c r="H16" s="34"/>
      <c r="I16" s="33" t="n">
        <f aca="false">SUM(D16-C16, F16-E16, H16-G16)</f>
        <v>0.153472222222222</v>
      </c>
      <c r="J16" s="35" t="s">
        <v>146</v>
      </c>
      <c r="K16" s="1" t="n">
        <f aca="false">SUM((D16-C16)*2*24)</f>
        <v>7.36666666666667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0.586111111111111</v>
      </c>
      <c r="D17" s="34" t="n">
        <v>0.682638888888889</v>
      </c>
      <c r="E17" s="33"/>
      <c r="F17" s="34"/>
      <c r="G17" s="33"/>
      <c r="H17" s="34"/>
      <c r="I17" s="33" t="n">
        <f aca="false">SUM(D17-C17, F17-E17, H17-G17)</f>
        <v>0.0965277777777778</v>
      </c>
      <c r="J17" s="35" t="s">
        <v>147</v>
      </c>
      <c r="K17" s="1" t="n">
        <f aca="false">SUM((D17-C17)*2*24)</f>
        <v>4.63333333333333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0.291666666666667</v>
      </c>
      <c r="D20" s="34" t="n">
        <v>0.333333333333333</v>
      </c>
      <c r="E20" s="33" t="n">
        <v>0.708333333333333</v>
      </c>
      <c r="F20" s="34" t="n">
        <v>0.791666666666667</v>
      </c>
      <c r="G20" s="33"/>
      <c r="H20" s="34"/>
      <c r="I20" s="33" t="n">
        <f aca="false">SUM(D20-C20, F20-E20, H20-G20)</f>
        <v>0.125</v>
      </c>
      <c r="J20" s="35" t="s">
        <v>138</v>
      </c>
      <c r="K20" s="1" t="n">
        <f aca="false">SUM((D20-C20)*1.5*24,(F20-E20)*1.5*24)</f>
        <v>4.5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0.663888888888889</v>
      </c>
      <c r="D30" s="34" t="n">
        <v>0.875</v>
      </c>
      <c r="E30" s="33"/>
      <c r="F30" s="34"/>
      <c r="G30" s="33"/>
      <c r="H30" s="34"/>
      <c r="I30" s="33" t="n">
        <f aca="false">SUM(D30-C30, F30-E30, H30-G30)</f>
        <v>0.211111111111111</v>
      </c>
      <c r="J30" s="35" t="s">
        <v>148</v>
      </c>
      <c r="K30" s="1" t="n">
        <f aca="false">SUM((D30-C30)*2*24)</f>
        <v>10.1333333333333</v>
      </c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0.578472222222222</v>
      </c>
      <c r="D31" s="34" t="n">
        <v>0.646527777777778</v>
      </c>
      <c r="E31" s="33"/>
      <c r="F31" s="34"/>
      <c r="G31" s="33"/>
      <c r="H31" s="34"/>
      <c r="I31" s="33" t="n">
        <f aca="false">SUM(D31-C31, F31-E31, H31-G31)</f>
        <v>0.0680555555555556</v>
      </c>
      <c r="J31" s="35" t="s">
        <v>149</v>
      </c>
      <c r="K31" s="1" t="n">
        <f aca="false">SUM((D31-C31)*2*24)</f>
        <v>3.26666666666667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 t="n">
        <v>0.291666666666667</v>
      </c>
      <c r="D34" s="34" t="n">
        <v>0.333333333333333</v>
      </c>
      <c r="E34" s="33" t="n">
        <v>0.708333333333333</v>
      </c>
      <c r="F34" s="34" t="n">
        <v>0.75</v>
      </c>
      <c r="G34" s="33"/>
      <c r="H34" s="34"/>
      <c r="I34" s="33" t="n">
        <f aca="false">SUM(D34-C34, F34-E34, H34-G34)</f>
        <v>0.0833333333333333</v>
      </c>
      <c r="J34" s="35" t="s">
        <v>141</v>
      </c>
      <c r="K34" s="1" t="n">
        <f aca="false">SUM((D34-C34)*1.5*24,(F34-E34)*1.5*24)</f>
        <v>3</v>
      </c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151</v>
      </c>
      <c r="I2" s="8" t="n">
        <f aca="false">SUM(K6:K36)</f>
        <v>23.9333333333333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152</v>
      </c>
      <c r="I3" s="45" t="n">
        <f aca="false">SUM(I6:I36)*24</f>
        <v>14.6666666666667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0.25</v>
      </c>
      <c r="D14" s="34" t="n">
        <v>0.333333333333333</v>
      </c>
      <c r="E14" s="33" t="n">
        <v>0.708333333333333</v>
      </c>
      <c r="F14" s="34" t="n">
        <v>0.754166666666667</v>
      </c>
      <c r="G14" s="33"/>
      <c r="H14" s="34"/>
      <c r="I14" s="33" t="n">
        <f aca="false">SUM(D14-C14, F14-E14, H14-G14)</f>
        <v>0.129166666666667</v>
      </c>
      <c r="J14" s="35" t="s">
        <v>153</v>
      </c>
      <c r="K14" s="1" t="n">
        <f aca="false">SUM((D14-C14)*1.5*24,(F14-E14)*1.5*24)</f>
        <v>4.65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0.270833333333333</v>
      </c>
      <c r="D15" s="34" t="n">
        <v>0.333333333333333</v>
      </c>
      <c r="E15" s="33"/>
      <c r="F15" s="34"/>
      <c r="G15" s="33"/>
      <c r="H15" s="34"/>
      <c r="I15" s="33" t="n">
        <f aca="false">SUM(D15-C15, F15-E15, H15-G15)</f>
        <v>0.0625</v>
      </c>
      <c r="J15" s="35" t="s">
        <v>154</v>
      </c>
      <c r="K15" s="1" t="n">
        <f aca="false">SUM((D15-C15)*1.5*24)</f>
        <v>2.25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0.293055555555556</v>
      </c>
      <c r="D20" s="34" t="n">
        <v>0.333333333333333</v>
      </c>
      <c r="E20" s="33" t="n">
        <v>0.708333333333333</v>
      </c>
      <c r="F20" s="34" t="n">
        <v>0.802083333333333</v>
      </c>
      <c r="G20" s="33"/>
      <c r="H20" s="34"/>
      <c r="I20" s="33" t="n">
        <f aca="false">SUM(D20-C20, F20-E20, H20-G20)</f>
        <v>0.134027777777778</v>
      </c>
      <c r="J20" s="35" t="s">
        <v>155</v>
      </c>
      <c r="K20" s="1" t="n">
        <f aca="false">SUM((D20-C20)*1.5*24,(F20-E20)*1.5*24)</f>
        <v>4.825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0.324305555555556</v>
      </c>
      <c r="D24" s="34" t="n">
        <v>0.485416666666667</v>
      </c>
      <c r="E24" s="33"/>
      <c r="F24" s="34"/>
      <c r="G24" s="33"/>
      <c r="H24" s="34"/>
      <c r="I24" s="33" t="n">
        <f aca="false">SUM(D24-C24, F24-E24, H24-G24)</f>
        <v>0.161111111111111</v>
      </c>
      <c r="J24" s="35" t="s">
        <v>156</v>
      </c>
      <c r="K24" s="1" t="n">
        <f aca="false">SUM((D24-C24)*2*24)</f>
        <v>7.73333333333333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 t="n">
        <v>0.708333333333333</v>
      </c>
      <c r="D27" s="34" t="n">
        <v>0.757638888888889</v>
      </c>
      <c r="E27" s="33"/>
      <c r="F27" s="34"/>
      <c r="G27" s="33"/>
      <c r="H27" s="34"/>
      <c r="I27" s="33" t="n">
        <f aca="false">SUM(D27-C27, F27-E27, H27-G27)</f>
        <v>0.0493055555555556</v>
      </c>
      <c r="J27" s="35" t="s">
        <v>157</v>
      </c>
      <c r="K27" s="1" t="n">
        <f aca="false">SUM((D27-C27)*1.5*24)</f>
        <v>1.775</v>
      </c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0.783333333333333</v>
      </c>
      <c r="E33" s="33"/>
      <c r="F33" s="34"/>
      <c r="G33" s="33"/>
      <c r="H33" s="34"/>
      <c r="I33" s="33" t="n">
        <f aca="false">SUM(D33-C33, F33-E33, H33-G33)</f>
        <v>0.075</v>
      </c>
      <c r="J33" s="35" t="s">
        <v>158</v>
      </c>
      <c r="K33" s="1" t="n">
        <f aca="false">SUM((D33-C33)*1.5*24)</f>
        <v>2.7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159</v>
      </c>
      <c r="I2" s="8" t="n">
        <f aca="false">SUM(K6:K36)</f>
        <v>14.425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152</v>
      </c>
      <c r="I3" s="45" t="n">
        <f aca="false">SUM(I6:I36)*24</f>
        <v>9.61666666666667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0.25</v>
      </c>
      <c r="D14" s="34" t="n">
        <v>0.333333333333333</v>
      </c>
      <c r="E14" s="33" t="n">
        <v>0.708333333333333</v>
      </c>
      <c r="F14" s="34" t="n">
        <v>0.754166666666667</v>
      </c>
      <c r="G14" s="33"/>
      <c r="H14" s="34"/>
      <c r="I14" s="33" t="n">
        <f aca="false">SUM(D14-C14, F14-E14, H14-G14)</f>
        <v>0.129166666666667</v>
      </c>
      <c r="J14" s="35" t="s">
        <v>153</v>
      </c>
      <c r="K14" s="1" t="n">
        <f aca="false">SUM((D14-C14)*1.5*24,(F14-E14)*1.5*24)</f>
        <v>4.65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0.270833333333333</v>
      </c>
      <c r="D15" s="34" t="n">
        <v>0.333333333333333</v>
      </c>
      <c r="E15" s="33"/>
      <c r="F15" s="34"/>
      <c r="G15" s="33"/>
      <c r="H15" s="34"/>
      <c r="I15" s="33" t="n">
        <f aca="false">SUM(D15-C15, F15-E15, H15-G15)</f>
        <v>0.0625</v>
      </c>
      <c r="J15" s="35" t="s">
        <v>154</v>
      </c>
      <c r="K15" s="1" t="n">
        <f aca="false">SUM((D15-C15)*1.5*24)</f>
        <v>2.25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0.293055555555556</v>
      </c>
      <c r="D20" s="34" t="n">
        <v>0.333333333333333</v>
      </c>
      <c r="E20" s="33" t="n">
        <v>0.708333333333333</v>
      </c>
      <c r="F20" s="34" t="n">
        <v>0.802083333333333</v>
      </c>
      <c r="G20" s="33"/>
      <c r="H20" s="34"/>
      <c r="I20" s="33" t="n">
        <f aca="false">SUM(D20-C20, F20-E20, H20-G20)</f>
        <v>0.134027777777778</v>
      </c>
      <c r="J20" s="35" t="s">
        <v>155</v>
      </c>
      <c r="K20" s="1" t="n">
        <f aca="false">SUM((D20-C20)*1.5*24,(F20-E20)*1.5*24)</f>
        <v>4.825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0.783333333333333</v>
      </c>
      <c r="E33" s="33"/>
      <c r="F33" s="34"/>
      <c r="G33" s="33"/>
      <c r="H33" s="34"/>
      <c r="I33" s="33" t="n">
        <f aca="false">SUM(D33-C33, F33-E33, H33-G33)</f>
        <v>0.075</v>
      </c>
      <c r="J33" s="35" t="s">
        <v>158</v>
      </c>
      <c r="K33" s="1" t="n">
        <f aca="false">SUM((D33-C33)*1.5*24)</f>
        <v>2.7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160</v>
      </c>
      <c r="I2" s="8" t="n">
        <f aca="false">SUM(K6:K36)</f>
        <v>25.0333333333333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152</v>
      </c>
      <c r="I3" s="45" t="n">
        <f aca="false">SUM(I6:I36)*24</f>
        <v>15.4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 t="n">
        <v>0.25</v>
      </c>
      <c r="D14" s="34" t="n">
        <v>0.333333333333333</v>
      </c>
      <c r="E14" s="33" t="n">
        <v>0.708333333333333</v>
      </c>
      <c r="F14" s="34" t="n">
        <v>0.754166666666667</v>
      </c>
      <c r="G14" s="33"/>
      <c r="H14" s="34"/>
      <c r="I14" s="33" t="n">
        <f aca="false">SUM(D14-C14, F14-E14, H14-G14)</f>
        <v>0.129166666666667</v>
      </c>
      <c r="J14" s="35" t="s">
        <v>153</v>
      </c>
      <c r="K14" s="1" t="n">
        <f aca="false">SUM((D14-C14)*1.5*24,(F14-E14)*1.5*24)</f>
        <v>4.65</v>
      </c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0.270833333333333</v>
      </c>
      <c r="D15" s="34" t="n">
        <v>0.333333333333333</v>
      </c>
      <c r="E15" s="33" t="n">
        <v>0.708333333333333</v>
      </c>
      <c r="F15" s="34" t="n">
        <v>0.872916666666667</v>
      </c>
      <c r="G15" s="33"/>
      <c r="H15" s="34"/>
      <c r="I15" s="33" t="n">
        <f aca="false">SUM(D15-C15, F15-E15, H15-G15)</f>
        <v>0.227083333333333</v>
      </c>
      <c r="J15" s="35" t="s">
        <v>154</v>
      </c>
      <c r="K15" s="1" t="n">
        <f aca="false">SUM((D15-C15)*1.5*24,(F15-E15)*1.5*24)</f>
        <v>8.175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0.324305555555556</v>
      </c>
      <c r="D24" s="34" t="n">
        <v>0.485416666666667</v>
      </c>
      <c r="E24" s="33"/>
      <c r="F24" s="34"/>
      <c r="G24" s="33"/>
      <c r="H24" s="34"/>
      <c r="I24" s="33" t="n">
        <f aca="false">SUM(D24-C24, F24-E24, H24-G24)</f>
        <v>0.161111111111111</v>
      </c>
      <c r="J24" s="35" t="s">
        <v>156</v>
      </c>
      <c r="K24" s="1" t="n">
        <f aca="false">SUM((D24-C24)*2*24)</f>
        <v>7.73333333333333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 t="n">
        <v>0.708333333333333</v>
      </c>
      <c r="D27" s="34" t="n">
        <v>0.757638888888889</v>
      </c>
      <c r="E27" s="33"/>
      <c r="F27" s="34"/>
      <c r="G27" s="33"/>
      <c r="H27" s="34"/>
      <c r="I27" s="33" t="n">
        <f aca="false">SUM(D27-C27, F27-E27, H27-G27)</f>
        <v>0.0493055555555556</v>
      </c>
      <c r="J27" s="35" t="s">
        <v>157</v>
      </c>
      <c r="K27" s="1" t="n">
        <f aca="false">SUM((D27-C27)*1.5*24)</f>
        <v>1.775</v>
      </c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0.708333333333333</v>
      </c>
      <c r="D33" s="34" t="n">
        <v>0.783333333333333</v>
      </c>
      <c r="E33" s="33"/>
      <c r="F33" s="34"/>
      <c r="G33" s="33"/>
      <c r="H33" s="34"/>
      <c r="I33" s="33" t="n">
        <f aca="false">SUM(D33-C33, F33-E33, H33-G33)</f>
        <v>0.075</v>
      </c>
      <c r="J33" s="35" t="s">
        <v>158</v>
      </c>
      <c r="K33" s="1" t="n">
        <f aca="false">SUM((D33-C33)*1.5*24)</f>
        <v>2.7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161</v>
      </c>
      <c r="I2" s="8" t="n">
        <f aca="false">SUM(K6:K36)</f>
        <v>33.9583333333333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162</v>
      </c>
      <c r="I3" s="45" t="n">
        <f aca="false">SUM(I6:I36)*24</f>
        <v>18.5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0.286805555555556</v>
      </c>
      <c r="D6" s="30" t="n">
        <v>0.333333333333333</v>
      </c>
      <c r="E6" s="29"/>
      <c r="F6" s="30"/>
      <c r="G6" s="29"/>
      <c r="H6" s="30"/>
      <c r="I6" s="29" t="n">
        <f aca="false">SUM(D6-C6, F6-E6, H6-G6)</f>
        <v>0.0465277777777778</v>
      </c>
      <c r="J6" s="31" t="s">
        <v>163</v>
      </c>
      <c r="K6" s="1" t="n">
        <f aca="false">SUM((D6-C6)*1.5*24)</f>
        <v>1.675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 t="n">
        <v>0.815277777777778</v>
      </c>
      <c r="D7" s="34" t="n">
        <v>0.835416666666667</v>
      </c>
      <c r="E7" s="33"/>
      <c r="F7" s="34"/>
      <c r="G7" s="33"/>
      <c r="H7" s="34"/>
      <c r="I7" s="33" t="n">
        <f aca="false">SUM(D7-C7, F7-E7, H7-G7)</f>
        <v>0.0201388888888889</v>
      </c>
      <c r="J7" s="35" t="s">
        <v>164</v>
      </c>
      <c r="K7" s="1" t="n">
        <f aca="false">SUM((D7-C7)*1.5*24)</f>
        <v>0.725</v>
      </c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0.478472222222222</v>
      </c>
      <c r="D8" s="34" t="n">
        <v>0.510416666666667</v>
      </c>
      <c r="E8" s="33"/>
      <c r="F8" s="34"/>
      <c r="G8" s="33"/>
      <c r="H8" s="34"/>
      <c r="I8" s="33" t="n">
        <f aca="false">SUM(D8-C8, F8-E8, H8-G8)</f>
        <v>0.0319444444444444</v>
      </c>
      <c r="J8" s="35" t="s">
        <v>165</v>
      </c>
      <c r="K8" s="1" t="n">
        <f aca="false">SUM((D8-C8)*2*24)</f>
        <v>1.53333333333333</v>
      </c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0.306944444444445</v>
      </c>
      <c r="D10" s="34" t="n">
        <v>0.498611111111111</v>
      </c>
      <c r="E10" s="33"/>
      <c r="F10" s="34"/>
      <c r="G10" s="33"/>
      <c r="H10" s="34"/>
      <c r="I10" s="33" t="n">
        <f aca="false">SUM(D10-C10, F10-E10, H10-G10)</f>
        <v>0.191666666666667</v>
      </c>
      <c r="J10" s="35" t="s">
        <v>166</v>
      </c>
      <c r="K10" s="1" t="n">
        <f aca="false">SUM((D10-C10)*2*24)</f>
        <v>9.2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0.792361111111111</v>
      </c>
      <c r="D18" s="34" t="n">
        <v>0.884722222222222</v>
      </c>
      <c r="E18" s="33"/>
      <c r="F18" s="34"/>
      <c r="G18" s="33"/>
      <c r="H18" s="34"/>
      <c r="I18" s="33" t="n">
        <f aca="false">SUM(D18-C18, F18-E18, H18-G18)</f>
        <v>0.0923611111111111</v>
      </c>
      <c r="J18" s="35" t="s">
        <v>167</v>
      </c>
      <c r="K18" s="1" t="n">
        <f aca="false">SUM((D18-C18)*1.5*24)</f>
        <v>3.325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0.608333333333333</v>
      </c>
      <c r="D23" s="34" t="n">
        <v>0.779861111111111</v>
      </c>
      <c r="E23" s="33"/>
      <c r="F23" s="34"/>
      <c r="G23" s="33"/>
      <c r="H23" s="34"/>
      <c r="I23" s="33" t="n">
        <f aca="false">SUM(D23-C23, F23-E23, H23-G23)</f>
        <v>0.171527777777778</v>
      </c>
      <c r="J23" s="35" t="s">
        <v>168</v>
      </c>
      <c r="K23" s="1" t="n">
        <f aca="false">SUM((D23-C23)*2*24)</f>
        <v>8.23333333333333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0.380555555555556</v>
      </c>
      <c r="D24" s="34" t="n">
        <v>0.502777777777778</v>
      </c>
      <c r="E24" s="33"/>
      <c r="F24" s="34"/>
      <c r="G24" s="33"/>
      <c r="H24" s="34"/>
      <c r="I24" s="33" t="n">
        <f aca="false">SUM(D24-C24, F24-E24, H24-G24)</f>
        <v>0.122222222222222</v>
      </c>
      <c r="J24" s="35" t="s">
        <v>169</v>
      </c>
      <c r="K24" s="1" t="n">
        <f aca="false">SUM((D24-C24)*2*24)</f>
        <v>5.86666666666667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0.308333333333333</v>
      </c>
      <c r="D28" s="34" t="n">
        <v>0.333333333333333</v>
      </c>
      <c r="E28" s="33"/>
      <c r="F28" s="34"/>
      <c r="G28" s="33"/>
      <c r="H28" s="34"/>
      <c r="I28" s="33" t="n">
        <f aca="false">SUM(D28-C28, F28-E28, H28-G28)</f>
        <v>0.025</v>
      </c>
      <c r="J28" s="35" t="s">
        <v>170</v>
      </c>
      <c r="K28" s="1" t="n">
        <f aca="false">SUM((D28-C28)*1.5*24)</f>
        <v>0.9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0.708333333333333</v>
      </c>
      <c r="D32" s="34" t="n">
        <v>0.777777777777778</v>
      </c>
      <c r="E32" s="33"/>
      <c r="F32" s="34"/>
      <c r="G32" s="33"/>
      <c r="H32" s="34"/>
      <c r="I32" s="33" t="n">
        <f aca="false">SUM(D32-C32, F32-E32, H32-G32)</f>
        <v>0.0694444444444445</v>
      </c>
      <c r="J32" s="35" t="s">
        <v>171</v>
      </c>
      <c r="K32" s="1" t="n">
        <f aca="false">SUM((D32-C32)*1.5*24)</f>
        <v>2.5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1" colorId="64" zoomScale="100" zoomScaleNormal="100" zoomScalePageLayoutView="100" workbookViewId="0">
      <selection pane="topLeft" activeCell="F31" activeCellId="0" sqref="F3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172</v>
      </c>
      <c r="I2" s="8" t="n">
        <f aca="false">SUM(K6:K36)</f>
        <v>26.6083333333333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162</v>
      </c>
      <c r="I3" s="45" t="n">
        <f aca="false">SUM(I6:I36)*24</f>
        <v>13.5833333333333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0.286805555555556</v>
      </c>
      <c r="D6" s="30" t="n">
        <v>0.333333333333333</v>
      </c>
      <c r="E6" s="29"/>
      <c r="F6" s="30"/>
      <c r="G6" s="29"/>
      <c r="H6" s="30"/>
      <c r="I6" s="29" t="n">
        <f aca="false">SUM(D6-C6, F6-E6, H6-G6)</f>
        <v>0.0465277777777778</v>
      </c>
      <c r="J6" s="31" t="s">
        <v>163</v>
      </c>
      <c r="K6" s="1" t="n">
        <f aca="false">SUM((D6-C6)*1.5*24)</f>
        <v>1.675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0.336805555555556</v>
      </c>
      <c r="D30" s="34" t="n">
        <v>0.583333333333333</v>
      </c>
      <c r="E30" s="33"/>
      <c r="F30" s="34"/>
      <c r="G30" s="33"/>
      <c r="H30" s="34"/>
      <c r="I30" s="33" t="n">
        <f aca="false">SUM(D30-C30, F30-E30, H30-G30)</f>
        <v>0.246527777777778</v>
      </c>
      <c r="J30" s="35" t="s">
        <v>173</v>
      </c>
      <c r="K30" s="1" t="n">
        <f aca="false">SUM((D30-C30)*2*24)</f>
        <v>11.8333333333333</v>
      </c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0.478472222222222</v>
      </c>
      <c r="D31" s="34" t="n">
        <v>0.510416666666667</v>
      </c>
      <c r="E31" s="33" t="n">
        <v>0.552777777777778</v>
      </c>
      <c r="F31" s="34" t="n">
        <v>0.713888888888889</v>
      </c>
      <c r="G31" s="33" t="n">
        <v>0.790277777777778</v>
      </c>
      <c r="H31" s="34" t="n">
        <v>0.870138888888889</v>
      </c>
      <c r="I31" s="33" t="n">
        <f aca="false">SUM(D31-C31, F31-E31, H31-G31)</f>
        <v>0.272916666666667</v>
      </c>
      <c r="J31" s="35" t="s">
        <v>174</v>
      </c>
      <c r="K31" s="1" t="n">
        <f aca="false">SUM((D31-C31)*2*24,(F31-E31)*2*24,(H31-G31)*2*24)</f>
        <v>13.1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175</v>
      </c>
      <c r="I2" s="8" t="n">
        <f aca="false">SUM(K6:K36)</f>
        <v>22.8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162</v>
      </c>
      <c r="I3" s="45" t="n">
        <f aca="false">SUM(I6:I36)*24</f>
        <v>11.9666666666667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0.586805555555556</v>
      </c>
      <c r="D16" s="34" t="n">
        <v>0.786111111111111</v>
      </c>
      <c r="E16" s="33"/>
      <c r="F16" s="34"/>
      <c r="G16" s="33"/>
      <c r="H16" s="34"/>
      <c r="I16" s="33" t="n">
        <f aca="false">SUM(D16-C16, F16-E16, H16-G16)</f>
        <v>0.199305555555556</v>
      </c>
      <c r="J16" s="35" t="s">
        <v>100</v>
      </c>
      <c r="K16" s="1" t="n">
        <f aca="false">SUM((D16-C16)*2*24)</f>
        <v>9.56666666666667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0.586805555555556</v>
      </c>
      <c r="D17" s="34" t="n">
        <v>0.791666666666667</v>
      </c>
      <c r="E17" s="33"/>
      <c r="F17" s="34"/>
      <c r="G17" s="33"/>
      <c r="H17" s="34"/>
      <c r="I17" s="33" t="n">
        <f aca="false">SUM(D17-C17, F17-E17, H17-G17)</f>
        <v>0.204861111111111</v>
      </c>
      <c r="J17" s="35" t="s">
        <v>101</v>
      </c>
      <c r="K17" s="1" t="n">
        <f aca="false">SUM((D17-C17)*2*24)</f>
        <v>9.83333333333333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 t="n">
        <v>0.308333333333333</v>
      </c>
      <c r="D28" s="34" t="n">
        <v>0.333333333333333</v>
      </c>
      <c r="E28" s="33"/>
      <c r="F28" s="34"/>
      <c r="G28" s="33"/>
      <c r="H28" s="34"/>
      <c r="I28" s="33" t="n">
        <f aca="false">SUM(D28-C28, F28-E28, H28-G28)</f>
        <v>0.025</v>
      </c>
      <c r="J28" s="35" t="s">
        <v>170</v>
      </c>
      <c r="K28" s="1" t="n">
        <f aca="false">SUM((D28-C28)*1.5*24)</f>
        <v>0.9</v>
      </c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0.708333333333333</v>
      </c>
      <c r="D32" s="34" t="n">
        <v>0.777777777777778</v>
      </c>
      <c r="E32" s="33"/>
      <c r="F32" s="34"/>
      <c r="G32" s="33"/>
      <c r="H32" s="34"/>
      <c r="I32" s="33" t="n">
        <f aca="false">SUM(D32-C32, F32-E32, H32-G32)</f>
        <v>0.0694444444444445</v>
      </c>
      <c r="J32" s="35" t="s">
        <v>171</v>
      </c>
      <c r="K32" s="1" t="n">
        <f aca="false">SUM((D32-C32)*1.5*24)</f>
        <v>2.5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4" colorId="64" zoomScale="100" zoomScaleNormal="100" zoomScalePageLayoutView="100" workbookViewId="0">
      <selection pane="topLeft" activeCell="J25" activeCellId="0" sqref="J25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176</v>
      </c>
      <c r="I2" s="8" t="n">
        <f aca="false">SUM(K6:K36)</f>
        <v>38.8416666666667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177</v>
      </c>
      <c r="I3" s="45" t="n">
        <f aca="false">SUM(I6:I36)*24</f>
        <v>21.2833333333333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0.792361111111111</v>
      </c>
      <c r="D18" s="34" t="n">
        <v>0.884722222222222</v>
      </c>
      <c r="E18" s="33"/>
      <c r="F18" s="34"/>
      <c r="G18" s="33"/>
      <c r="H18" s="34"/>
      <c r="I18" s="33" t="n">
        <f aca="false">SUM(D18-C18, F18-E18, H18-G18)</f>
        <v>0.0923611111111111</v>
      </c>
      <c r="J18" s="35" t="s">
        <v>167</v>
      </c>
      <c r="K18" s="1" t="n">
        <f aca="false">SUM((D18-C18)*1.5*24)</f>
        <v>3.325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0.708333333333333</v>
      </c>
      <c r="D19" s="34" t="n">
        <v>0.763888888888889</v>
      </c>
      <c r="E19" s="33"/>
      <c r="F19" s="34"/>
      <c r="G19" s="33"/>
      <c r="H19" s="34"/>
      <c r="I19" s="33" t="n">
        <f aca="false">SUM(D19-C19, F19-E19, H19-G19)</f>
        <v>0.0555555555555556</v>
      </c>
      <c r="J19" s="35" t="s">
        <v>178</v>
      </c>
      <c r="K19" s="1" t="n">
        <f aca="false">SUM((D19-C19)*1.5*24)</f>
        <v>2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40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0.608333333333333</v>
      </c>
      <c r="D23" s="34" t="n">
        <v>0.779861111111111</v>
      </c>
      <c r="E23" s="33"/>
      <c r="F23" s="34"/>
      <c r="G23" s="33"/>
      <c r="H23" s="34"/>
      <c r="I23" s="33" t="n">
        <f aca="false">SUM(D23-C23, F23-E23, H23-G23)</f>
        <v>0.171527777777778</v>
      </c>
      <c r="J23" s="35" t="s">
        <v>168</v>
      </c>
      <c r="K23" s="1" t="n">
        <f aca="false">SUM((D23-C23)*2*24)</f>
        <v>8.23333333333333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0.380555555555556</v>
      </c>
      <c r="D24" s="34" t="n">
        <v>0.502777777777778</v>
      </c>
      <c r="E24" s="33"/>
      <c r="F24" s="34"/>
      <c r="G24" s="33"/>
      <c r="H24" s="34"/>
      <c r="I24" s="33" t="n">
        <f aca="false">SUM(D24-C24, F24-E24, H24-G24)</f>
        <v>0.122222222222222</v>
      </c>
      <c r="J24" s="35" t="s">
        <v>169</v>
      </c>
      <c r="K24" s="1" t="n">
        <f aca="false">SUM((D24-C24)*2*24)</f>
        <v>5.86666666666667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0.759722222222222</v>
      </c>
      <c r="D26" s="34" t="n">
        <v>0.839583333333333</v>
      </c>
      <c r="E26" s="33"/>
      <c r="F26" s="34"/>
      <c r="G26" s="33"/>
      <c r="H26" s="34"/>
      <c r="I26" s="33" t="n">
        <f aca="false">SUM(D26-C26, F26-E26, H26-G26)</f>
        <v>0.0798611111111111</v>
      </c>
      <c r="J26" s="35" t="s">
        <v>179</v>
      </c>
      <c r="K26" s="1" t="n">
        <f aca="false">SUM((D26-C26)*1.5*24)</f>
        <v>2.875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26.1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0.511111111111111</v>
      </c>
      <c r="D31" s="34" t="n">
        <v>0.713888888888889</v>
      </c>
      <c r="E31" s="33" t="n">
        <v>0.790277777777778</v>
      </c>
      <c r="F31" s="34" t="n">
        <v>0.870138888888889</v>
      </c>
      <c r="G31" s="33"/>
      <c r="H31" s="34"/>
      <c r="I31" s="33" t="n">
        <f aca="false">SUM(D31-C31, F31-E31, H31-G31)</f>
        <v>0.282638888888889</v>
      </c>
      <c r="J31" s="35" t="s">
        <v>180</v>
      </c>
      <c r="K31" s="1" t="n">
        <f aca="false">SUM((D31-C31)*2*24,(F31-E31)*2*24)</f>
        <v>13.5666666666667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35.0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0.729166666666667</v>
      </c>
      <c r="D33" s="34" t="n">
        <v>0.811805555555556</v>
      </c>
      <c r="E33" s="33"/>
      <c r="F33" s="34"/>
      <c r="G33" s="33"/>
      <c r="H33" s="34"/>
      <c r="I33" s="33" t="n">
        <f aca="false">SUM(D33-C33, F33-E33, H33-G33)</f>
        <v>0.0826388888888889</v>
      </c>
      <c r="J33" s="35" t="s">
        <v>181</v>
      </c>
      <c r="K33" s="1" t="n">
        <f aca="false">SUM((D33-C33)*1.5*24)</f>
        <v>2.975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F31" activeCellId="0" sqref="F3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182</v>
      </c>
      <c r="I2" s="8" t="n">
        <f aca="false">SUM(K6:K36)</f>
        <v>42.0833333333333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177</v>
      </c>
      <c r="I3" s="45" t="n">
        <f aca="false">SUM(I6:I36)*24</f>
        <v>22.75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 t="n">
        <v>0.286805555555556</v>
      </c>
      <c r="D6" s="30" t="n">
        <v>0.333333333333333</v>
      </c>
      <c r="E6" s="29"/>
      <c r="F6" s="30"/>
      <c r="G6" s="29"/>
      <c r="H6" s="30"/>
      <c r="I6" s="29" t="n">
        <f aca="false">SUM(D6-C6, F6-E6, H6-G6)</f>
        <v>0.0465277777777778</v>
      </c>
      <c r="J6" s="31" t="s">
        <v>163</v>
      </c>
      <c r="K6" s="1" t="n">
        <f aca="false">SUM((D6-C6)*1.5*24)</f>
        <v>1.675</v>
      </c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 t="n">
        <v>0.815277777777778</v>
      </c>
      <c r="D7" s="34" t="n">
        <v>0.835416666666667</v>
      </c>
      <c r="E7" s="33"/>
      <c r="F7" s="34"/>
      <c r="G7" s="33"/>
      <c r="H7" s="34"/>
      <c r="I7" s="33" t="n">
        <f aca="false">SUM(D7-C7, F7-E7, H7-G7)</f>
        <v>0.0201388888888889</v>
      </c>
      <c r="J7" s="35" t="s">
        <v>164</v>
      </c>
      <c r="K7" s="1" t="n">
        <f aca="false">SUM((D7-C7)*1.5*24)</f>
        <v>0.725</v>
      </c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0.478472222222222</v>
      </c>
      <c r="D8" s="34" t="n">
        <v>0.510416666666667</v>
      </c>
      <c r="E8" s="33"/>
      <c r="F8" s="34"/>
      <c r="G8" s="33"/>
      <c r="H8" s="34"/>
      <c r="I8" s="33" t="n">
        <f aca="false">SUM(D8-C8, F8-E8, H8-G8)</f>
        <v>0.0319444444444444</v>
      </c>
      <c r="J8" s="35" t="s">
        <v>165</v>
      </c>
      <c r="K8" s="1" t="n">
        <f aca="false">SUM((D8-C8)*2*24)</f>
        <v>1.53333333333333</v>
      </c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26.8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0.306944444444445</v>
      </c>
      <c r="D10" s="34" t="n">
        <v>0.498611111111111</v>
      </c>
      <c r="E10" s="33"/>
      <c r="F10" s="34"/>
      <c r="G10" s="33"/>
      <c r="H10" s="34"/>
      <c r="I10" s="33" t="n">
        <f aca="false">SUM(D10-C10, F10-E10, H10-G10)</f>
        <v>0.191666666666667</v>
      </c>
      <c r="J10" s="35" t="s">
        <v>166</v>
      </c>
      <c r="K10" s="1" t="n">
        <f aca="false">SUM((D10-C10)*2*24)</f>
        <v>9.2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0.708333333333333</v>
      </c>
      <c r="D19" s="34" t="n">
        <v>0.763888888888889</v>
      </c>
      <c r="E19" s="33"/>
      <c r="F19" s="34"/>
      <c r="G19" s="33"/>
      <c r="H19" s="34"/>
      <c r="I19" s="33" t="n">
        <f aca="false">SUM(D19-C19, F19-E19, H19-G19)</f>
        <v>0.0555555555555556</v>
      </c>
      <c r="J19" s="35" t="s">
        <v>178</v>
      </c>
      <c r="K19" s="1" t="n">
        <f aca="false">SUM((D19-C19)*1.5*24)</f>
        <v>2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 t="n">
        <v>0.759722222222222</v>
      </c>
      <c r="D26" s="34" t="n">
        <v>0.839583333333333</v>
      </c>
      <c r="E26" s="33"/>
      <c r="F26" s="34"/>
      <c r="G26" s="33"/>
      <c r="H26" s="34"/>
      <c r="I26" s="33" t="n">
        <f aca="false">SUM(D26-C26, F26-E26, H26-G26)</f>
        <v>0.0798611111111111</v>
      </c>
      <c r="J26" s="35" t="s">
        <v>179</v>
      </c>
      <c r="K26" s="1" t="n">
        <f aca="false">SUM((D26-C26)*1.5*24)</f>
        <v>2.875</v>
      </c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23.8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0.336805555555556</v>
      </c>
      <c r="D30" s="34" t="n">
        <v>0.583333333333333</v>
      </c>
      <c r="E30" s="33"/>
      <c r="F30" s="34"/>
      <c r="G30" s="33"/>
      <c r="H30" s="34"/>
      <c r="I30" s="33" t="n">
        <f aca="false">SUM(D30-C30, F30-E30, H30-G30)</f>
        <v>0.246527777777778</v>
      </c>
      <c r="J30" s="35" t="s">
        <v>173</v>
      </c>
      <c r="K30" s="1" t="n">
        <f aca="false">SUM((D30-C30)*2*24)</f>
        <v>11.8333333333333</v>
      </c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0.478472222222222</v>
      </c>
      <c r="D31" s="34" t="n">
        <v>0.510416666666667</v>
      </c>
      <c r="E31" s="33" t="n">
        <v>0.552777777777778</v>
      </c>
      <c r="F31" s="34" t="n">
        <v>0.713888888888889</v>
      </c>
      <c r="G31" s="33"/>
      <c r="H31" s="34"/>
      <c r="I31" s="33" t="n">
        <f aca="false">SUM(D31-C31, F31-E31, H31-G31)</f>
        <v>0.193055555555556</v>
      </c>
      <c r="J31" s="35" t="s">
        <v>174</v>
      </c>
      <c r="K31" s="1" t="n">
        <f aca="false">SUM((D31-C31)*2*24,(F31-E31)*2*24)</f>
        <v>9.26666666666667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 t="n">
        <v>0.729166666666667</v>
      </c>
      <c r="D33" s="34" t="n">
        <v>0.811805555555556</v>
      </c>
      <c r="E33" s="33"/>
      <c r="F33" s="34"/>
      <c r="G33" s="33"/>
      <c r="H33" s="34"/>
      <c r="I33" s="33" t="n">
        <f aca="false">SUM(D33-C33, F33-E33, H33-G33)</f>
        <v>0.0826388888888889</v>
      </c>
      <c r="J33" s="35" t="s">
        <v>181</v>
      </c>
      <c r="K33" s="1" t="n">
        <f aca="false">SUM((D33-C33)*1.5*24)</f>
        <v>2.975</v>
      </c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I18" activeCellId="0" sqref="I18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183</v>
      </c>
      <c r="I2" s="8" t="n">
        <f aca="false">SUM(K6:K36)</f>
        <v>34.3083333333333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184</v>
      </c>
      <c r="I3" s="45" t="n">
        <f aca="false">SUM(I6:I36)*24</f>
        <v>20.0166666666667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0.84375</v>
      </c>
      <c r="D18" s="34" t="n">
        <v>0.918055555555556</v>
      </c>
      <c r="E18" s="33"/>
      <c r="F18" s="34"/>
      <c r="G18" s="33"/>
      <c r="H18" s="34"/>
      <c r="I18" s="33" t="n">
        <f aca="false">SUM(D18-C18, F18-E18, H18-G18)</f>
        <v>0.0743055555555556</v>
      </c>
      <c r="J18" s="35" t="s">
        <v>185</v>
      </c>
      <c r="K18" s="1" t="n">
        <f aca="false">SUM((D18-C18)*1.5*24)</f>
        <v>2.675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0.708333333333333</v>
      </c>
      <c r="D19" s="34" t="n">
        <v>0.79375</v>
      </c>
      <c r="E19" s="33"/>
      <c r="F19" s="34"/>
      <c r="G19" s="33"/>
      <c r="H19" s="34"/>
      <c r="I19" s="33" t="n">
        <f aca="false">SUM(D19-C19, F19-E19, H19-G19)</f>
        <v>0.0854166666666667</v>
      </c>
      <c r="J19" s="35" t="s">
        <v>186</v>
      </c>
      <c r="K19" s="1" t="n">
        <f aca="false">SUM((D19-C19)*1.5*24)</f>
        <v>3.075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0.708333333333333</v>
      </c>
      <c r="D20" s="34" t="n">
        <v>0.754861111111111</v>
      </c>
      <c r="E20" s="33"/>
      <c r="F20" s="34"/>
      <c r="G20" s="33"/>
      <c r="H20" s="34"/>
      <c r="I20" s="33" t="n">
        <f aca="false">SUM(D20-C20, F20-E20, H20-G20)</f>
        <v>0.0465277777777778</v>
      </c>
      <c r="J20" s="35" t="s">
        <v>187</v>
      </c>
      <c r="K20" s="1" t="n">
        <f aca="false">SUM((D20-C20)*1.5*24)</f>
        <v>1.675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 t="n">
        <v>0.754861111111111</v>
      </c>
      <c r="D21" s="34" t="n">
        <v>0.795138888888889</v>
      </c>
      <c r="E21" s="33"/>
      <c r="F21" s="34"/>
      <c r="G21" s="33"/>
      <c r="H21" s="34"/>
      <c r="I21" s="33" t="n">
        <f aca="false">SUM(D21-C21, F21-E21, H21-G21)</f>
        <v>0.0402777777777778</v>
      </c>
      <c r="J21" s="35" t="s">
        <v>188</v>
      </c>
      <c r="K21" s="1" t="n">
        <f aca="false">SUM((D21-C21)*1.5*24)</f>
        <v>1.45</v>
      </c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0.777777777777778</v>
      </c>
      <c r="D22" s="34" t="n">
        <v>0.861111111111111</v>
      </c>
      <c r="E22" s="33"/>
      <c r="F22" s="34"/>
      <c r="G22" s="33"/>
      <c r="H22" s="34"/>
      <c r="I22" s="33" t="n">
        <f aca="false">SUM(D22-C22, F22-E22, H22-G22)</f>
        <v>0.0833333333333333</v>
      </c>
      <c r="J22" s="35" t="s">
        <v>189</v>
      </c>
      <c r="K22" s="1" t="n">
        <f aca="false">SUM((D22-C22)*1.5*24)</f>
        <v>3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0.405555555555556</v>
      </c>
      <c r="D23" s="34" t="n">
        <v>0.616666666666667</v>
      </c>
      <c r="E23" s="33"/>
      <c r="F23" s="34"/>
      <c r="G23" s="33"/>
      <c r="H23" s="34"/>
      <c r="I23" s="33" t="n">
        <f aca="false">SUM(D23-C23, F23-E23, H23-G23)</f>
        <v>0.211111111111111</v>
      </c>
      <c r="J23" s="35" t="s">
        <v>190</v>
      </c>
      <c r="K23" s="1" t="n">
        <f aca="false">SUM((D23-C23)*2*24)</f>
        <v>10.1333333333333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0.590277777777778</v>
      </c>
      <c r="D24" s="34" t="n">
        <v>0.65625</v>
      </c>
      <c r="E24" s="33" t="n">
        <v>0.776388888888889</v>
      </c>
      <c r="F24" s="34" t="n">
        <v>0.85625</v>
      </c>
      <c r="G24" s="33"/>
      <c r="H24" s="34"/>
      <c r="I24" s="33" t="n">
        <f aca="false">SUM(D24-C24, F24-E24, H24-G24)</f>
        <v>0.145833333333333</v>
      </c>
      <c r="J24" s="35" t="s">
        <v>191</v>
      </c>
      <c r="K24" s="1" t="n">
        <f aca="false">SUM((D24-C24)*2*24,(F24-E24)*2*24)</f>
        <v>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0.708333333333333</v>
      </c>
      <c r="D32" s="34" t="n">
        <v>0.855555555555556</v>
      </c>
      <c r="E32" s="33"/>
      <c r="F32" s="34"/>
      <c r="G32" s="33"/>
      <c r="H32" s="34"/>
      <c r="I32" s="33" t="n">
        <f aca="false">SUM(D32-C32, F32-E32, H32-G32)</f>
        <v>0.147222222222222</v>
      </c>
      <c r="J32" s="35" t="s">
        <v>192</v>
      </c>
      <c r="K32" s="1" t="n">
        <f aca="false">SUM((D32-C32)*1.5*24)</f>
        <v>5.3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193</v>
      </c>
      <c r="I2" s="8" t="n">
        <f aca="false">SUM(K6:K36)</f>
        <v>41.6583333333333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184</v>
      </c>
      <c r="I3" s="45" t="n">
        <f aca="false">SUM(I6:I36)*24</f>
        <v>24.3166666666667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0.798611111111111</v>
      </c>
      <c r="D11" s="34" t="n">
        <v>0.885416666666667</v>
      </c>
      <c r="E11" s="33"/>
      <c r="F11" s="34"/>
      <c r="G11" s="33"/>
      <c r="H11" s="34"/>
      <c r="I11" s="33" t="n">
        <f aca="false">SUM(D11-C11, F11-E11, H11-G11)</f>
        <v>0.0868055555555556</v>
      </c>
      <c r="J11" s="35" t="s">
        <v>194</v>
      </c>
      <c r="K11" s="1" t="n">
        <f aca="false">SUM((D11-C11)*1.5*24)</f>
        <v>3.125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0.75</v>
      </c>
      <c r="D12" s="34" t="n">
        <v>0.847222222222222</v>
      </c>
      <c r="E12" s="33"/>
      <c r="F12" s="34"/>
      <c r="G12" s="33"/>
      <c r="H12" s="34"/>
      <c r="I12" s="36" t="n">
        <f aca="false">SUM(D12-C12, F12-E12, H12-G12)</f>
        <v>0.0972222222222222</v>
      </c>
      <c r="J12" s="35" t="s">
        <v>195</v>
      </c>
      <c r="K12" s="1" t="n">
        <f aca="false">SUM((D12-C12)*1.5*24)</f>
        <v>3.5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0.727083333333333</v>
      </c>
      <c r="D15" s="34" t="n">
        <v>0.817361111111111</v>
      </c>
      <c r="E15" s="33"/>
      <c r="F15" s="34"/>
      <c r="G15" s="33"/>
      <c r="H15" s="34"/>
      <c r="I15" s="33" t="n">
        <f aca="false">SUM(D15-C15, F15-E15, H15-G15)</f>
        <v>0.0902777777777778</v>
      </c>
      <c r="J15" s="35" t="s">
        <v>196</v>
      </c>
      <c r="K15" s="1" t="n">
        <f aca="false">SUM((D15-C15)*1.5*24)</f>
        <v>3.25</v>
      </c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0.347222222222222</v>
      </c>
      <c r="D16" s="34" t="n">
        <v>0.543055555555556</v>
      </c>
      <c r="E16" s="33" t="n">
        <v>0.585416666666667</v>
      </c>
      <c r="F16" s="34" t="n">
        <v>0.694444444444444</v>
      </c>
      <c r="G16" s="33" t="n">
        <v>0.894444444444445</v>
      </c>
      <c r="H16" s="34" t="n">
        <v>0.9375</v>
      </c>
      <c r="I16" s="33" t="n">
        <f aca="false">SUM(D16-C16, F16-E16, H16-G16)</f>
        <v>0.347916666666667</v>
      </c>
      <c r="J16" s="35" t="s">
        <v>197</v>
      </c>
      <c r="K16" s="1" t="n">
        <f aca="false">SUM((D16-C16)*2*24,(F16-E16)*2*24,(H16-G16)*2*24)</f>
        <v>16.7</v>
      </c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0.402083333333333</v>
      </c>
      <c r="D17" s="34" t="n">
        <v>0.486111111111111</v>
      </c>
      <c r="E17" s="33"/>
      <c r="F17" s="34"/>
      <c r="G17" s="33"/>
      <c r="H17" s="34"/>
      <c r="I17" s="33" t="n">
        <f aca="false">SUM(D17-C17, F17-E17, H17-G17)</f>
        <v>0.0840277777777778</v>
      </c>
      <c r="J17" s="35" t="s">
        <v>198</v>
      </c>
      <c r="K17" s="1" t="n">
        <f aca="false">SUM((D17-C17)*2*24)</f>
        <v>4.03333333333333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 t="n">
        <v>0.84375</v>
      </c>
      <c r="D18" s="34" t="n">
        <v>0.918055555555556</v>
      </c>
      <c r="E18" s="33"/>
      <c r="F18" s="34"/>
      <c r="G18" s="33"/>
      <c r="H18" s="34"/>
      <c r="I18" s="33" t="n">
        <f aca="false">SUM(D18-C18, F18-E18, H18-G18)</f>
        <v>0.0743055555555556</v>
      </c>
      <c r="J18" s="35" t="s">
        <v>185</v>
      </c>
      <c r="K18" s="1" t="n">
        <f aca="false">SUM((D18-C18)*1.5*24)</f>
        <v>2.675</v>
      </c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0.708333333333333</v>
      </c>
      <c r="D19" s="34" t="n">
        <v>0.79375</v>
      </c>
      <c r="E19" s="33"/>
      <c r="F19" s="34"/>
      <c r="G19" s="33"/>
      <c r="H19" s="34"/>
      <c r="I19" s="33" t="n">
        <f aca="false">SUM(D19-C19, F19-E19, H19-G19)</f>
        <v>0.0854166666666667</v>
      </c>
      <c r="J19" s="35" t="s">
        <v>186</v>
      </c>
      <c r="K19" s="1" t="n">
        <f aca="false">SUM((D19-C19)*1.5*24)</f>
        <v>3.075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0.708333333333333</v>
      </c>
      <c r="D32" s="34" t="n">
        <v>0.855555555555556</v>
      </c>
      <c r="E32" s="33"/>
      <c r="F32" s="34"/>
      <c r="G32" s="33"/>
      <c r="H32" s="34"/>
      <c r="I32" s="33" t="n">
        <f aca="false">SUM(D32-C32, F32-E32, H32-G32)</f>
        <v>0.147222222222222</v>
      </c>
      <c r="J32" s="35" t="s">
        <v>192</v>
      </c>
      <c r="K32" s="1" t="n">
        <f aca="false">SUM((D32-C32)*1.5*24)</f>
        <v>5.3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199</v>
      </c>
      <c r="I2" s="8" t="n">
        <f aca="false">SUM(K6:K36)</f>
        <v>55.175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184</v>
      </c>
      <c r="I3" s="45" t="n">
        <f aca="false">SUM(I6:I36)*24</f>
        <v>30.4166666666667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/>
      <c r="D7" s="34"/>
      <c r="E7" s="33"/>
      <c r="F7" s="34"/>
      <c r="G7" s="33"/>
      <c r="H7" s="34"/>
      <c r="I7" s="33" t="n">
        <f aca="false">SUM(D7-C7, F7-E7, H7-G7)</f>
        <v>0</v>
      </c>
      <c r="J7" s="35"/>
    </row>
    <row r="8" customFormat="false" ht="17.25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/>
      <c r="D8" s="34"/>
      <c r="E8" s="33"/>
      <c r="F8" s="34"/>
      <c r="G8" s="33"/>
      <c r="H8" s="34"/>
      <c r="I8" s="33" t="n">
        <f aca="false">SUM(D8-C8, F8-E8, H8-G8)</f>
        <v>0</v>
      </c>
      <c r="J8" s="35"/>
    </row>
    <row r="9" customFormat="false" ht="17.2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/>
      <c r="D9" s="34"/>
      <c r="E9" s="33"/>
      <c r="F9" s="34"/>
      <c r="G9" s="33"/>
      <c r="H9" s="34"/>
      <c r="I9" s="33" t="n">
        <f aca="false">SUM(D9-C9, F9-E9, H9-G9)</f>
        <v>0</v>
      </c>
      <c r="J9" s="35"/>
    </row>
    <row r="10" customFormat="false" ht="17.2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/>
      <c r="D10" s="34"/>
      <c r="E10" s="33"/>
      <c r="F10" s="34"/>
      <c r="G10" s="33"/>
      <c r="H10" s="34"/>
      <c r="I10" s="33" t="n">
        <f aca="false">SUM(D10-C10, F10-E10, H10-G10)</f>
        <v>0</v>
      </c>
      <c r="J10" s="35"/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 t="n">
        <v>0.708333333333333</v>
      </c>
      <c r="D19" s="34" t="n">
        <v>0.79375</v>
      </c>
      <c r="E19" s="33"/>
      <c r="F19" s="34"/>
      <c r="G19" s="33"/>
      <c r="H19" s="34"/>
      <c r="I19" s="33" t="n">
        <f aca="false">SUM(D19-C19, F19-E19, H19-G19)</f>
        <v>0.0854166666666667</v>
      </c>
      <c r="J19" s="35" t="s">
        <v>186</v>
      </c>
      <c r="K19" s="1" t="n">
        <f aca="false">SUM((D19-C19)*1.5*24)</f>
        <v>3.075</v>
      </c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 t="n">
        <v>0.708333333333333</v>
      </c>
      <c r="D20" s="34" t="n">
        <v>0.754861111111111</v>
      </c>
      <c r="E20" s="33"/>
      <c r="F20" s="34"/>
      <c r="G20" s="33"/>
      <c r="H20" s="34"/>
      <c r="I20" s="33" t="n">
        <f aca="false">SUM(D20-C20, F20-E20, H20-G20)</f>
        <v>0.0465277777777778</v>
      </c>
      <c r="J20" s="35" t="s">
        <v>187</v>
      </c>
      <c r="K20" s="1" t="n">
        <f aca="false">SUM((D20-C20)*1.5*24)</f>
        <v>1.675</v>
      </c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 t="n">
        <v>0.754861111111111</v>
      </c>
      <c r="D21" s="34" t="n">
        <v>0.795138888888889</v>
      </c>
      <c r="E21" s="33"/>
      <c r="F21" s="34"/>
      <c r="G21" s="33"/>
      <c r="H21" s="34"/>
      <c r="I21" s="33" t="n">
        <f aca="false">SUM(D21-C21, F21-E21, H21-G21)</f>
        <v>0.0402777777777778</v>
      </c>
      <c r="J21" s="35" t="s">
        <v>188</v>
      </c>
      <c r="K21" s="1" t="n">
        <f aca="false">SUM((D21-C21)*1.5*24)</f>
        <v>1.45</v>
      </c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 t="n">
        <v>0.777777777777778</v>
      </c>
      <c r="D22" s="34" t="n">
        <v>0.861111111111111</v>
      </c>
      <c r="E22" s="33"/>
      <c r="F22" s="34"/>
      <c r="G22" s="33"/>
      <c r="H22" s="34"/>
      <c r="I22" s="33" t="n">
        <f aca="false">SUM(D22-C22, F22-E22, H22-G22)</f>
        <v>0.0833333333333333</v>
      </c>
      <c r="J22" s="35" t="s">
        <v>189</v>
      </c>
      <c r="K22" s="1" t="n">
        <f aca="false">SUM((D22-C22)*1.5*24)</f>
        <v>3</v>
      </c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 t="n">
        <v>0.405555555555556</v>
      </c>
      <c r="D23" s="34" t="n">
        <v>0.616666666666667</v>
      </c>
      <c r="E23" s="33"/>
      <c r="F23" s="34"/>
      <c r="G23" s="33"/>
      <c r="H23" s="34"/>
      <c r="I23" s="33" t="n">
        <f aca="false">SUM(D23-C23, F23-E23, H23-G23)</f>
        <v>0.211111111111111</v>
      </c>
      <c r="J23" s="35" t="s">
        <v>190</v>
      </c>
      <c r="K23" s="1" t="n">
        <f aca="false">SUM((D23-C23)*2*24)</f>
        <v>10.1333333333333</v>
      </c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 t="n">
        <v>0.590277777777778</v>
      </c>
      <c r="D24" s="34" t="n">
        <v>0.65625</v>
      </c>
      <c r="E24" s="33" t="n">
        <v>0.776388888888889</v>
      </c>
      <c r="F24" s="34" t="n">
        <v>0.85625</v>
      </c>
      <c r="G24" s="33"/>
      <c r="H24" s="34"/>
      <c r="I24" s="33" t="n">
        <f aca="false">SUM(D24-C24, F24-E24, H24-G24)</f>
        <v>0.145833333333333</v>
      </c>
      <c r="J24" s="35" t="s">
        <v>191</v>
      </c>
      <c r="K24" s="1" t="n">
        <f aca="false">SUM((D24-C24)*2*24,(F24-E24)*2*24)</f>
        <v>7</v>
      </c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0.739583333333333</v>
      </c>
      <c r="D29" s="34" t="n">
        <v>0.808333333333333</v>
      </c>
      <c r="E29" s="33"/>
      <c r="F29" s="34"/>
      <c r="G29" s="33"/>
      <c r="H29" s="34"/>
      <c r="I29" s="33" t="n">
        <f aca="false">SUM(D29-C29, F29-E29, H29-G29)</f>
        <v>0.06875</v>
      </c>
      <c r="J29" s="35" t="s">
        <v>200</v>
      </c>
      <c r="K29" s="1" t="n">
        <f aca="false">SUM((D29-C29)*1.5*24)</f>
        <v>2.475</v>
      </c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0.351388888888889</v>
      </c>
      <c r="D30" s="34" t="n">
        <v>0.554166666666667</v>
      </c>
      <c r="E30" s="33" t="n">
        <v>0.788888888888889</v>
      </c>
      <c r="F30" s="34" t="n">
        <v>0.840277777777778</v>
      </c>
      <c r="G30" s="33"/>
      <c r="H30" s="34"/>
      <c r="I30" s="33" t="n">
        <f aca="false">SUM(D30-C30, F30-E30, H30-G30)</f>
        <v>0.254166666666667</v>
      </c>
      <c r="J30" s="35" t="s">
        <v>201</v>
      </c>
      <c r="K30" s="1" t="n">
        <f aca="false">SUM((D30-C30)*2*24,(F30-E30)*2*24)</f>
        <v>12.2</v>
      </c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0.574305555555556</v>
      </c>
      <c r="D31" s="34" t="n">
        <v>0.6625</v>
      </c>
      <c r="E31" s="33" t="n">
        <v>0.872222222222222</v>
      </c>
      <c r="F31" s="34" t="n">
        <v>0.96875</v>
      </c>
      <c r="G31" s="33"/>
      <c r="H31" s="34"/>
      <c r="I31" s="33" t="n">
        <f aca="false">SUM(D31-C31, F31-E31, H31-G31)</f>
        <v>0.184722222222222</v>
      </c>
      <c r="J31" s="35" t="s">
        <v>202</v>
      </c>
      <c r="K31" s="1" t="n">
        <f aca="false">SUM((D31-C31)*2*24,(F31-E31)*2*24)</f>
        <v>8.86666666666667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 t="n">
        <v>0.708333333333333</v>
      </c>
      <c r="D32" s="34" t="n">
        <v>0.855555555555556</v>
      </c>
      <c r="E32" s="33"/>
      <c r="F32" s="34"/>
      <c r="G32" s="33"/>
      <c r="H32" s="34"/>
      <c r="I32" s="33" t="n">
        <f aca="false">SUM(D32-C32, F32-E32, H32-G32)</f>
        <v>0.147222222222222</v>
      </c>
      <c r="J32" s="35" t="s">
        <v>192</v>
      </c>
      <c r="K32" s="1" t="n">
        <f aca="false">SUM((D32-C32)*1.5*24)</f>
        <v>5.3</v>
      </c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3" activeCellId="0" sqref="G13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203</v>
      </c>
      <c r="I2" s="8" t="n">
        <f aca="false">SUM(K6:K36)</f>
        <v>23.3916666666667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204</v>
      </c>
      <c r="I3" s="45" t="n">
        <f aca="false">SUM(I6:I36)*24</f>
        <v>12.0666666666667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 t="n">
        <v>0.803472222222222</v>
      </c>
      <c r="D7" s="34" t="n">
        <v>0.865277777777778</v>
      </c>
      <c r="E7" s="33"/>
      <c r="F7" s="34"/>
      <c r="G7" s="33"/>
      <c r="H7" s="34"/>
      <c r="I7" s="33" t="n">
        <f aca="false">SUM(D7-C7, F7-E7, H7-G7)</f>
        <v>0.0618055555555556</v>
      </c>
      <c r="J7" s="35" t="s">
        <v>205</v>
      </c>
      <c r="K7" s="1" t="n">
        <f aca="false">SUM((D7-C7)*1.5*24)</f>
        <v>2.225</v>
      </c>
    </row>
    <row r="8" customFormat="false" ht="31.3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0.370138888888889</v>
      </c>
      <c r="D8" s="34" t="n">
        <v>0.552083333333333</v>
      </c>
      <c r="E8" s="33" t="n">
        <v>0.709027777777778</v>
      </c>
      <c r="F8" s="34" t="n">
        <v>0.795138888888889</v>
      </c>
      <c r="G8" s="33"/>
      <c r="H8" s="34"/>
      <c r="I8" s="33" t="n">
        <f aca="false">SUM(D8-C8, F8-E8, H8-G8)</f>
        <v>0.268055555555556</v>
      </c>
      <c r="J8" s="35" t="s">
        <v>206</v>
      </c>
      <c r="K8" s="1" t="n">
        <f aca="false">SUM((D8-C8)*2*24,(F8-E8)*2*24)</f>
        <v>12.8666666666667</v>
      </c>
    </row>
    <row r="9" customFormat="false" ht="26.85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0.677777777777778</v>
      </c>
      <c r="D9" s="34" t="n">
        <v>0.766666666666667</v>
      </c>
      <c r="E9" s="33"/>
      <c r="F9" s="34"/>
      <c r="G9" s="33"/>
      <c r="H9" s="34"/>
      <c r="I9" s="33" t="n">
        <f aca="false">SUM(D9-C9, F9-E9, H9-G9)</f>
        <v>0.0888888888888889</v>
      </c>
      <c r="J9" s="35" t="s">
        <v>207</v>
      </c>
      <c r="K9" s="1" t="n">
        <f aca="false">SUM((D9-C9)*2*24)</f>
        <v>4.26666666666667</v>
      </c>
    </row>
    <row r="10" customFormat="false" ht="34.3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0.366666666666667</v>
      </c>
      <c r="D10" s="34" t="n">
        <v>0.450694444444445</v>
      </c>
      <c r="E10" s="33"/>
      <c r="F10" s="34"/>
      <c r="G10" s="33"/>
      <c r="H10" s="34"/>
      <c r="I10" s="33" t="n">
        <f aca="false">SUM(D10-C10, F10-E10, H10-G10)</f>
        <v>0.0840277777777778</v>
      </c>
      <c r="J10" s="35" t="s">
        <v>208</v>
      </c>
      <c r="K10" s="1" t="n">
        <f aca="false">SUM((D10-C10)*2*24)</f>
        <v>4.03333333333333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/>
      <c r="D11" s="34"/>
      <c r="E11" s="33"/>
      <c r="F11" s="34"/>
      <c r="G11" s="33"/>
      <c r="H11" s="34"/>
      <c r="I11" s="33" t="n">
        <f aca="false">SUM(D11-C11, F11-E11, H11-G11)</f>
        <v>0</v>
      </c>
      <c r="J11" s="35"/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/>
      <c r="D12" s="34"/>
      <c r="E12" s="33"/>
      <c r="F12" s="34"/>
      <c r="G12" s="33"/>
      <c r="H12" s="34"/>
      <c r="I12" s="36" t="n">
        <f aca="false">SUM(D12-C12, F12-E12, H12-G12)</f>
        <v>0</v>
      </c>
      <c r="J12" s="35"/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/>
      <c r="D15" s="34"/>
      <c r="E15" s="33"/>
      <c r="F15" s="34"/>
      <c r="G15" s="33"/>
      <c r="H15" s="34"/>
      <c r="I15" s="33" t="n">
        <f aca="false">SUM(D15-C15, F15-E15, H15-G15)</f>
        <v>0</v>
      </c>
      <c r="J15" s="35"/>
    </row>
    <row r="16" customFormat="false" ht="17.25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/>
      <c r="D16" s="34"/>
      <c r="E16" s="33"/>
      <c r="F16" s="34"/>
      <c r="G16" s="33"/>
      <c r="H16" s="34"/>
      <c r="I16" s="33" t="n">
        <f aca="false">SUM(D16-C16, F16-E16, H16-G16)</f>
        <v>0</v>
      </c>
      <c r="J16" s="35"/>
    </row>
    <row r="17" customFormat="false" ht="17.2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/>
      <c r="D17" s="34"/>
      <c r="E17" s="33"/>
      <c r="F17" s="34"/>
      <c r="G17" s="33"/>
      <c r="H17" s="34"/>
      <c r="I17" s="33" t="n">
        <f aca="false">SUM(D17-C17, F17-E17, H17-G17)</f>
        <v>0</v>
      </c>
      <c r="J17" s="35"/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/>
      <c r="D29" s="34"/>
      <c r="E29" s="33"/>
      <c r="F29" s="34"/>
      <c r="G29" s="33"/>
      <c r="H29" s="34"/>
      <c r="I29" s="33" t="n">
        <f aca="false">SUM(D29-C29, F29-E29, H29-G29)</f>
        <v>0</v>
      </c>
      <c r="J29" s="35"/>
    </row>
    <row r="30" customFormat="false" ht="17.25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/>
      <c r="D30" s="34"/>
      <c r="E30" s="33"/>
      <c r="F30" s="34"/>
      <c r="G30" s="33"/>
      <c r="H30" s="34"/>
      <c r="I30" s="33" t="n">
        <f aca="false">SUM(D30-C30, F30-E30, H30-G30)</f>
        <v>0</v>
      </c>
      <c r="J30" s="35"/>
    </row>
    <row r="31" customFormat="false" ht="17.25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/>
      <c r="D31" s="34"/>
      <c r="E31" s="33"/>
      <c r="F31" s="34"/>
      <c r="G31" s="33"/>
      <c r="H31" s="34"/>
      <c r="I31" s="33" t="n">
        <f aca="false">SUM(D31-C31, F31-E31, H31-G31)</f>
        <v>0</v>
      </c>
      <c r="J31" s="35"/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21" activeCellId="0" sqref="J21"/>
    </sheetView>
  </sheetViews>
  <sheetFormatPr defaultColWidth="8.8984375" defaultRowHeight="15.75" customHeight="false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11.8"/>
    <col collapsed="false" customWidth="true" hidden="false" outlineLevel="0" max="8" min="3" style="1" width="7"/>
    <col collapsed="false" customWidth="true" hidden="false" outlineLevel="0" max="9" min="9" style="2" width="9.9"/>
    <col collapsed="false" customWidth="true" hidden="false" outlineLevel="0" max="10" min="10" style="1" width="88.06"/>
    <col collapsed="false" customWidth="true" hidden="true" outlineLevel="0" max="11" min="11" style="1" width="4.65"/>
    <col collapsed="false" customWidth="true" hidden="false" outlineLevel="0" max="12" min="12" style="1" width="8.6"/>
    <col collapsed="false" customWidth="true" hidden="false" outlineLevel="0" max="13" min="13" style="1" width="12.2"/>
    <col collapsed="false" customWidth="true" hidden="false" outlineLevel="0" max="14" min="14" style="1" width="3.3"/>
  </cols>
  <sheetData>
    <row r="1" customFormat="false" ht="84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21.75" hidden="false" customHeight="true" outlineLevel="0" collapsed="false">
      <c r="A2" s="4" t="s">
        <v>1</v>
      </c>
      <c r="B2" s="4"/>
      <c r="C2" s="4"/>
      <c r="D2" s="4"/>
      <c r="E2" s="5"/>
      <c r="F2" s="5"/>
      <c r="G2" s="6"/>
      <c r="H2" s="7" t="s">
        <v>209</v>
      </c>
      <c r="I2" s="8" t="n">
        <f aca="false">SUM(K6:K36)</f>
        <v>77.2916666666667</v>
      </c>
      <c r="J2" s="9" t="s">
        <v>3</v>
      </c>
    </row>
    <row r="3" customFormat="false" ht="18.75" hidden="false" customHeight="true" outlineLevel="0" collapsed="false">
      <c r="A3" s="10" t="s">
        <v>4</v>
      </c>
      <c r="B3" s="10"/>
      <c r="C3" s="10"/>
      <c r="D3" s="10"/>
      <c r="E3" s="11"/>
      <c r="F3" s="11"/>
      <c r="G3" s="11"/>
      <c r="H3" s="7" t="s">
        <v>204</v>
      </c>
      <c r="I3" s="45" t="n">
        <f aca="false">SUM(I6:I36)*24</f>
        <v>41.0333333333333</v>
      </c>
      <c r="J3" s="13" t="s">
        <v>6</v>
      </c>
      <c r="K3" s="14"/>
      <c r="L3" s="14"/>
      <c r="M3" s="14"/>
      <c r="N3" s="14"/>
    </row>
    <row r="4" s="21" customFormat="true" ht="22.5" hidden="false" customHeight="true" outlineLevel="0" collapsed="false">
      <c r="A4" s="15" t="s">
        <v>7</v>
      </c>
      <c r="B4" s="15"/>
      <c r="C4" s="15"/>
      <c r="D4" s="15"/>
      <c r="E4" s="16"/>
      <c r="F4" s="16"/>
      <c r="G4" s="16"/>
      <c r="H4" s="17" t="str">
        <f aca="false">UPPER(TEXT(B6, "mmmm aaaa"))</f>
        <v>ABRIL 2026</v>
      </c>
      <c r="I4" s="18"/>
      <c r="J4" s="19" t="s">
        <v>8</v>
      </c>
      <c r="K4" s="20"/>
      <c r="L4" s="20"/>
      <c r="M4" s="20"/>
      <c r="N4" s="20"/>
    </row>
    <row r="5" customFormat="false" ht="15.75" hidden="false" customHeight="true" outlineLevel="0" collapsed="false">
      <c r="A5" s="22" t="s">
        <v>9</v>
      </c>
      <c r="B5" s="23" t="s">
        <v>10</v>
      </c>
      <c r="C5" s="24" t="s">
        <v>11</v>
      </c>
      <c r="D5" s="24" t="s">
        <v>12</v>
      </c>
      <c r="E5" s="24" t="s">
        <v>13</v>
      </c>
      <c r="F5" s="23" t="s">
        <v>14</v>
      </c>
      <c r="G5" s="24" t="s">
        <v>15</v>
      </c>
      <c r="H5" s="24" t="s">
        <v>16</v>
      </c>
      <c r="I5" s="24" t="s">
        <v>17</v>
      </c>
      <c r="J5" s="25" t="s">
        <v>18</v>
      </c>
      <c r="K5" s="26"/>
      <c r="L5" s="26"/>
      <c r="M5" s="26"/>
      <c r="N5" s="26"/>
    </row>
    <row r="6" customFormat="false" ht="17.25" hidden="false" customHeight="true" outlineLevel="0" collapsed="false">
      <c r="A6" s="27" t="str">
        <f aca="false">IF(B6&gt;0,PROPER(TEXT(B6,"dddd")),"")</f>
        <v>Miércoles</v>
      </c>
      <c r="B6" s="28" t="n">
        <v>46113</v>
      </c>
      <c r="C6" s="29"/>
      <c r="D6" s="30"/>
      <c r="E6" s="29"/>
      <c r="F6" s="30"/>
      <c r="G6" s="29"/>
      <c r="H6" s="30"/>
      <c r="I6" s="29" t="n">
        <f aca="false">SUM(D6-C6, F6-E6, H6-G6)</f>
        <v>0</v>
      </c>
      <c r="J6" s="31"/>
    </row>
    <row r="7" customFormat="false" ht="17.25" hidden="false" customHeight="true" outlineLevel="0" collapsed="false">
      <c r="A7" s="27" t="str">
        <f aca="false">IF(B7&gt;0,PROPER(TEXT(B7,"dddd")),"")</f>
        <v>Jueves</v>
      </c>
      <c r="B7" s="32" t="n">
        <v>46114</v>
      </c>
      <c r="C7" s="33" t="n">
        <v>0.803472222222222</v>
      </c>
      <c r="D7" s="34" t="n">
        <v>0.865277777777778</v>
      </c>
      <c r="E7" s="33"/>
      <c r="F7" s="34"/>
      <c r="G7" s="33"/>
      <c r="H7" s="34"/>
      <c r="I7" s="33" t="n">
        <f aca="false">SUM(D7-C7, F7-E7, H7-G7)</f>
        <v>0.0618055555555556</v>
      </c>
      <c r="J7" s="35" t="s">
        <v>205</v>
      </c>
      <c r="K7" s="1" t="n">
        <f aca="false">SUM((D7-C7)*1.5*24)</f>
        <v>2.225</v>
      </c>
    </row>
    <row r="8" customFormat="false" ht="29.1" hidden="false" customHeight="true" outlineLevel="0" collapsed="false">
      <c r="A8" s="27" t="str">
        <f aca="false">IF(B8&gt;0,PROPER(TEXT(B8,"dddd")),"")</f>
        <v>Viernes</v>
      </c>
      <c r="B8" s="32" t="n">
        <v>46115</v>
      </c>
      <c r="C8" s="33" t="n">
        <v>0.370138888888889</v>
      </c>
      <c r="D8" s="34" t="n">
        <v>0.552083333333333</v>
      </c>
      <c r="E8" s="33" t="n">
        <v>0.709027777777778</v>
      </c>
      <c r="F8" s="34" t="n">
        <v>0.795138888888889</v>
      </c>
      <c r="G8" s="33"/>
      <c r="H8" s="34"/>
      <c r="I8" s="33" t="n">
        <f aca="false">SUM(D8-C8, F8-E8, H8-G8)</f>
        <v>0.268055555555556</v>
      </c>
      <c r="J8" s="35" t="s">
        <v>206</v>
      </c>
      <c r="K8" s="1" t="n">
        <f aca="false">SUM((D8-C8)*2*24,(F8-E8)*2*24)</f>
        <v>12.8666666666667</v>
      </c>
    </row>
    <row r="9" customFormat="false" ht="27.6" hidden="false" customHeight="true" outlineLevel="0" collapsed="false">
      <c r="A9" s="27" t="str">
        <f aca="false">IF(B9&gt;0,PROPER(TEXT(B9,"dddd")),"")</f>
        <v>Sábado</v>
      </c>
      <c r="B9" s="32" t="n">
        <v>46116</v>
      </c>
      <c r="C9" s="33" t="n">
        <v>0.677777777777778</v>
      </c>
      <c r="D9" s="34" t="n">
        <v>0.766666666666667</v>
      </c>
      <c r="E9" s="33"/>
      <c r="F9" s="34"/>
      <c r="G9" s="33"/>
      <c r="H9" s="34"/>
      <c r="I9" s="33" t="n">
        <f aca="false">SUM(D9-C9, F9-E9, H9-G9)</f>
        <v>0.0888888888888889</v>
      </c>
      <c r="J9" s="35" t="s">
        <v>207</v>
      </c>
      <c r="K9" s="1" t="n">
        <f aca="false">SUM((D9-C9)*2*24)</f>
        <v>4.26666666666667</v>
      </c>
    </row>
    <row r="10" customFormat="false" ht="26.85" hidden="false" customHeight="true" outlineLevel="0" collapsed="false">
      <c r="A10" s="27" t="str">
        <f aca="false">IF(B10&gt;0,PROPER(TEXT(B10,"dddd")),"")</f>
        <v>Domingo</v>
      </c>
      <c r="B10" s="32" t="n">
        <v>46117</v>
      </c>
      <c r="C10" s="33" t="n">
        <v>0.366666666666667</v>
      </c>
      <c r="D10" s="34" t="n">
        <v>0.450694444444445</v>
      </c>
      <c r="E10" s="33"/>
      <c r="F10" s="34"/>
      <c r="G10" s="33"/>
      <c r="H10" s="34"/>
      <c r="I10" s="33" t="n">
        <f aca="false">SUM(D10-C10, F10-E10, H10-G10)</f>
        <v>0.0840277777777778</v>
      </c>
      <c r="J10" s="35" t="s">
        <v>208</v>
      </c>
      <c r="K10" s="1" t="n">
        <f aca="false">SUM((D10-C10)*2*24)</f>
        <v>4.03333333333333</v>
      </c>
    </row>
    <row r="11" customFormat="false" ht="17.25" hidden="false" customHeight="true" outlineLevel="0" collapsed="false">
      <c r="A11" s="27" t="str">
        <f aca="false">IF(B11&gt;0,PROPER(TEXT(B11,"dddd")),"")</f>
        <v>Lunes</v>
      </c>
      <c r="B11" s="32" t="n">
        <v>46118</v>
      </c>
      <c r="C11" s="33" t="n">
        <v>0.798611111111111</v>
      </c>
      <c r="D11" s="34" t="n">
        <v>0.885416666666667</v>
      </c>
      <c r="E11" s="33"/>
      <c r="F11" s="34"/>
      <c r="G11" s="33"/>
      <c r="H11" s="34"/>
      <c r="I11" s="33" t="n">
        <f aca="false">SUM(D11-C11, F11-E11, H11-G11)</f>
        <v>0.0868055555555556</v>
      </c>
      <c r="J11" s="35" t="s">
        <v>194</v>
      </c>
      <c r="K11" s="1" t="n">
        <f aca="false">SUM((D11-C11)*1.5*24)</f>
        <v>3.125</v>
      </c>
    </row>
    <row r="12" customFormat="false" ht="17.25" hidden="false" customHeight="true" outlineLevel="0" collapsed="false">
      <c r="A12" s="27" t="str">
        <f aca="false">IF(B12&gt;0,PROPER(TEXT(B12,"dddd")),"")</f>
        <v>Martes</v>
      </c>
      <c r="B12" s="32" t="n">
        <v>46119</v>
      </c>
      <c r="C12" s="33" t="n">
        <v>0.75</v>
      </c>
      <c r="D12" s="34" t="n">
        <v>0.847222222222222</v>
      </c>
      <c r="E12" s="33"/>
      <c r="F12" s="34"/>
      <c r="G12" s="33"/>
      <c r="H12" s="34"/>
      <c r="I12" s="36" t="n">
        <f aca="false">SUM(D12-C12, F12-E12, H12-G12)</f>
        <v>0.0972222222222222</v>
      </c>
      <c r="J12" s="35" t="s">
        <v>195</v>
      </c>
      <c r="K12" s="1" t="n">
        <f aca="false">SUM((D12-C12)*1.5*24)</f>
        <v>3.5</v>
      </c>
    </row>
    <row r="13" customFormat="false" ht="17.25" hidden="false" customHeight="true" outlineLevel="0" collapsed="false">
      <c r="A13" s="27" t="str">
        <f aca="false">IF(B13&gt;0,PROPER(TEXT(B13,"dddd")),"")</f>
        <v>Miércoles</v>
      </c>
      <c r="B13" s="32" t="n">
        <v>46120</v>
      </c>
      <c r="C13" s="33"/>
      <c r="D13" s="34"/>
      <c r="E13" s="33"/>
      <c r="F13" s="34"/>
      <c r="G13" s="33"/>
      <c r="H13" s="34"/>
      <c r="I13" s="33" t="n">
        <f aca="false">SUM(D13-C13, F13-E13, H13-G13)</f>
        <v>0</v>
      </c>
      <c r="J13" s="35"/>
    </row>
    <row r="14" customFormat="false" ht="17.25" hidden="false" customHeight="true" outlineLevel="0" collapsed="false">
      <c r="A14" s="27" t="str">
        <f aca="false">IF(B14&gt;0,PROPER(TEXT(B14,"dddd")),"")</f>
        <v>Jueves</v>
      </c>
      <c r="B14" s="32" t="n">
        <v>46121</v>
      </c>
      <c r="C14" s="33"/>
      <c r="D14" s="34"/>
      <c r="E14" s="33"/>
      <c r="F14" s="34"/>
      <c r="G14" s="33"/>
      <c r="H14" s="34"/>
      <c r="I14" s="33" t="n">
        <f aca="false">SUM(D14-C14, F14-E14, H14-G14)</f>
        <v>0</v>
      </c>
      <c r="J14" s="35"/>
    </row>
    <row r="15" customFormat="false" ht="17.25" hidden="false" customHeight="true" outlineLevel="0" collapsed="false">
      <c r="A15" s="27" t="str">
        <f aca="false">IF(B15&gt;0,PROPER(TEXT(B15,"dddd")),"")</f>
        <v>Viernes</v>
      </c>
      <c r="B15" s="32" t="n">
        <v>46122</v>
      </c>
      <c r="C15" s="33" t="n">
        <v>0.734027777777778</v>
      </c>
      <c r="D15" s="34" t="n">
        <v>0.817361111111111</v>
      </c>
      <c r="E15" s="33"/>
      <c r="F15" s="34"/>
      <c r="G15" s="33"/>
      <c r="H15" s="34"/>
      <c r="I15" s="33" t="n">
        <f aca="false">SUM(D15-C15, F15-E15, H15-G15)</f>
        <v>0.0833333333333333</v>
      </c>
      <c r="J15" s="35" t="s">
        <v>196</v>
      </c>
      <c r="K15" s="1" t="n">
        <f aca="false">SUM((D15-C15)*1.5*24)</f>
        <v>3</v>
      </c>
    </row>
    <row r="16" customFormat="false" ht="31.3" hidden="false" customHeight="true" outlineLevel="0" collapsed="false">
      <c r="A16" s="27" t="str">
        <f aca="false">IF(B16&gt;0,PROPER(TEXT(B16,"dddd")),"")</f>
        <v>Sábado</v>
      </c>
      <c r="B16" s="32" t="n">
        <v>46123</v>
      </c>
      <c r="C16" s="33" t="n">
        <v>0.347222222222222</v>
      </c>
      <c r="D16" s="34" t="n">
        <v>0.543055555555556</v>
      </c>
      <c r="E16" s="33" t="n">
        <v>0.585416666666667</v>
      </c>
      <c r="F16" s="34" t="n">
        <v>0.694444444444444</v>
      </c>
      <c r="G16" s="33" t="n">
        <v>0.894444444444445</v>
      </c>
      <c r="H16" s="34" t="n">
        <v>0.9375</v>
      </c>
      <c r="I16" s="33" t="n">
        <f aca="false">SUM(D16-C16, F16-E16, H16-G16)</f>
        <v>0.347916666666667</v>
      </c>
      <c r="J16" s="35" t="s">
        <v>197</v>
      </c>
      <c r="K16" s="1" t="n">
        <f aca="false">SUM((D16-C16)*2*24,(F16-E16)*2*24,(H16-G16)*2*24)</f>
        <v>16.7</v>
      </c>
    </row>
    <row r="17" customFormat="false" ht="29.85" hidden="false" customHeight="true" outlineLevel="0" collapsed="false">
      <c r="A17" s="27" t="str">
        <f aca="false">IF(B17&gt;0,PROPER(TEXT(B17,"dddd")),"")</f>
        <v>Domingo</v>
      </c>
      <c r="B17" s="32" t="n">
        <v>46124</v>
      </c>
      <c r="C17" s="33" t="n">
        <v>0.402083333333333</v>
      </c>
      <c r="D17" s="34" t="n">
        <v>0.486111111111111</v>
      </c>
      <c r="E17" s="33"/>
      <c r="F17" s="34"/>
      <c r="G17" s="33"/>
      <c r="H17" s="34"/>
      <c r="I17" s="33" t="n">
        <f aca="false">SUM(D17-C17, F17-E17, H17-G17)</f>
        <v>0.0840277777777778</v>
      </c>
      <c r="J17" s="35" t="s">
        <v>198</v>
      </c>
      <c r="K17" s="1" t="n">
        <f aca="false">SUM((D17-C17)*2*24)</f>
        <v>4.03333333333333</v>
      </c>
    </row>
    <row r="18" customFormat="false" ht="17.25" hidden="false" customHeight="true" outlineLevel="0" collapsed="false">
      <c r="A18" s="27" t="str">
        <f aca="false">IF(B18&gt;0,PROPER(TEXT(B18,"dddd")),"")</f>
        <v>Lunes</v>
      </c>
      <c r="B18" s="32" t="n">
        <v>46125</v>
      </c>
      <c r="C18" s="33"/>
      <c r="D18" s="34"/>
      <c r="E18" s="33"/>
      <c r="F18" s="34"/>
      <c r="G18" s="33"/>
      <c r="H18" s="34"/>
      <c r="I18" s="33" t="n">
        <f aca="false">SUM(D18-C18, F18-E18, H18-G18)</f>
        <v>0</v>
      </c>
      <c r="J18" s="35"/>
    </row>
    <row r="19" customFormat="false" ht="17.25" hidden="false" customHeight="true" outlineLevel="0" collapsed="false">
      <c r="A19" s="27" t="str">
        <f aca="false">IF(B19&gt;0,PROPER(TEXT(B19,"dddd")),"")</f>
        <v>Martes</v>
      </c>
      <c r="B19" s="32" t="n">
        <v>46126</v>
      </c>
      <c r="C19" s="33"/>
      <c r="D19" s="34"/>
      <c r="E19" s="33"/>
      <c r="F19" s="34"/>
      <c r="G19" s="33"/>
      <c r="H19" s="34"/>
      <c r="I19" s="33" t="n">
        <f aca="false">SUM(D19-C19, F19-E19, H19-G19)</f>
        <v>0</v>
      </c>
      <c r="J19" s="35"/>
    </row>
    <row r="20" customFormat="false" ht="17.25" hidden="false" customHeight="true" outlineLevel="0" collapsed="false">
      <c r="A20" s="27" t="str">
        <f aca="false">IF(B20&gt;0,PROPER(TEXT(B20,"dddd")),"")</f>
        <v>Miércoles</v>
      </c>
      <c r="B20" s="32" t="n">
        <v>46127</v>
      </c>
      <c r="C20" s="33"/>
      <c r="D20" s="34"/>
      <c r="E20" s="33"/>
      <c r="F20" s="34"/>
      <c r="G20" s="33"/>
      <c r="H20" s="34"/>
      <c r="I20" s="33" t="n">
        <f aca="false">SUM(D20-C20, F20-E20, H20-G20)</f>
        <v>0</v>
      </c>
      <c r="J20" s="35"/>
    </row>
    <row r="21" customFormat="false" ht="17.25" hidden="false" customHeight="true" outlineLevel="0" collapsed="false">
      <c r="A21" s="27" t="str">
        <f aca="false">IF(B21&gt;0,PROPER(TEXT(B21,"dddd")),"")</f>
        <v>Jueves</v>
      </c>
      <c r="B21" s="32" t="n">
        <v>46128</v>
      </c>
      <c r="C21" s="33"/>
      <c r="D21" s="34"/>
      <c r="E21" s="33"/>
      <c r="F21" s="34"/>
      <c r="G21" s="33"/>
      <c r="H21" s="34"/>
      <c r="I21" s="33" t="n">
        <f aca="false">SUM(D21-C21, F21-E21, H21-G21)</f>
        <v>0</v>
      </c>
      <c r="J21" s="35"/>
    </row>
    <row r="22" customFormat="false" ht="17.25" hidden="false" customHeight="true" outlineLevel="0" collapsed="false">
      <c r="A22" s="27" t="str">
        <f aca="false">IF(B22&gt;0,PROPER(TEXT(B22,"dddd")),"")</f>
        <v>Viernes</v>
      </c>
      <c r="B22" s="32" t="n">
        <v>46129</v>
      </c>
      <c r="C22" s="33"/>
      <c r="D22" s="34"/>
      <c r="E22" s="33"/>
      <c r="F22" s="34"/>
      <c r="G22" s="33"/>
      <c r="H22" s="34"/>
      <c r="I22" s="33" t="n">
        <f aca="false">SUM(D22-C22, F22-E22, H22-G22)</f>
        <v>0</v>
      </c>
      <c r="J22" s="35"/>
    </row>
    <row r="23" customFormat="false" ht="17.25" hidden="false" customHeight="true" outlineLevel="0" collapsed="false">
      <c r="A23" s="27" t="str">
        <f aca="false">IF(B23&gt;0,PROPER(TEXT(B23,"dddd")),"")</f>
        <v>Sábado</v>
      </c>
      <c r="B23" s="32" t="n">
        <v>46130</v>
      </c>
      <c r="C23" s="33"/>
      <c r="D23" s="34"/>
      <c r="E23" s="33"/>
      <c r="F23" s="34"/>
      <c r="G23" s="33"/>
      <c r="H23" s="34"/>
      <c r="I23" s="33" t="n">
        <f aca="false">SUM(D23-C23, F23-E23, H23-G23)</f>
        <v>0</v>
      </c>
      <c r="J23" s="35"/>
    </row>
    <row r="24" customFormat="false" ht="17.25" hidden="false" customHeight="true" outlineLevel="0" collapsed="false">
      <c r="A24" s="27" t="str">
        <f aca="false">IF(B24&gt;0,PROPER(TEXT(B24,"dddd")),"")</f>
        <v>Domingo</v>
      </c>
      <c r="B24" s="32" t="n">
        <v>46131</v>
      </c>
      <c r="C24" s="33"/>
      <c r="D24" s="34"/>
      <c r="E24" s="33"/>
      <c r="F24" s="34"/>
      <c r="G24" s="33"/>
      <c r="H24" s="34"/>
      <c r="I24" s="33" t="n">
        <f aca="false">SUM(D24-C24, F24-E24, H24-G24)</f>
        <v>0</v>
      </c>
      <c r="J24" s="35"/>
    </row>
    <row r="25" customFormat="false" ht="17.25" hidden="false" customHeight="true" outlineLevel="0" collapsed="false">
      <c r="A25" s="27" t="str">
        <f aca="false">IF(B25&gt;0,PROPER(TEXT(B25,"dddd")),"")</f>
        <v>Lunes</v>
      </c>
      <c r="B25" s="32" t="n">
        <v>46132</v>
      </c>
      <c r="C25" s="33"/>
      <c r="D25" s="34"/>
      <c r="E25" s="33"/>
      <c r="F25" s="34"/>
      <c r="G25" s="33"/>
      <c r="H25" s="34"/>
      <c r="I25" s="33" t="n">
        <f aca="false">SUM(D25-C25, F25-E25, H25-G25)</f>
        <v>0</v>
      </c>
      <c r="J25" s="35"/>
    </row>
    <row r="26" customFormat="false" ht="17.25" hidden="false" customHeight="true" outlineLevel="0" collapsed="false">
      <c r="A26" s="27" t="str">
        <f aca="false">IF(B26&gt;0,PROPER(TEXT(B26,"dddd")),"")</f>
        <v>Martes</v>
      </c>
      <c r="B26" s="32" t="n">
        <v>46133</v>
      </c>
      <c r="C26" s="33"/>
      <c r="D26" s="34"/>
      <c r="E26" s="33"/>
      <c r="F26" s="34"/>
      <c r="G26" s="33"/>
      <c r="H26" s="34"/>
      <c r="I26" s="33" t="n">
        <f aca="false">SUM(D26-C26, F26-E26, H26-G26)</f>
        <v>0</v>
      </c>
      <c r="J26" s="35"/>
    </row>
    <row r="27" customFormat="false" ht="17.25" hidden="false" customHeight="true" outlineLevel="0" collapsed="false">
      <c r="A27" s="27" t="str">
        <f aca="false">IF(B27&gt;0,PROPER(TEXT(B27,"dddd")),"")</f>
        <v>Miércoles</v>
      </c>
      <c r="B27" s="32" t="n">
        <v>46134</v>
      </c>
      <c r="C27" s="33"/>
      <c r="D27" s="34"/>
      <c r="E27" s="33"/>
      <c r="F27" s="34"/>
      <c r="G27" s="33"/>
      <c r="H27" s="34"/>
      <c r="I27" s="33" t="n">
        <f aca="false">SUM(D27-C27, F27-E27, H27-G27)</f>
        <v>0</v>
      </c>
      <c r="J27" s="35"/>
    </row>
    <row r="28" customFormat="false" ht="17.25" hidden="false" customHeight="true" outlineLevel="0" collapsed="false">
      <c r="A28" s="27" t="str">
        <f aca="false">IF(B28&gt;0,PROPER(TEXT(B28,"dddd")),"")</f>
        <v>Jueves</v>
      </c>
      <c r="B28" s="32" t="n">
        <v>46135</v>
      </c>
      <c r="C28" s="33"/>
      <c r="D28" s="34"/>
      <c r="E28" s="33"/>
      <c r="F28" s="34"/>
      <c r="G28" s="33"/>
      <c r="H28" s="34"/>
      <c r="I28" s="33" t="n">
        <f aca="false">SUM(D28-C28, F28-E28, H28-G28)</f>
        <v>0</v>
      </c>
      <c r="J28" s="35"/>
    </row>
    <row r="29" customFormat="false" ht="17.25" hidden="false" customHeight="true" outlineLevel="0" collapsed="false">
      <c r="A29" s="27" t="str">
        <f aca="false">IF(B29&gt;0,PROPER(TEXT(B29,"dddd")),"")</f>
        <v>Viernes</v>
      </c>
      <c r="B29" s="32" t="n">
        <v>46136</v>
      </c>
      <c r="C29" s="33" t="n">
        <v>0.739583333333333</v>
      </c>
      <c r="D29" s="34" t="n">
        <v>0.808333333333333</v>
      </c>
      <c r="E29" s="33"/>
      <c r="F29" s="34"/>
      <c r="G29" s="33"/>
      <c r="H29" s="34"/>
      <c r="I29" s="33" t="n">
        <f aca="false">SUM(D29-C29, F29-E29, H29-G29)</f>
        <v>0.06875</v>
      </c>
      <c r="J29" s="35" t="s">
        <v>200</v>
      </c>
      <c r="K29" s="1" t="n">
        <f aca="false">SUM((D29-C29)*1.5*24)</f>
        <v>2.475</v>
      </c>
    </row>
    <row r="30" customFormat="false" ht="44" hidden="false" customHeight="true" outlineLevel="0" collapsed="false">
      <c r="A30" s="27" t="str">
        <f aca="false">IF(B30&gt;0,PROPER(TEXT(B30,"dddd")),"")</f>
        <v>Sábado</v>
      </c>
      <c r="B30" s="32" t="n">
        <v>46137</v>
      </c>
      <c r="C30" s="33" t="n">
        <v>0.351388888888889</v>
      </c>
      <c r="D30" s="34" t="n">
        <v>0.554166666666667</v>
      </c>
      <c r="E30" s="33" t="n">
        <v>0.788888888888889</v>
      </c>
      <c r="F30" s="34" t="n">
        <v>0.840277777777778</v>
      </c>
      <c r="G30" s="33"/>
      <c r="H30" s="34"/>
      <c r="I30" s="33" t="n">
        <f aca="false">SUM(D30-C30, F30-E30, H30-G30)</f>
        <v>0.254166666666667</v>
      </c>
      <c r="J30" s="35" t="s">
        <v>201</v>
      </c>
      <c r="K30" s="1" t="n">
        <f aca="false">SUM((D30-C30)*2*24,(F30-E30)*2*24)</f>
        <v>12.2</v>
      </c>
    </row>
    <row r="31" customFormat="false" ht="23.1" hidden="false" customHeight="true" outlineLevel="0" collapsed="false">
      <c r="A31" s="27" t="str">
        <f aca="false">IF(B31&gt;0,PROPER(TEXT(B31,"dddd")),"")</f>
        <v>Domingo</v>
      </c>
      <c r="B31" s="32" t="n">
        <v>46138</v>
      </c>
      <c r="C31" s="33" t="n">
        <v>0.574305555555556</v>
      </c>
      <c r="D31" s="34" t="n">
        <v>0.6625</v>
      </c>
      <c r="E31" s="33" t="n">
        <v>0.872222222222222</v>
      </c>
      <c r="F31" s="34" t="n">
        <v>0.96875</v>
      </c>
      <c r="G31" s="33"/>
      <c r="H31" s="34"/>
      <c r="I31" s="33" t="n">
        <f aca="false">SUM(D31-C31, F31-E31, H31-G31)</f>
        <v>0.184722222222222</v>
      </c>
      <c r="J31" s="35" t="s">
        <v>202</v>
      </c>
      <c r="K31" s="1" t="n">
        <f aca="false">SUM((D31-C31)*2*24,(F31-E31)*2*24)</f>
        <v>8.86666666666667</v>
      </c>
    </row>
    <row r="32" customFormat="false" ht="17.25" hidden="false" customHeight="true" outlineLevel="0" collapsed="false">
      <c r="A32" s="27" t="str">
        <f aca="false">IF(B32&gt;0,PROPER(TEXT(B32,"dddd")),"")</f>
        <v>Lunes</v>
      </c>
      <c r="B32" s="32" t="n">
        <v>46139</v>
      </c>
      <c r="C32" s="33"/>
      <c r="D32" s="34"/>
      <c r="E32" s="33"/>
      <c r="F32" s="34"/>
      <c r="G32" s="33"/>
      <c r="H32" s="34"/>
      <c r="I32" s="33" t="n">
        <f aca="false">SUM(D32-C32, F32-E32, H32-G32)</f>
        <v>0</v>
      </c>
      <c r="J32" s="35"/>
    </row>
    <row r="33" customFormat="false" ht="17.25" hidden="false" customHeight="true" outlineLevel="0" collapsed="false">
      <c r="A33" s="27" t="str">
        <f aca="false">IF(B33&gt;0,PROPER(TEXT(B33,"dddd")),"")</f>
        <v>Martes</v>
      </c>
      <c r="B33" s="32" t="n">
        <v>46140</v>
      </c>
      <c r="C33" s="33"/>
      <c r="D33" s="34"/>
      <c r="E33" s="33"/>
      <c r="F33" s="34"/>
      <c r="G33" s="33"/>
      <c r="H33" s="34"/>
      <c r="I33" s="33" t="n">
        <f aca="false">SUM(D33-C33, F33-E33, H33-G33)</f>
        <v>0</v>
      </c>
      <c r="J33" s="35"/>
    </row>
    <row r="34" customFormat="false" ht="17.25" hidden="false" customHeight="true" outlineLevel="0" collapsed="false">
      <c r="A34" s="27" t="str">
        <f aca="false">IF(B34&gt;0,PROPER(TEXT(B34,"dddd")),"")</f>
        <v>Miércoles</v>
      </c>
      <c r="B34" s="32" t="n">
        <v>46141</v>
      </c>
      <c r="C34" s="33"/>
      <c r="D34" s="34"/>
      <c r="E34" s="33"/>
      <c r="F34" s="34"/>
      <c r="G34" s="33"/>
      <c r="H34" s="34"/>
      <c r="I34" s="33" t="n">
        <f aca="false">SUM(D34-C34, F34-E34, H34-G34)</f>
        <v>0</v>
      </c>
      <c r="J34" s="35"/>
    </row>
    <row r="35" customFormat="false" ht="17.25" hidden="false" customHeight="true" outlineLevel="0" collapsed="false">
      <c r="A35" s="27" t="str">
        <f aca="false">IF(B35&gt;0,PROPER(TEXT(B35,"dddd")),"")</f>
        <v>Jueves</v>
      </c>
      <c r="B35" s="32" t="n">
        <v>46142</v>
      </c>
      <c r="C35" s="33"/>
      <c r="D35" s="34"/>
      <c r="E35" s="33"/>
      <c r="F35" s="34"/>
      <c r="G35" s="33"/>
      <c r="H35" s="34"/>
      <c r="I35" s="33" t="n">
        <f aca="false">SUM(D35-C35, F35-E35, H35-G35)</f>
        <v>0</v>
      </c>
      <c r="J35" s="35"/>
    </row>
    <row r="36" customFormat="false" ht="17.25" hidden="false" customHeight="true" outlineLevel="0" collapsed="false">
      <c r="A36" s="37" t="str">
        <f aca="false">IF(B36&gt;0,PROPER(TEXT(B36,"dddd")),"")</f>
        <v/>
      </c>
      <c r="B36" s="38"/>
      <c r="C36" s="39"/>
      <c r="D36" s="40"/>
      <c r="E36" s="39"/>
      <c r="F36" s="40"/>
      <c r="G36" s="39"/>
      <c r="H36" s="40"/>
      <c r="I36" s="39" t="n">
        <f aca="false">SUM(C36:H36)</f>
        <v>0</v>
      </c>
      <c r="J36" s="41"/>
    </row>
    <row r="37" customFormat="false" ht="15.75" hidden="false" customHeight="true" outlineLevel="0" collapsed="false">
      <c r="A37" s="42"/>
      <c r="B37" s="43"/>
      <c r="C37" s="43"/>
      <c r="D37" s="43"/>
      <c r="E37" s="43"/>
      <c r="F37" s="43"/>
      <c r="G37" s="43"/>
      <c r="H37" s="43"/>
      <c r="I37" s="44"/>
      <c r="J37" s="43"/>
    </row>
  </sheetData>
  <mergeCells count="1">
    <mergeCell ref="A1:J1"/>
  </mergeCells>
  <conditionalFormatting sqref="A6:J36">
    <cfRule type="expression" priority="2" aboveAverage="0" equalAverage="0" bottom="0" percent="0" rank="0" text="" dxfId="0">
      <formula>OR(WEEKDAY($B6, 2) &gt; 5, ISNUMBER(SEARCH("FESTIVO", $J6)))</formula>
    </cfRule>
  </conditionalFormatting>
  <conditionalFormatting sqref="A6:I36">
    <cfRule type="expression" priority="3" aboveAverage="0" equalAverage="0" bottom="0" percent="0" rank="0" text="" dxfId="1">
      <formula>ISNUMBER(SEARCH("FESTIVO", $J6))</formula>
    </cfRule>
  </conditionalFormatting>
  <printOptions headings="false" gridLines="false" gridLinesSet="true" horizontalCentered="true" verticalCentered="false"/>
  <pageMargins left="0.275694444444444" right="0.275694444444444" top="0.236111111111111" bottom="0.55" header="0.511811023622047" footer="0.511811023622047"/>
  <pageSetup paperSize="9" scale="6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1105</TotalTime>
  <Application>LibreOffice/26.2.1.2$Linux_X86_64 LibreOffice_project/5937a82db3889b586a62e0a27a0d74b840403d7c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1999-03-18T09:31:00Z</dcterms:created>
  <dc:creator>Planificación</dc:creator>
  <dc:description/>
  <dc:language>es-EC</dc:language>
  <cp:lastModifiedBy>Ernesto Palacios</cp:lastModifiedBy>
  <cp:lastPrinted>2026-05-05T14:21:52Z</cp:lastPrinted>
  <dcterms:modified xsi:type="dcterms:W3CDTF">2026-05-06T08:56:44Z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