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5875" windowHeight="15165" tabRatio="500" firstSheet="0" activeTab="0" autoFilterDateGrouping="1"/>
  </bookViews>
  <sheets>
    <sheet name="HORAS_EXTRA" sheetId="1" state="visible" r:id="rId1"/>
    <sheet name="EP" sheetId="2" state="visible" r:id="rId2"/>
    <sheet name="LL" sheetId="3" state="visible" r:id="rId3"/>
    <sheet name="JCR" sheetId="4" state="visible" r:id="rId4"/>
    <sheet name="RS" sheetId="5" state="visible" r:id="rId5"/>
    <sheet name="GJ" sheetId="6" state="visible" r:id="rId6"/>
    <sheet name="FR" sheetId="7" state="visible" r:id="rId7"/>
    <sheet name="RY" sheetId="8" state="visible" r:id="rId8"/>
    <sheet name="VZH" sheetId="9" state="visible" r:id="rId9"/>
    <sheet name="SO" sheetId="10" state="visible" r:id="rId10"/>
    <sheet name="LM" sheetId="11" state="visible" r:id="rId11"/>
    <sheet name="JCH" sheetId="12" state="visible" r:id="rId12"/>
    <sheet name="MC" sheetId="13" state="visible" r:id="rId13"/>
    <sheet name="WC" sheetId="14" state="visible" r:id="rId14"/>
    <sheet name="NR" sheetId="15" state="visible" r:id="rId15"/>
    <sheet name="NL" sheetId="16" state="visible" r:id="rId16"/>
    <sheet name="SB" sheetId="17" state="visible" r:id="rId17"/>
    <sheet name="JLC" sheetId="18" state="visible" r:id="rId18"/>
    <sheet name="AO" sheetId="19" state="visible" r:id="rId19"/>
    <sheet name="GT" sheetId="20" state="visible" r:id="rId20"/>
    <sheet name="LP" sheetId="21" state="visible" r:id="rId21"/>
    <sheet name="GLE" sheetId="22" state="visible" r:id="rId22"/>
    <sheet name="JA" sheetId="23" state="visible" r:id="rId23"/>
    <sheet name="MS" sheetId="24" state="visible" r:id="rId24"/>
    <sheet name="DG" sheetId="25" state="visible" r:id="rId25"/>
    <sheet name="JJ" sheetId="26" state="visible" r:id="rId26"/>
    <sheet name="CQ" sheetId="27" state="visible" r:id="rId27"/>
    <sheet name="JL" sheetId="28" state="visible" r:id="rId28"/>
    <sheet name="AC" sheetId="29" state="visible" r:id="rId29"/>
    <sheet name="LV" sheetId="30" state="visible" r:id="rId30"/>
    <sheet name="FA" sheetId="31" state="visible" r:id="rId31"/>
    <sheet name="HM" sheetId="32" state="visible" r:id="rId32"/>
    <sheet name="AD" sheetId="33" state="visible" r:id="rId33"/>
    <sheet name="AS" sheetId="34" state="visible" r:id="rId34"/>
    <sheet name="CLP" sheetId="35" state="visible" r:id="rId35"/>
    <sheet name="MA" sheetId="36" state="visible" r:id="rId36"/>
    <sheet name="FG" sheetId="37" state="visible" r:id="rId37"/>
    <sheet name="GC" sheetId="38" state="visible" r:id="rId38"/>
    <sheet name="PCH" sheetId="39" state="visible" r:id="rId39"/>
    <sheet name="RCL" sheetId="40" state="visible" r:id="rId40"/>
    <sheet name="CB" sheetId="41" state="visible" r:id="rId41"/>
  </sheets>
  <definedNames>
    <definedName name="_Fill">NA()</definedName>
    <definedName name="_Key1">NA()</definedName>
    <definedName name="_Order1">255</definedName>
    <definedName name="_Sort">NA()</definedName>
    <definedName name="_xlfn__FV">#REF!</definedName>
    <definedName name="_xlfn_IFERROR">#REF!</definedName>
    <definedName name="AREA">NA()</definedName>
    <definedName name="AREA_2000">NA()</definedName>
    <definedName name="LISTAMAT">NA()</definedName>
    <definedName name="Listamateriales">NA()</definedName>
    <definedName name="_Regression_Int" localSheetId="0">1</definedName>
    <definedName name="Imprimir_área_IM" localSheetId="0">NA()</definedName>
    <definedName name="Imprimir_títulos_IM" localSheetId="0">NA()</definedName>
    <definedName name="_xlnm.Print_Area" localSheetId="0">'HORAS_EXTRA'!$A$1:$J$36</definedName>
  </definedNames>
  <calcPr calcId="191029" fullCalcOnLoad="1" iterateDelta="0.0001"/>
</workbook>
</file>

<file path=xl/styles.xml><?xml version="1.0" encoding="utf-8"?>
<styleSheet xmlns="http://schemas.openxmlformats.org/spreadsheetml/2006/main">
  <numFmts count="3">
    <numFmt numFmtId="164" formatCode="h:mm;@"/>
    <numFmt numFmtId="165" formatCode="[$-C0A]d/mmm\ yyyy;@"/>
    <numFmt numFmtId="166" formatCode="[h]:mm;@"/>
  </numFmts>
  <fonts count="20">
    <font>
      <name val="Courier New"/>
      <charset val="134"/>
      <sz val="12"/>
    </font>
    <font>
      <name val="Courier New"/>
      <charset val="134"/>
      <color rgb="FF000000"/>
      <sz val="1"/>
    </font>
    <font>
      <name val="Courier New"/>
      <charset val="134"/>
      <i val="1"/>
      <color rgb="FF000000"/>
      <sz val="1"/>
    </font>
    <font>
      <name val="Arial"/>
      <charset val="134"/>
      <sz val="10"/>
    </font>
    <font>
      <name val="Franklin Gothic Book"/>
      <charset val="1"/>
      <family val="2"/>
      <b val="1"/>
      <sz val="12"/>
    </font>
    <font>
      <name val="Franklin Gothic Book"/>
      <charset val="1"/>
      <family val="2"/>
      <sz val="12"/>
    </font>
    <font>
      <name val="Calibri"/>
      <charset val="1"/>
      <family val="2"/>
      <b val="1"/>
      <color rgb="FF000000"/>
      <sz val="12"/>
    </font>
    <font>
      <name val="Calibri"/>
      <charset val="1"/>
      <family val="2"/>
      <sz val="12"/>
    </font>
    <font>
      <name val="Calibri"/>
      <charset val="1"/>
      <family val="2"/>
      <b val="1"/>
      <sz val="18"/>
    </font>
    <font>
      <name val="Calibri"/>
      <charset val="1"/>
      <family val="2"/>
      <b val="1"/>
      <color rgb="FF000000"/>
      <sz val="18"/>
    </font>
    <font>
      <name val="Calibri"/>
      <charset val="1"/>
      <family val="2"/>
      <b val="1"/>
      <sz val="12"/>
    </font>
    <font>
      <name val="Calibri"/>
      <charset val="1"/>
      <family val="2"/>
      <b val="1"/>
      <sz val="21"/>
    </font>
    <font>
      <name val="Calibri"/>
      <charset val="1"/>
      <family val="2"/>
      <color rgb="FF000000"/>
      <sz val="12"/>
    </font>
    <font>
      <name val="Times New Roman"/>
      <charset val="134"/>
      <b val="1"/>
      <sz val="21"/>
    </font>
    <font>
      <name val="Calibri"/>
      <charset val="1"/>
      <family val="2"/>
      <sz val="10"/>
    </font>
    <font>
      <name val="Calibri"/>
      <charset val="1"/>
      <family val="2"/>
      <sz val="14"/>
    </font>
    <font>
      <name val="Aptos Display"/>
      <charset val="1"/>
      <family val="2"/>
      <sz val="12"/>
    </font>
    <font>
      <name val="Calibri"/>
      <charset val="1"/>
      <family val="2"/>
      <b val="1"/>
      <color theme="0"/>
      <sz val="12"/>
    </font>
    <font>
      <name val="Aptos Display"/>
      <family val="2"/>
      <b val="1"/>
      <color theme="0"/>
      <sz val="12"/>
    </font>
    <font>
      <name val="Courier New"/>
      <family val="3"/>
      <color theme="0"/>
      <sz val="12"/>
    </font>
  </fonts>
  <fills count="3">
    <fill>
      <patternFill/>
    </fill>
    <fill>
      <patternFill patternType="gray125"/>
    </fill>
    <fill>
      <patternFill patternType="solid">
        <fgColor rgb="FF666699"/>
        <bgColor rgb="FF808080"/>
      </patternFill>
    </fill>
  </fills>
  <borders count="18">
    <border>
      <left/>
      <right/>
      <top/>
      <bottom/>
      <diagonal/>
    </border>
    <border>
      <left style="thin">
        <color auto="1"/>
      </left>
      <right style="thin">
        <color rgb="FF3465A4"/>
      </right>
      <top style="thin">
        <color auto="1"/>
      </top>
      <bottom/>
      <diagonal/>
    </border>
    <border>
      <left/>
      <right style="thin">
        <color rgb="FF3465A4"/>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hair">
        <color rgb="FF3465A4"/>
      </top>
      <bottom style="hair">
        <color rgb="FF3465A4"/>
      </bottom>
      <diagonal/>
    </border>
    <border>
      <left/>
      <right style="thin">
        <color rgb="FF3465A4"/>
      </right>
      <top/>
      <bottom style="hair">
        <color rgb="FF3465A4"/>
      </bottom>
      <diagonal/>
    </border>
    <border>
      <left/>
      <right/>
      <top/>
      <bottom style="hair">
        <color rgb="FF3465A4"/>
      </bottom>
      <diagonal/>
    </border>
    <border>
      <left style="thin">
        <color rgb="FF3465A4"/>
      </left>
      <right style="thin">
        <color auto="1"/>
      </right>
      <top style="thin">
        <color rgb="FF3465A4"/>
      </top>
      <bottom style="hair">
        <color rgb="FF3465A4"/>
      </bottom>
      <diagonal/>
    </border>
    <border>
      <left/>
      <right style="thin">
        <color rgb="FF3465A4"/>
      </right>
      <top style="hair">
        <color rgb="FF3465A4"/>
      </top>
      <bottom style="hair">
        <color rgb="FF3465A4"/>
      </bottom>
      <diagonal/>
    </border>
    <border>
      <left/>
      <right/>
      <top style="hair">
        <color rgb="FF3465A4"/>
      </top>
      <bottom style="hair">
        <color rgb="FF3465A4"/>
      </bottom>
      <diagonal/>
    </border>
    <border>
      <left style="thin">
        <color rgb="FF3465A4"/>
      </left>
      <right style="thin">
        <color auto="1"/>
      </right>
      <top style="hair">
        <color rgb="FF3465A4"/>
      </top>
      <bottom style="hair">
        <color rgb="FF3465A4"/>
      </bottom>
      <diagonal/>
    </border>
    <border>
      <left style="thin">
        <color auto="1"/>
      </left>
      <right/>
      <top style="hair">
        <color rgb="FF3465A4"/>
      </top>
      <bottom style="thin">
        <color auto="1"/>
      </bottom>
      <diagonal/>
    </border>
    <border>
      <left/>
      <right/>
      <top/>
      <bottom style="thin">
        <color auto="1"/>
      </bottom>
      <diagonal/>
    </border>
    <border>
      <left/>
      <right style="thin">
        <color rgb="FF3465A4"/>
      </right>
      <top/>
      <bottom style="thin">
        <color auto="1"/>
      </bottom>
      <diagonal/>
    </border>
    <border>
      <left style="thin">
        <color rgb="FF3465A4"/>
      </left>
      <right style="thin">
        <color auto="1"/>
      </right>
      <top/>
      <bottom style="thin">
        <color auto="1"/>
      </bottom>
      <diagonal/>
    </border>
    <border>
      <left style="thin">
        <color rgb="FF3465A4"/>
      </left>
      <right style="thin">
        <color rgb="FF3465A4"/>
      </right>
      <top style="hair">
        <color theme="5"/>
      </top>
      <bottom style="hair">
        <color theme="5"/>
      </bottom>
      <diagonal/>
    </border>
    <border>
      <left/>
      <right/>
      <top style="hair">
        <color rgb="FF3465A4"/>
      </top>
      <bottom/>
      <diagonal/>
    </border>
  </borders>
  <cellStyleXfs count="9">
    <xf numFmtId="0" fontId="0" fillId="0" borderId="0"/>
    <xf numFmtId="0" fontId="1" fillId="0" borderId="0" applyProtection="1">
      <protection locked="0" hidden="0"/>
    </xf>
    <xf numFmtId="0" fontId="1" fillId="0" borderId="0" applyProtection="1">
      <protection locked="0" hidden="0"/>
    </xf>
    <xf numFmtId="0" fontId="2" fillId="0" borderId="0" applyProtection="1">
      <protection locked="0" hidden="0"/>
    </xf>
    <xf numFmtId="0" fontId="1" fillId="0" borderId="0" applyProtection="1">
      <protection locked="0" hidden="0"/>
    </xf>
    <xf numFmtId="0" fontId="1" fillId="0" borderId="0" applyProtection="1">
      <protection locked="0" hidden="0"/>
    </xf>
    <xf numFmtId="0" fontId="1" fillId="0" borderId="0" applyProtection="1">
      <protection locked="0" hidden="0"/>
    </xf>
    <xf numFmtId="0" fontId="2" fillId="0" borderId="0" applyProtection="1">
      <protection locked="0" hidden="0"/>
    </xf>
    <xf numFmtId="0" fontId="3" fillId="0" borderId="0"/>
  </cellStyleXfs>
  <cellXfs count="46">
    <xf numFmtId="0" fontId="0"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center"/>
    </xf>
    <xf numFmtId="0" fontId="6" fillId="0" borderId="0" applyAlignment="1" pivotButton="0" quotePrefix="0" xfId="0">
      <alignment vertical="center"/>
    </xf>
    <xf numFmtId="0" fontId="7" fillId="0" borderId="0" pivotButton="0" quotePrefix="0" xfId="0"/>
    <xf numFmtId="0" fontId="7" fillId="0" borderId="0" applyAlignment="1" pivotButton="0" quotePrefix="0" xfId="0">
      <alignment vertical="center"/>
    </xf>
    <xf numFmtId="0" fontId="7" fillId="0" borderId="0" applyAlignment="1" pivotButton="0" quotePrefix="0" xfId="0">
      <alignment horizontal="right" vertical="center"/>
    </xf>
    <xf numFmtId="2" fontId="8" fillId="0" borderId="0" applyAlignment="1" pivotButton="0" quotePrefix="0" xfId="0">
      <alignment horizontal="center"/>
    </xf>
    <xf numFmtId="0" fontId="9" fillId="0" borderId="0" applyAlignment="1" pivotButton="0" quotePrefix="0" xfId="0">
      <alignment horizontal="left"/>
    </xf>
    <xf numFmtId="0" fontId="10" fillId="0" borderId="0" applyAlignment="1" applyProtection="1" pivotButton="0" quotePrefix="0" xfId="0">
      <alignment vertical="center"/>
      <protection locked="1" hidden="1"/>
    </xf>
    <xf numFmtId="0" fontId="11" fillId="0" borderId="0" pivotButton="0" quotePrefix="0" xfId="0"/>
    <xf numFmtId="0" fontId="12" fillId="0" borderId="0" applyAlignment="1" pivotButton="0" quotePrefix="0" xfId="0">
      <alignment horizontal="left" vertical="center"/>
    </xf>
    <xf numFmtId="0" fontId="13" fillId="0" borderId="0" pivotButton="0" quotePrefix="0" xfId="0"/>
    <xf numFmtId="0" fontId="10" fillId="0" borderId="0" applyAlignment="1" applyProtection="1" pivotButton="0" quotePrefix="0" xfId="0">
      <alignment horizontal="left" vertical="top"/>
      <protection locked="1" hidden="1"/>
    </xf>
    <xf numFmtId="0" fontId="14" fillId="0" borderId="0" applyAlignment="1" pivotButton="0" quotePrefix="0" xfId="0">
      <alignment vertical="top"/>
    </xf>
    <xf numFmtId="0" fontId="7" fillId="0" borderId="0" applyAlignment="1" pivotButton="0" quotePrefix="0" xfId="0">
      <alignment horizontal="right" vertical="top"/>
    </xf>
    <xf numFmtId="0" fontId="14" fillId="0" borderId="0" applyAlignment="1" pivotButton="0" quotePrefix="0" xfId="0">
      <alignment horizontal="center" vertical="top"/>
    </xf>
    <xf numFmtId="0" fontId="6" fillId="0" borderId="0" applyAlignment="1" pivotButton="0" quotePrefix="0" xfId="0">
      <alignment horizontal="right" vertical="top"/>
    </xf>
    <xf numFmtId="0" fontId="3" fillId="0" borderId="0" applyAlignment="1" pivotButton="0" quotePrefix="0" xfId="0">
      <alignment vertical="top"/>
    </xf>
    <xf numFmtId="0" fontId="0" fillId="0" borderId="0" applyAlignment="1" pivotButton="0" quotePrefix="0" xfId="0">
      <alignment vertical="top"/>
    </xf>
    <xf numFmtId="164" fontId="15" fillId="0" borderId="5" applyAlignment="1" pivotButton="0" quotePrefix="0" xfId="0">
      <alignment horizontal="center" vertical="center"/>
    </xf>
    <xf numFmtId="165" fontId="7" fillId="0" borderId="6" applyAlignment="1" pivotButton="0" quotePrefix="0" xfId="0">
      <alignment horizontal="right" vertical="center"/>
    </xf>
    <xf numFmtId="164" fontId="7" fillId="0" borderId="7" applyAlignment="1" pivotButton="0" quotePrefix="0" xfId="0">
      <alignment horizontal="center" vertical="center"/>
    </xf>
    <xf numFmtId="164" fontId="7" fillId="0" borderId="6" applyAlignment="1" pivotButton="0" quotePrefix="0" xfId="0">
      <alignment horizontal="center" vertical="center"/>
    </xf>
    <xf numFmtId="0" fontId="14" fillId="0" borderId="8" applyAlignment="1" pivotButton="0" quotePrefix="0" xfId="0">
      <alignment horizontal="left" vertical="center" wrapText="1"/>
    </xf>
    <xf numFmtId="165" fontId="7" fillId="0" borderId="9" applyAlignment="1" pivotButton="0" quotePrefix="0" xfId="0">
      <alignment horizontal="right" vertical="center"/>
    </xf>
    <xf numFmtId="164" fontId="7" fillId="0" borderId="10" applyAlignment="1" pivotButton="0" quotePrefix="0" xfId="0">
      <alignment horizontal="center" vertical="center"/>
    </xf>
    <xf numFmtId="164" fontId="7" fillId="0" borderId="9" applyAlignment="1" pivotButton="0" quotePrefix="0" xfId="0">
      <alignment horizontal="center" vertical="center"/>
    </xf>
    <xf numFmtId="0" fontId="14" fillId="0" borderId="11" applyAlignment="1" pivotButton="0" quotePrefix="0" xfId="0">
      <alignment horizontal="left" vertical="center" wrapText="1"/>
    </xf>
    <xf numFmtId="164" fontId="15" fillId="0" borderId="12" applyAlignment="1" pivotButton="0" quotePrefix="0" xfId="0">
      <alignment horizontal="center" vertical="center"/>
    </xf>
    <xf numFmtId="164" fontId="7" fillId="0" borderId="13" applyAlignment="1" pivotButton="0" quotePrefix="0" xfId="0">
      <alignment horizontal="center" vertical="center"/>
    </xf>
    <xf numFmtId="164" fontId="7" fillId="0" borderId="14" applyAlignment="1" pivotButton="0" quotePrefix="0" xfId="0">
      <alignment horizontal="center" vertical="center"/>
    </xf>
    <xf numFmtId="0" fontId="14" fillId="0" borderId="15" applyAlignment="1" pivotButton="0" quotePrefix="0" xfId="0">
      <alignment horizontal="left" vertical="center" wrapText="1"/>
    </xf>
    <xf numFmtId="0" fontId="16" fillId="0" borderId="0" applyAlignment="1" pivotButton="0" quotePrefix="0" xfId="0">
      <alignment horizontal="center" vertical="center"/>
    </xf>
    <xf numFmtId="0" fontId="16" fillId="0" borderId="0" pivotButton="0" quotePrefix="0" xfId="0"/>
    <xf numFmtId="0" fontId="16" fillId="0" borderId="0" applyAlignment="1" pivotButton="0" quotePrefix="0" xfId="0">
      <alignment horizontal="center"/>
    </xf>
    <xf numFmtId="166" fontId="7" fillId="0" borderId="0" applyAlignment="1" pivotButton="0" quotePrefix="0" xfId="0">
      <alignment horizontal="center"/>
    </xf>
    <xf numFmtId="0" fontId="17" fillId="2" borderId="1" applyAlignment="1" pivotButton="0" quotePrefix="0" xfId="0">
      <alignment horizontal="center"/>
    </xf>
    <xf numFmtId="0" fontId="17" fillId="2" borderId="2" applyAlignment="1" pivotButton="0" quotePrefix="0" xfId="0">
      <alignment horizontal="center"/>
    </xf>
    <xf numFmtId="0" fontId="17" fillId="2" borderId="3" applyAlignment="1" pivotButton="0" quotePrefix="0" xfId="0">
      <alignment horizontal="center"/>
    </xf>
    <xf numFmtId="0" fontId="17" fillId="2" borderId="4" applyAlignment="1" pivotButton="0" quotePrefix="0" xfId="0">
      <alignment horizontal="center"/>
    </xf>
    <xf numFmtId="0" fontId="18" fillId="0" borderId="0" applyAlignment="1" pivotButton="0" quotePrefix="0" xfId="0">
      <alignment horizontal="center"/>
    </xf>
    <xf numFmtId="0" fontId="19" fillId="0" borderId="0" pivotButton="0" quotePrefix="0" xfId="0"/>
    <xf numFmtId="164" fontId="7" fillId="0" borderId="17" applyAlignment="1" pivotButton="0" quotePrefix="0" xfId="0">
      <alignment horizontal="center" vertical="center"/>
    </xf>
    <xf numFmtId="164" fontId="7" fillId="0" borderId="16" applyAlignment="1" pivotButton="0" quotePrefix="0" xfId="0">
      <alignment horizontal="center" vertical="center"/>
    </xf>
    <xf numFmtId="166" fontId="7" fillId="0" borderId="0" applyAlignment="1" pivotButton="0" quotePrefix="0" xfId="0">
      <alignment horizontal="center"/>
    </xf>
  </cellXfs>
  <cellStyles count="9">
    <cellStyle name="Normal" xfId="0" builtinId="0"/>
    <cellStyle name="F2" xfId="1"/>
    <cellStyle name="F3" xfId="2"/>
    <cellStyle name="F4" xfId="3"/>
    <cellStyle name="F5" xfId="4"/>
    <cellStyle name="F6" xfId="5"/>
    <cellStyle name="F7" xfId="6"/>
    <cellStyle name="F8" xfId="7"/>
    <cellStyle name="Normal 2" xfId="8"/>
  </cellStyles>
  <dxfs count="2">
    <dxf>
      <font>
        <color rgb="00FFFFFF"/>
      </font>
      <fill>
        <patternFill>
          <bgColor rgb="FF8D8DB3"/>
        </patternFill>
      </fill>
    </dxf>
    <dxf>
      <font>
        <b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465A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109800</colOff>
      <row>0</row>
      <rowOff>1054800</rowOff>
    </to>
    <pic>
      <nvPicPr>
        <cNvPr id="2" name="Imagen 2"/>
        <cNvPicPr/>
      </nvPicPr>
      <blipFill>
        <a:blip r:embed="rId1"/>
        <a:stretch>
          <a:fillRect/>
        </a:stretch>
      </blipFill>
      <spPr>
        <a:xfrm>
          <a:off x="0" y="0"/>
          <a:ext cx="2039040" cy="1054800"/>
        </a:xfrm>
        <a:prstGeom prst="rect">
          <avLst/>
        </a:prstGeom>
        <a:noFill/>
        <a:ln w="0">
          <a:noFill/>
          <a:prstDash val="solid"/>
        </a:ln>
      </spPr>
    </pic>
    <clientData/>
  </twoCellAnchor>
  <twoCellAnchor editAs="oneCell">
    <from>
      <col>9</col>
      <colOff>3720240</colOff>
      <row>0</row>
      <rowOff>21960</rowOff>
    </from>
    <to>
      <col>9</col>
      <colOff>7870680</colOff>
      <row>0</row>
      <rowOff>400320</rowOff>
    </to>
    <pic>
      <nvPicPr>
        <cNvPr id="3" name="Imagen 4"/>
        <cNvPicPr/>
      </nvPicPr>
      <blipFill>
        <a:blip r:embed="rId2"/>
        <a:stretch>
          <a:fillRect/>
        </a:stretch>
      </blipFill>
      <spPr>
        <a:xfrm>
          <a:off x="10395360" y="21960"/>
          <a:ext cx="4150440" cy="378360"/>
        </a:xfrm>
        <a:prstGeom prst="rect">
          <avLst/>
        </a:prstGeom>
        <a:noFill/>
        <a:ln w="0">
          <a:noFill/>
          <a:prstDash val="solid"/>
        </a:ln>
      </spPr>
    </pic>
    <clientData/>
  </twoCellAnchor>
</wsDr>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N37"/>
  <sheetViews>
    <sheetView showGridLines="0" tabSelected="1" zoomScale="90" zoomScaleNormal="90" workbookViewId="0">
      <pane xSplit="2" ySplit="2" topLeftCell="C3" activePane="bottomRight" state="frozen"/>
      <selection pane="topRight" activeCell="C1" sqref="C1"/>
      <selection pane="bottomLeft" activeCell="A3" sqref="A3"/>
      <selection pane="bottomRight" activeCell="J21" sqref="J2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HOJA DE PRUEBA</t>
        </is>
      </c>
      <c r="I2" s="7">
        <f>SUM(K6:K36)</f>
        <v/>
      </c>
      <c r="J2" s="8" t="inlineStr">
        <is>
          <t>TOTAL</t>
        </is>
      </c>
    </row>
    <row r="3" ht="18.75" customHeight="1">
      <c r="A3" s="9" t="inlineStr">
        <is>
          <t>Cuadrilla o Agencia:</t>
        </is>
      </c>
      <c r="B3" s="9" t="n"/>
      <c r="C3" s="9" t="n"/>
      <c r="D3" s="9" t="n"/>
      <c r="E3" s="10" t="n"/>
      <c r="F3" s="10" t="n"/>
      <c r="G3" s="10" t="n"/>
      <c r="H3" s="6" t="inlineStr">
        <is>
          <t>AGENCIA GUALAQUIZA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c r="D6" s="23" t="n"/>
      <c r="E6" s="22" t="n"/>
      <c r="F6" s="23" t="n"/>
      <c r="G6" s="22" t="n"/>
      <c r="H6" s="23" t="n"/>
      <c r="I6" s="22" t="n">
        <v>0</v>
      </c>
      <c r="J6" s="24" t="n"/>
      <c r="K6">
        <f t="array" ref="K6">SUM((INDIRECT("D"&amp;ROW())-INDIRECT("C"&amp;ROW()))*2*24,(INDIRECT("F"&amp;ROW())-INDIRECT("E"&amp;ROW()))*2*24,(INDIRECT("H"&amp;ROW())-INDIRECT("G"&amp;ROW()))*2*24)</f>
        <v/>
      </c>
    </row>
    <row r="7" ht="18.75" customHeight="1">
      <c r="A7" s="20">
        <f>IF(B7&gt;0,PROPER(TEXT(B7,"dddd")),"")</f>
        <v/>
      </c>
      <c r="B7" s="25" t="n">
        <v>46144</v>
      </c>
      <c r="C7" s="26" t="n">
        <v>0.8034722222222223</v>
      </c>
      <c r="D7" s="27" t="n">
        <v>0.8652777777777778</v>
      </c>
      <c r="E7" s="26" t="n"/>
      <c r="F7" s="27" t="n"/>
      <c r="G7" s="26" t="n"/>
      <c r="H7" s="27" t="n"/>
      <c r="I7" s="26" t="n">
        <v>0.06180555555555556</v>
      </c>
      <c r="J7" s="28" t="inlineStr">
        <is>
          <t>OT # 173960. Guayusal, reivision y limpieza RBV rehabilitacion de trafo # 23459.</t>
        </is>
      </c>
      <c r="K7">
        <f t="array" ref="K7">SUM((INDIRECT("D"&amp;ROW())-INDIRECT("C"&amp;ROW()))*2*24,(INDIRECT("F"&amp;ROW())-INDIRECT("E"&amp;ROW()))*2*24,(INDIRECT("H"&amp;ROW())-INDIRECT("G"&amp;ROW()))*2*24)</f>
        <v/>
      </c>
    </row>
    <row r="8" ht="18.75" customHeight="1">
      <c r="A8" s="20">
        <f>IF(B8&gt;0,PROPER(TEXT(B8,"dddd")),"")</f>
        <v/>
      </c>
      <c r="B8" s="25" t="n">
        <v>46145</v>
      </c>
      <c r="C8" s="26" t="n">
        <v>0.3701388888888889</v>
      </c>
      <c r="D8" s="27" t="n">
        <v>0.5520833333333334</v>
      </c>
      <c r="E8" s="26" t="n">
        <v>0.7090277777777778</v>
      </c>
      <c r="F8" s="27" t="n">
        <v>0.7951388888888888</v>
      </c>
      <c r="G8" s="26" t="n"/>
      <c r="H8" s="27" t="n"/>
      <c r="I8" s="26" t="n">
        <v>0.2680555555555555</v>
      </c>
      <c r="J8" s="28" t="inlineStr">
        <is>
          <t>OT # 174080. FESTIVO. Naichap, restitución M# 194238 por 18-258039. Aguacate, restitución M# 194324 por 18-258040.</t>
        </is>
      </c>
      <c r="K8">
        <f t="array" ref="K8">SUM((INDIRECT("D"&amp;ROW())-INDIRECT("C"&amp;ROW()))*2*24,(INDIRECT("F"&amp;ROW())-INDIRECT("E"&amp;ROW()))*2*24,(INDIRECT("H"&amp;ROW())-INDIRECT("G"&amp;ROW()))*2*24)</f>
        <v/>
      </c>
    </row>
    <row r="9" ht="18.75" customHeight="1">
      <c r="A9" s="20">
        <f>IF(B9&gt;0,PROPER(TEXT(B9,"dddd")),"")</f>
        <v/>
      </c>
      <c r="B9" s="21" t="n">
        <v>46146</v>
      </c>
      <c r="C9" s="26" t="n">
        <v>0.6777777777777778</v>
      </c>
      <c r="D9" s="27" t="n">
        <v>0.7666666666666667</v>
      </c>
      <c r="E9" s="26" t="n"/>
      <c r="F9" s="27" t="n"/>
      <c r="G9" s="26" t="n"/>
      <c r="H9" s="27" t="n"/>
      <c r="I9" s="26" t="n">
        <v>0.08888888888888889</v>
      </c>
      <c r="J9" s="28" t="inlineStr">
        <is>
          <t>OT # 174083. Guayusal, Est 291765 cambio tirafusible 25A-T</t>
        </is>
      </c>
      <c r="K9">
        <f t="array" ref="K9">SUM((INDIRECT("D"&amp;ROW())-INDIRECT("C"&amp;ROW()))*1.5*24,(INDIRECT("F"&amp;ROW())-INDIRECT("E"&amp;ROW()))*1.5*24,(INDIRECT("H"&amp;ROW())-INDIRECT("G"&amp;ROW()))*1.5*24)</f>
        <v/>
      </c>
    </row>
    <row r="10" ht="18.75" customHeight="1">
      <c r="A10" s="20">
        <f>IF(B10&gt;0,PROPER(TEXT(B10,"dddd")),"")</f>
        <v/>
      </c>
      <c r="B10" s="25" t="n">
        <v>46147</v>
      </c>
      <c r="C10" s="26" t="n">
        <v>0.3666666666666666</v>
      </c>
      <c r="D10" s="27" t="n">
        <v>0.4506944444444445</v>
      </c>
      <c r="E10" s="26" t="n"/>
      <c r="F10" s="27" t="n"/>
      <c r="G10" s="26" t="n"/>
      <c r="H10" s="27" t="n"/>
      <c r="I10" s="26" t="n">
        <v>0.08402777777777778</v>
      </c>
      <c r="J10" s="28" t="inlineStr">
        <is>
          <t>OT # 174084. Chumpias, Est 028535 cambio tirafusible 25A-T</t>
        </is>
      </c>
      <c r="K10">
        <f t="array" ref="K10">SUM((INDIRECT("D"&amp;ROW())-INDIRECT("C"&amp;ROW()))*1.5*24,(INDIRECT("F"&amp;ROW())-INDIRECT("E"&amp;ROW()))*1.5*24,(INDIRECT("H"&amp;ROW())-INDIRECT("G"&amp;ROW()))*1.5*24)</f>
        <v/>
      </c>
    </row>
    <row r="11" ht="18.75" customHeight="1">
      <c r="A11" s="20">
        <f>IF(B11&gt;0,PROPER(TEXT(B11,"dddd")),"")</f>
        <v/>
      </c>
      <c r="B11" s="25" t="n">
        <v>46148</v>
      </c>
      <c r="C11" s="26" t="n">
        <v>0.7986111111111112</v>
      </c>
      <c r="D11" s="27" t="n">
        <v>0.8854166666666666</v>
      </c>
      <c r="E11" s="26" t="n"/>
      <c r="F11" s="27" t="n"/>
      <c r="G11" s="26" t="n"/>
      <c r="H11" s="27" t="n"/>
      <c r="I11" s="43" t="n">
        <v>0.08680555555555555</v>
      </c>
      <c r="J11" s="28" t="inlineStr">
        <is>
          <t>OT # 174310. La Pradera, se arregla acometida M# 240908, se rehabilita trafo # 20916</t>
        </is>
      </c>
      <c r="K11">
        <f t="array" ref="K11">SUM((INDIRECT("D"&amp;ROW())-INDIRECT("C"&amp;ROW()))*1.5*24,(INDIRECT("F"&amp;ROW())-INDIRECT("E"&amp;ROW()))*1.5*24,(INDIRECT("H"&amp;ROW())-INDIRECT("G"&amp;ROW()))*1.5*24)</f>
        <v/>
      </c>
    </row>
    <row r="12" ht="18.75" customHeight="1">
      <c r="A12" s="20">
        <f>IF(B12&gt;0,PROPER(TEXT(B12,"dddd")),"")</f>
        <v/>
      </c>
      <c r="B12" s="21" t="n">
        <v>46149</v>
      </c>
      <c r="C12" s="26" t="n">
        <v>0.75</v>
      </c>
      <c r="D12" s="27" t="n">
        <v>0.8472222222222222</v>
      </c>
      <c r="E12" s="26" t="n"/>
      <c r="F12" s="27" t="n"/>
      <c r="G12" s="26" t="n"/>
      <c r="H12" s="27" t="n"/>
      <c r="I12" s="44" t="n">
        <v>0.09722222222222222</v>
      </c>
      <c r="J12" s="28" t="inlineStr">
        <is>
          <t>OT # 174313. Shiramentza, Est 22357 cambi0 tirafusible de 1.3A-SR</t>
        </is>
      </c>
      <c r="K12">
        <f t="array" ref="K12">SUM((INDIRECT("D"&amp;ROW())-INDIRECT("C"&amp;ROW()))*1.5*24,(INDIRECT("F"&amp;ROW())-INDIRECT("E"&amp;ROW()))*1.5*24,(INDIRECT("H"&amp;ROW())-INDIRECT("G"&amp;ROW()))*1.5*24)</f>
        <v/>
      </c>
    </row>
    <row r="13" ht="18.75" customHeight="1">
      <c r="A13" s="20">
        <f>IF(B13&gt;0,PROPER(TEXT(B13,"dddd")),"")</f>
        <v/>
      </c>
      <c r="B13" s="25" t="n">
        <v>46150</v>
      </c>
      <c r="C13" s="26" t="n"/>
      <c r="D13" s="27" t="n"/>
      <c r="E13" s="26" t="n"/>
      <c r="F13" s="27" t="n"/>
      <c r="G13" s="26" t="n"/>
      <c r="H13" s="27" t="n"/>
      <c r="I13" s="22" t="n">
        <v>0</v>
      </c>
      <c r="J13" s="28" t="n"/>
      <c r="K13">
        <f t="array" ref="K13">SUM((INDIRECT("D"&amp;ROW())-INDIRECT("C"&amp;ROW()))*1.5*24,(INDIRECT("F"&amp;ROW())-INDIRECT("E"&amp;ROW()))*1.5*24,(INDIRECT("H"&amp;ROW())-INDIRECT("G"&amp;ROW()))*1.5*24)</f>
        <v/>
      </c>
    </row>
    <row r="14" ht="18.75" customHeight="1">
      <c r="A14" s="20">
        <f>IF(B14&gt;0,PROPER(TEXT(B14,"dddd")),"")</f>
        <v/>
      </c>
      <c r="B14" s="25" t="n">
        <v>46151</v>
      </c>
      <c r="C14" s="26" t="n"/>
      <c r="D14" s="27" t="n"/>
      <c r="E14" s="26" t="n"/>
      <c r="F14" s="27" t="n"/>
      <c r="G14" s="26" t="n"/>
      <c r="H14" s="27" t="n"/>
      <c r="I14" s="26" t="n">
        <v>0</v>
      </c>
      <c r="J14" s="28" t="n"/>
      <c r="K14">
        <f t="array" ref="K14">SUM((INDIRECT("D"&amp;ROW())-INDIRECT("C"&amp;ROW()))*2*24,(INDIRECT("F"&amp;ROW())-INDIRECT("E"&amp;ROW()))*2*24,(INDIRECT("H"&amp;ROW())-INDIRECT("G"&amp;ROW()))*2*24)</f>
        <v/>
      </c>
    </row>
    <row r="15" ht="18.75" customHeight="1">
      <c r="A15" s="20">
        <f>IF(B15&gt;0,PROPER(TEXT(B15,"dddd")),"")</f>
        <v/>
      </c>
      <c r="B15" s="21" t="n">
        <v>46152</v>
      </c>
      <c r="C15" s="26" t="n">
        <v>0.7270833333333333</v>
      </c>
      <c r="D15" s="27" t="n">
        <v>0.8173611111111111</v>
      </c>
      <c r="E15" s="26" t="n"/>
      <c r="F15" s="27" t="n"/>
      <c r="G15" s="26" t="n"/>
      <c r="H15" s="27" t="n"/>
      <c r="I15" s="26" t="n">
        <v>0.09027777777777778</v>
      </c>
      <c r="J15" s="28" t="inlineStr">
        <is>
          <t>OT # 174486.Tutus, Est 91980 cambio de tirafusible 12A-T</t>
        </is>
      </c>
      <c r="K15">
        <f t="array" ref="K15">SUM((INDIRECT("D"&amp;ROW())-INDIRECT("C"&amp;ROW()))*2*24,(INDIRECT("F"&amp;ROW())-INDIRECT("E"&amp;ROW()))*2*24,(INDIRECT("H"&amp;ROW())-INDIRECT("G"&amp;ROW()))*2*24)</f>
        <v/>
      </c>
    </row>
    <row r="16" ht="18.75" customHeight="1">
      <c r="A16" s="20">
        <f>IF(B16&gt;0,PROPER(TEXT(B16,"dddd")),"")</f>
        <v/>
      </c>
      <c r="B16" s="25" t="n">
        <v>46153</v>
      </c>
      <c r="C16" s="26" t="n"/>
      <c r="D16" s="27" t="n"/>
      <c r="E16" s="26" t="n"/>
      <c r="F16" s="27" t="n"/>
      <c r="G16" s="26" t="n"/>
      <c r="H16" s="27" t="n"/>
      <c r="I16" s="26" t="n">
        <v>0</v>
      </c>
      <c r="J16" s="28" t="n"/>
      <c r="K16">
        <f t="array" ref="K16">SUM((INDIRECT("D"&amp;ROW())-INDIRECT("C"&amp;ROW()))*1.5*24,(INDIRECT("F"&amp;ROW())-INDIRECT("E"&amp;ROW()))*1.5*24,(INDIRECT("H"&amp;ROW())-INDIRECT("G"&amp;ROW()))*1.5*24)</f>
        <v/>
      </c>
    </row>
    <row r="17" ht="18.75" customHeight="1">
      <c r="A17" s="20">
        <f>IF(B17&gt;0,PROPER(TEXT(B17,"dddd")),"")</f>
        <v/>
      </c>
      <c r="B17" s="25" t="n">
        <v>46154</v>
      </c>
      <c r="C17" s="26" t="n">
        <v>0.375</v>
      </c>
      <c r="D17" s="27" t="n">
        <v>0.9166666666666666</v>
      </c>
      <c r="E17" s="26" t="n"/>
      <c r="F17" s="27" t="n"/>
      <c r="G17" s="26" t="n"/>
      <c r="H17" s="27" t="n"/>
      <c r="I17" s="26">
        <f>D17-C17</f>
        <v/>
      </c>
      <c r="J17" s="28" t="n"/>
      <c r="K17">
        <f t="array" ref="K17">SUM((INDIRECT("D"&amp;ROW())-INDIRECT("C"&amp;ROW()))*1.5*24,(INDIRECT("F"&amp;ROW())-INDIRECT("E"&amp;ROW()))*1.5*24,(INDIRECT("H"&amp;ROW())-INDIRECT("G"&amp;ROW()))*1.5*24)</f>
        <v/>
      </c>
    </row>
    <row r="18" ht="18.75" customHeight="1">
      <c r="A18" s="20">
        <f>IF(B18&gt;0,PROPER(TEXT(B18,"dddd")),"")</f>
        <v/>
      </c>
      <c r="B18" s="21" t="n">
        <v>46155</v>
      </c>
      <c r="C18" s="26" t="n"/>
      <c r="D18" s="27" t="n"/>
      <c r="E18" s="26" t="n"/>
      <c r="F18" s="27" t="n"/>
      <c r="G18" s="26" t="n"/>
      <c r="H18" s="27" t="n"/>
      <c r="I18" s="26">
        <f>SUM(C18:H18)</f>
        <v/>
      </c>
      <c r="J18" s="28" t="n"/>
      <c r="K18">
        <f t="array" ref="K18">SUM((INDIRECT("D"&amp;ROW())-INDIRECT("C"&amp;ROW()))*1.5*24,(INDIRECT("F"&amp;ROW())-INDIRECT("E"&amp;ROW()))*1.5*24,(INDIRECT("H"&amp;ROW())-INDIRECT("G"&amp;ROW()))*1.5*24)</f>
        <v/>
      </c>
    </row>
    <row r="19" ht="18.75" customHeight="1">
      <c r="A19" s="20">
        <f>IF(B19&gt;0,PROPER(TEXT(B19,"dddd")),"")</f>
        <v/>
      </c>
      <c r="B19" s="25" t="n">
        <v>46156</v>
      </c>
      <c r="C19" s="26" t="n"/>
      <c r="D19" s="27" t="n"/>
      <c r="E19" s="26" t="n"/>
      <c r="F19" s="27" t="n"/>
      <c r="G19" s="26" t="n"/>
      <c r="H19" s="27" t="n"/>
      <c r="I19" s="26">
        <f>SUM(C19:H19)</f>
        <v/>
      </c>
      <c r="J19" s="28" t="n"/>
      <c r="K19">
        <f t="array" ref="K19">SUM((INDIRECT("D"&amp;ROW())-INDIRECT("C"&amp;ROW()))*1.5*24,(INDIRECT("F"&amp;ROW())-INDIRECT("E"&amp;ROW()))*1.5*24,(INDIRECT("H"&amp;ROW())-INDIRECT("G"&amp;ROW()))*1.5*24)</f>
        <v/>
      </c>
    </row>
    <row r="20" ht="18.75" customHeight="1">
      <c r="A20" s="20">
        <f>IF(B20&gt;0,PROPER(TEXT(B20,"dddd")),"")</f>
        <v/>
      </c>
      <c r="B20" s="25" t="n">
        <v>46157</v>
      </c>
      <c r="C20" s="26" t="n"/>
      <c r="D20" s="27" t="n"/>
      <c r="E20" s="26" t="n"/>
      <c r="F20" s="27" t="n"/>
      <c r="G20" s="26" t="n"/>
      <c r="H20" s="27" t="n"/>
      <c r="I20" s="26">
        <f>SUM(C20:H20)</f>
        <v/>
      </c>
      <c r="J20" s="28" t="n"/>
      <c r="K20">
        <f t="array" ref="K20">SUM((INDIRECT("D"&amp;ROW())-INDIRECT("C"&amp;ROW()))*1.5*24,(INDIRECT("F"&amp;ROW())-INDIRECT("E"&amp;ROW()))*1.5*24,(INDIRECT("H"&amp;ROW())-INDIRECT("G"&amp;ROW()))*1.5*24)</f>
        <v/>
      </c>
    </row>
    <row r="21" ht="18.75" customHeight="1">
      <c r="A21" s="20">
        <f>IF(B21&gt;0,PROPER(TEXT(B21,"dddd")),"")</f>
        <v/>
      </c>
      <c r="B21" s="21" t="n">
        <v>46158</v>
      </c>
      <c r="C21" s="26" t="n"/>
      <c r="D21" s="27" t="n"/>
      <c r="E21" s="26" t="n"/>
      <c r="F21" s="27" t="n"/>
      <c r="G21" s="26" t="n"/>
      <c r="H21" s="27" t="n"/>
      <c r="I21" s="26">
        <f>SUM(C21:H21)</f>
        <v/>
      </c>
      <c r="J21" s="28" t="n"/>
      <c r="K21">
        <f t="array" ref="K21">SUM((INDIRECT("D"&amp;ROW())-INDIRECT("C"&amp;ROW()))*2*24,(INDIRECT("F"&amp;ROW())-INDIRECT("E"&amp;ROW()))*2*24,(INDIRECT("H"&amp;ROW())-INDIRECT("G"&amp;ROW()))*2*24)</f>
        <v/>
      </c>
    </row>
    <row r="22" ht="18.75" customHeight="1">
      <c r="A22" s="20">
        <f>IF(B22&gt;0,PROPER(TEXT(B22,"dddd")),"")</f>
        <v/>
      </c>
      <c r="B22" s="25" t="n">
        <v>46159</v>
      </c>
      <c r="C22" s="26" t="n"/>
      <c r="D22" s="27" t="n"/>
      <c r="E22" s="26" t="n"/>
      <c r="F22" s="27" t="n"/>
      <c r="G22" s="26" t="n"/>
      <c r="H22" s="27" t="n"/>
      <c r="I22" s="26">
        <f>SUM(C22:H22)</f>
        <v/>
      </c>
      <c r="J22" s="28" t="n"/>
      <c r="K22">
        <f t="array" ref="K22">SUM((INDIRECT("D"&amp;ROW())-INDIRECT("C"&amp;ROW()))*2*24,(INDIRECT("F"&amp;ROW())-INDIRECT("E"&amp;ROW()))*2*24,(INDIRECT("H"&amp;ROW())-INDIRECT("G"&amp;ROW()))*2*24)</f>
        <v/>
      </c>
    </row>
    <row r="23" ht="18.75" customHeight="1">
      <c r="A23" s="20">
        <f>IF(B23&gt;0,PROPER(TEXT(B23,"dddd")),"")</f>
        <v/>
      </c>
      <c r="B23" s="25" t="n">
        <v>46160</v>
      </c>
      <c r="C23" s="26" t="n"/>
      <c r="D23" s="27" t="n"/>
      <c r="E23" s="26" t="n"/>
      <c r="F23" s="27" t="n"/>
      <c r="G23" s="26" t="n"/>
      <c r="H23" s="27" t="n"/>
      <c r="I23" s="26">
        <f>SUM(C23:H23)</f>
        <v/>
      </c>
      <c r="J23" s="28" t="n"/>
      <c r="K23">
        <f t="array" ref="K23">SUM((INDIRECT("D"&amp;ROW())-INDIRECT("C"&amp;ROW()))*1.5*24,(INDIRECT("F"&amp;ROW())-INDIRECT("E"&amp;ROW()))*1.5*24,(INDIRECT("H"&amp;ROW())-INDIRECT("G"&amp;ROW()))*1.5*24)</f>
        <v/>
      </c>
    </row>
    <row r="24" ht="18.75" customHeight="1">
      <c r="A24" s="20">
        <f>IF(B24&gt;0,PROPER(TEXT(B24,"dddd")),"")</f>
        <v/>
      </c>
      <c r="B24" s="21" t="n">
        <v>46161</v>
      </c>
      <c r="C24" s="26" t="n"/>
      <c r="D24" s="27" t="n"/>
      <c r="E24" s="26" t="n"/>
      <c r="F24" s="27" t="n"/>
      <c r="G24" s="26" t="n"/>
      <c r="H24" s="27" t="n"/>
      <c r="I24" s="26">
        <f>SUM(C24:H24)</f>
        <v/>
      </c>
      <c r="J24" s="28" t="n"/>
      <c r="K24">
        <f t="array" ref="K24">SUM((INDIRECT("D"&amp;ROW())-INDIRECT("C"&amp;ROW()))*1.5*24,(INDIRECT("F"&amp;ROW())-INDIRECT("E"&amp;ROW()))*1.5*24,(INDIRECT("H"&amp;ROW())-INDIRECT("G"&amp;ROW()))*1.5*24)</f>
        <v/>
      </c>
    </row>
    <row r="25" ht="18.75" customHeight="1">
      <c r="A25" s="20">
        <f>IF(B25&gt;0,PROPER(TEXT(B25,"dddd")),"")</f>
        <v/>
      </c>
      <c r="B25" s="25" t="n">
        <v>46162</v>
      </c>
      <c r="C25" s="26" t="n"/>
      <c r="D25" s="27" t="n"/>
      <c r="E25" s="26" t="n"/>
      <c r="F25" s="27" t="n"/>
      <c r="G25" s="26" t="n"/>
      <c r="H25" s="27" t="n"/>
      <c r="I25" s="26">
        <f>SUM(C25:H25)</f>
        <v/>
      </c>
      <c r="J25" s="28" t="n"/>
      <c r="K25">
        <f t="array" ref="K25">SUM((INDIRECT("D"&amp;ROW())-INDIRECT("C"&amp;ROW()))*1.5*24,(INDIRECT("F"&amp;ROW())-INDIRECT("E"&amp;ROW()))*1.5*24,(INDIRECT("H"&amp;ROW())-INDIRECT("G"&amp;ROW()))*1.5*24)</f>
        <v/>
      </c>
    </row>
    <row r="26" ht="18.75" customHeight="1">
      <c r="A26" s="20">
        <f>IF(B26&gt;0,PROPER(TEXT(B26,"dddd")),"")</f>
        <v/>
      </c>
      <c r="B26" s="25" t="n">
        <v>46163</v>
      </c>
      <c r="C26" s="26" t="n"/>
      <c r="D26" s="27" t="n"/>
      <c r="E26" s="26" t="n"/>
      <c r="F26" s="27" t="n"/>
      <c r="G26" s="26" t="n"/>
      <c r="H26" s="27" t="n"/>
      <c r="I26" s="26">
        <f>SUM(C26:H26)</f>
        <v/>
      </c>
      <c r="J26" s="28" t="n"/>
      <c r="K26">
        <f t="array" ref="K26">SUM((INDIRECT("D"&amp;ROW())-INDIRECT("C"&amp;ROW()))*1.5*24,(INDIRECT("F"&amp;ROW())-INDIRECT("E"&amp;ROW()))*1.5*24,(INDIRECT("H"&amp;ROW())-INDIRECT("G"&amp;ROW()))*1.5*24)</f>
        <v/>
      </c>
    </row>
    <row r="27" ht="18.75" customHeight="1">
      <c r="A27" s="20">
        <f>IF(B27&gt;0,PROPER(TEXT(B27,"dddd")),"")</f>
        <v/>
      </c>
      <c r="B27" s="21" t="n">
        <v>46164</v>
      </c>
      <c r="C27" s="26" t="n"/>
      <c r="D27" s="27" t="n"/>
      <c r="E27" s="26" t="n"/>
      <c r="F27" s="27" t="n"/>
      <c r="G27" s="26" t="n"/>
      <c r="H27" s="27" t="n"/>
      <c r="I27" s="26">
        <f>SUM(C27:H27)</f>
        <v/>
      </c>
      <c r="J27" s="28" t="n"/>
      <c r="K27">
        <f t="array" ref="K27">SUM((INDIRECT("D"&amp;ROW())-INDIRECT("C"&amp;ROW()))*1.5*24,(INDIRECT("F"&amp;ROW())-INDIRECT("E"&amp;ROW()))*1.5*24,(INDIRECT("H"&amp;ROW())-INDIRECT("G"&amp;ROW()))*1.5*24)</f>
        <v/>
      </c>
    </row>
    <row r="28" ht="18.75" customHeight="1">
      <c r="A28" s="20">
        <f>IF(B28&gt;0,PROPER(TEXT(B28,"dddd")),"")</f>
        <v/>
      </c>
      <c r="B28" s="25" t="n">
        <v>46165</v>
      </c>
      <c r="C28" s="26" t="n"/>
      <c r="D28" s="27" t="n"/>
      <c r="E28" s="26" t="n"/>
      <c r="F28" s="27" t="n"/>
      <c r="G28" s="26" t="n"/>
      <c r="H28" s="27" t="n"/>
      <c r="I28" s="26">
        <f>SUM(C28:H28)</f>
        <v/>
      </c>
      <c r="J28" s="28" t="n"/>
      <c r="K28">
        <f t="array" ref="K28">SUM((INDIRECT("D"&amp;ROW())-INDIRECT("C"&amp;ROW()))*2*24,(INDIRECT("F"&amp;ROW())-INDIRECT("E"&amp;ROW()))*2*24,(INDIRECT("H"&amp;ROW())-INDIRECT("G"&amp;ROW()))*2*24)</f>
        <v/>
      </c>
    </row>
    <row r="29" ht="18.75" customHeight="1">
      <c r="A29" s="20">
        <f>IF(B29&gt;0,PROPER(TEXT(B29,"dddd")),"")</f>
        <v/>
      </c>
      <c r="B29" s="25" t="n">
        <v>46166</v>
      </c>
      <c r="C29" s="26" t="n"/>
      <c r="D29" s="27" t="n"/>
      <c r="E29" s="26" t="n"/>
      <c r="F29" s="27" t="n"/>
      <c r="G29" s="26" t="n"/>
      <c r="H29" s="27" t="n"/>
      <c r="I29" s="26">
        <f>SUM(C29:H29)</f>
        <v/>
      </c>
      <c r="J29" s="28" t="n"/>
      <c r="K29">
        <f t="array" ref="K29">SUM((INDIRECT("D"&amp;ROW())-INDIRECT("C"&amp;ROW()))*2*24,(INDIRECT("F"&amp;ROW())-INDIRECT("E"&amp;ROW()))*2*24,(INDIRECT("H"&amp;ROW())-INDIRECT("G"&amp;ROW()))*2*24)</f>
        <v/>
      </c>
    </row>
    <row r="30" ht="18.75" customHeight="1">
      <c r="A30" s="20">
        <f>IF(B30&gt;0,PROPER(TEXT(B30,"dddd")),"")</f>
        <v/>
      </c>
      <c r="B30" s="21" t="n">
        <v>46167</v>
      </c>
      <c r="C30" s="26" t="n"/>
      <c r="D30" s="27" t="n"/>
      <c r="E30" s="26" t="n"/>
      <c r="F30" s="27" t="n"/>
      <c r="G30" s="26" t="n"/>
      <c r="H30" s="27" t="n"/>
      <c r="I30" s="26">
        <f>SUM(C30:H30)</f>
        <v/>
      </c>
      <c r="J30" s="28" t="n"/>
      <c r="K30">
        <f t="array" ref="K30">SUM((INDIRECT("D"&amp;ROW())-INDIRECT("C"&amp;ROW()))*2*24,(INDIRECT("F"&amp;ROW())-INDIRECT("E"&amp;ROW()))*2*24,(INDIRECT("H"&amp;ROW())-INDIRECT("G"&amp;ROW()))*2*24)</f>
        <v/>
      </c>
    </row>
    <row r="31" ht="18.75" customHeight="1">
      <c r="A31" s="20">
        <f>IF(B31&gt;0,PROPER(TEXT(B31,"dddd")),"")</f>
        <v/>
      </c>
      <c r="B31" s="25" t="n">
        <v>46168</v>
      </c>
      <c r="C31" s="26" t="n"/>
      <c r="D31" s="27" t="n"/>
      <c r="E31" s="26" t="n"/>
      <c r="F31" s="27" t="n"/>
      <c r="G31" s="26" t="n"/>
      <c r="H31" s="27" t="n"/>
      <c r="I31" s="26">
        <f>SUM(C31:H31)</f>
        <v/>
      </c>
      <c r="J31" s="28" t="n"/>
      <c r="K31">
        <f t="array" ref="K31">SUM((INDIRECT("D"&amp;ROW())-INDIRECT("C"&amp;ROW()))*1.5*24,(INDIRECT("F"&amp;ROW())-INDIRECT("E"&amp;ROW()))*1.5*24,(INDIRECT("H"&amp;ROW())-INDIRECT("G"&amp;ROW()))*1.5*24)</f>
        <v/>
      </c>
    </row>
    <row r="32" ht="18.75" customHeight="1">
      <c r="A32" s="20">
        <f>IF(B32&gt;0,PROPER(TEXT(B32,"dddd")),"")</f>
        <v/>
      </c>
      <c r="B32" s="25" t="n">
        <v>46169</v>
      </c>
      <c r="C32" s="26" t="n"/>
      <c r="D32" s="27" t="n"/>
      <c r="E32" s="26" t="n"/>
      <c r="F32" s="27" t="n"/>
      <c r="G32" s="26" t="n"/>
      <c r="H32" s="27" t="n"/>
      <c r="I32" s="26">
        <f>SUM(C32:H32)</f>
        <v/>
      </c>
      <c r="J32" s="28" t="n"/>
      <c r="K32">
        <f t="array" ref="K32">SUM((INDIRECT("D"&amp;ROW())-INDIRECT("C"&amp;ROW()))*1.5*24,(INDIRECT("F"&amp;ROW())-INDIRECT("E"&amp;ROW()))*1.5*24,(INDIRECT("H"&amp;ROW())-INDIRECT("G"&amp;ROW()))*1.5*24)</f>
        <v/>
      </c>
    </row>
    <row r="33" ht="18.75" customHeight="1">
      <c r="A33" s="20">
        <f>IF(B33&gt;0,PROPER(TEXT(B33,"dddd")),"")</f>
        <v/>
      </c>
      <c r="B33" s="21" t="n">
        <v>46170</v>
      </c>
      <c r="C33" s="26" t="n"/>
      <c r="D33" s="27" t="n"/>
      <c r="E33" s="26" t="n"/>
      <c r="F33" s="27" t="n"/>
      <c r="G33" s="26" t="n"/>
      <c r="H33" s="27" t="n"/>
      <c r="I33" s="26">
        <f>SUM(C33:H33)</f>
        <v/>
      </c>
      <c r="J33" s="28" t="n"/>
      <c r="K33">
        <f t="array" ref="K33">SUM((INDIRECT("D"&amp;ROW())-INDIRECT("C"&amp;ROW()))*1.5*24,(INDIRECT("F"&amp;ROW())-INDIRECT("E"&amp;ROW()))*1.5*24,(INDIRECT("H"&amp;ROW())-INDIRECT("G"&amp;ROW()))*1.5*24)</f>
        <v/>
      </c>
    </row>
    <row r="34" ht="18.75" customHeight="1">
      <c r="A34" s="20">
        <f>IF(B34&gt;0,PROPER(TEXT(B34,"dddd")),"")</f>
        <v/>
      </c>
      <c r="B34" s="25" t="n">
        <v>46171</v>
      </c>
      <c r="C34" s="26" t="n"/>
      <c r="D34" s="27" t="n"/>
      <c r="E34" s="26" t="n"/>
      <c r="F34" s="27" t="n"/>
      <c r="G34" s="26" t="n"/>
      <c r="H34" s="27" t="n"/>
      <c r="I34" s="26">
        <f>SUM(C34:H34)</f>
        <v/>
      </c>
      <c r="J34" s="28" t="n"/>
      <c r="K34">
        <f t="array" ref="K34">SUM((INDIRECT("D"&amp;ROW())-INDIRECT("C"&amp;ROW()))*1.5*24,(INDIRECT("F"&amp;ROW())-INDIRECT("E"&amp;ROW()))*1.5*24,(INDIRECT("H"&amp;ROW())-INDIRECT("G"&amp;ROW()))*1.5*24)</f>
        <v/>
      </c>
    </row>
    <row r="35" ht="18.75" customHeight="1">
      <c r="A35" s="20">
        <f>IF(B35&gt;0,PROPER(TEXT(B35,"dddd")),"")</f>
        <v/>
      </c>
      <c r="B35" s="25" t="n">
        <v>46172</v>
      </c>
      <c r="C35" s="26" t="n"/>
      <c r="D35" s="27" t="n"/>
      <c r="E35" s="26" t="n"/>
      <c r="F35" s="27" t="n"/>
      <c r="G35" s="26" t="n"/>
      <c r="H35" s="27" t="n"/>
      <c r="I35" s="26">
        <f>SUM(C35:H35)</f>
        <v/>
      </c>
      <c r="J35" s="28" t="n"/>
      <c r="K35">
        <f t="array" ref="K35">SUM((INDIRECT("D"&amp;ROW())-INDIRECT("C"&amp;ROW()))*2*24,(INDIRECT("F"&amp;ROW())-INDIRECT("E"&amp;ROW()))*2*24,(INDIRECT("H"&amp;ROW())-INDIRECT("G"&amp;ROW()))*2*24)</f>
        <v/>
      </c>
    </row>
    <row r="36" ht="18.75" customHeight="1">
      <c r="A36" s="29">
        <f>IF(B36&gt;0,PROPER(TEXT(B36,"dddd")),"")</f>
        <v/>
      </c>
      <c r="B36" s="21" t="n">
        <v>46173</v>
      </c>
      <c r="C36" s="30" t="n"/>
      <c r="D36" s="31" t="n"/>
      <c r="E36" s="30" t="n"/>
      <c r="F36" s="31" t="n"/>
      <c r="G36" s="30" t="n"/>
      <c r="H36" s="31" t="n"/>
      <c r="I36" s="30">
        <f>SUM(C36:H36)</f>
        <v/>
      </c>
      <c r="J36" s="32" t="n"/>
      <c r="K36">
        <f t="array" ref="K36">SUM((INDIRECT("D"&amp;ROW())-INDIRECT("C"&amp;ROW()))*2*24,(INDIRECT("F"&amp;ROW())-INDIRECT("E"&amp;ROW()))*2*24,(INDIRECT("H"&amp;ROW())-INDIRECT("G"&amp;ROW()))*2*24)</f>
        <v/>
      </c>
    </row>
    <row r="37">
      <c r="A37" s="33" t="n"/>
      <c r="B37" s="34" t="n"/>
      <c r="C37" s="34" t="n"/>
      <c r="D37" s="34" t="n"/>
      <c r="E37" s="34" t="n"/>
      <c r="F37" s="34" t="n"/>
      <c r="G37" s="34" t="n"/>
      <c r="H37" s="34" t="n"/>
      <c r="I37" s="35" t="n"/>
      <c r="J37" s="34" t="n"/>
    </row>
  </sheetData>
  <mergeCells count="1">
    <mergeCell ref="A1:J1"/>
  </mergeCells>
  <printOptions horizontalCentered="1"/>
  <pageMargins left="0.275694444444444" right="0.275694444444444" top="0.236111111111111" bottom="0.619444444444445" header="0.511811023622047" footer="0.236111111111111"/>
  <pageSetup orientation="landscape" paperSize="9" scale="65" horizontalDpi="300" verticalDpi="300"/>
  <headerFooter>
    <oddHeader/>
    <oddFooter>&amp;RPágina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PALACIOS MERINO ERNESTO VLADIMIR</t>
        </is>
      </c>
      <c r="I2" s="7">
        <f>SUM(K6:K36)</f>
        <v/>
      </c>
      <c r="J2" s="8" t="inlineStr">
        <is>
          <t>TOTAL</t>
        </is>
      </c>
    </row>
    <row r="3" ht="18.75" customHeight="1">
      <c r="A3" s="9" t="inlineStr">
        <is>
          <t>Cuadrilla o Agencia:</t>
        </is>
      </c>
      <c r="B3" s="9" t="n"/>
      <c r="C3" s="9" t="n"/>
      <c r="D3" s="9" t="n"/>
      <c r="E3" s="10" t="n"/>
      <c r="F3" s="10" t="n"/>
      <c r="G3" s="10" t="n"/>
      <c r="H3" s="6" t="inlineStr">
        <is>
          <t>Jefe Zonal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0.3375</v>
      </c>
      <c r="D21" s="27" t="n">
        <v>0.5361111111111111</v>
      </c>
      <c r="E21" s="26" t="n">
        <v/>
      </c>
      <c r="F21" s="27" t="n">
        <v/>
      </c>
      <c r="G21" s="26" t="n">
        <v/>
      </c>
      <c r="H21" s="27" t="n">
        <v/>
      </c>
      <c r="I21" s="26">
        <f>SUM(D21-C21, F21-E21, H21-G21)</f>
        <v/>
      </c>
      <c r="J21" s="28" t="inlineStr">
        <is>
          <t>OT # 177149. Traslado desde Zamora hasta Yacuambi, reunión de trabajo se indaga lo sucedido el día anterior, viernes 15 de mayo. Se toma las versiones de cada uno, se descarga información del Reloj Biométrico. Retorno de Yacuambi hasta Zamora</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LEON CUEVA LUIS ALBERTO</t>
        </is>
      </c>
      <c r="I2" s="7">
        <f>SUM(K6:K36)</f>
        <v/>
      </c>
      <c r="J2" s="8" t="inlineStr">
        <is>
          <t>TOTAL</t>
        </is>
      </c>
    </row>
    <row r="3" ht="18.75" customHeight="1">
      <c r="A3" s="9" t="inlineStr">
        <is>
          <t>Cuadrilla o Agencia:</t>
        </is>
      </c>
      <c r="B3" s="9" t="n"/>
      <c r="C3" s="9" t="n"/>
      <c r="D3" s="9" t="n"/>
      <c r="E3" s="10" t="n"/>
      <c r="F3" s="10" t="n"/>
      <c r="G3" s="10" t="n"/>
      <c r="H3" s="6" t="inlineStr">
        <is>
          <t>Cuadrilla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0.7125</v>
      </c>
      <c r="D6" s="23" t="n">
        <v>0.7645833333333333</v>
      </c>
      <c r="E6" s="22" t="n">
        <v/>
      </c>
      <c r="F6" s="23" t="n">
        <v/>
      </c>
      <c r="G6" s="22" t="n">
        <v/>
      </c>
      <c r="H6" s="23" t="n">
        <v/>
      </c>
      <c r="I6" s="22">
        <f>SUM(D6-C6, F6-E6, H6-G6)</f>
        <v/>
      </c>
      <c r="J6" s="24" t="inlineStr">
        <is>
          <t>OT # 175857. DIA FESTIVO. “Día del Trabajo”. Zamora, Medidor 18-251250 se revisa y encuentra falla interna, se comprometen a hacer revisar las conexiones.</t>
        </is>
      </c>
      <c r="K6">
        <f>SUM((D6-C6)*2.0*24)</f>
        <v/>
      </c>
    </row>
    <row r="7" ht="18.75" customHeight="1">
      <c r="A7" s="20">
        <f>IF(B7&gt;0,PROPER(TEXT(B7,"dddd")),"")</f>
        <v/>
      </c>
      <c r="B7" s="25" t="n">
        <v>46144</v>
      </c>
      <c r="C7" s="26" t="n">
        <v>0.2465277777777778</v>
      </c>
      <c r="D7" s="27" t="n">
        <v>0.4256944444444444</v>
      </c>
      <c r="E7" s="26" t="n">
        <v/>
      </c>
      <c r="F7" s="27" t="n">
        <v/>
      </c>
      <c r="G7" s="26" t="n">
        <v/>
      </c>
      <c r="H7" s="27" t="n">
        <v/>
      </c>
      <c r="I7" s="26">
        <f>SUM(D7-C7, F7-E7, H7-G7)</f>
        <v/>
      </c>
      <c r="J7" s="28" t="inlineStr">
        <is>
          <t>OT # 176035. Zamora, Av del Ejército, se encuentra Est 27526 impactado por vehículo particular, se suelta LMT y se cambia tirafusible de 25 A-T, se reconecta transformador 19262; Se asegura estructura para que puedan remolcar y retirar el vehículo; cambio de estructura lo realizaran de manera particular.</t>
        </is>
      </c>
      <c r="K7">
        <f>SUM((D7-C7)*2.0*24)</f>
        <v/>
      </c>
    </row>
    <row r="8" ht="18.75" customHeight="1">
      <c r="A8" s="20">
        <f>IF(B8&gt;0,PROPER(TEXT(B8,"dddd")),"")</f>
        <v/>
      </c>
      <c r="B8" s="25" t="n">
        <v>46145</v>
      </c>
      <c r="C8" s="26" t="n">
        <v>0.3534722222222222</v>
      </c>
      <c r="D8" s="27" t="n">
        <v>0.5465277777777777</v>
      </c>
      <c r="E8" s="26" t="n">
        <v/>
      </c>
      <c r="F8" s="27" t="n">
        <v/>
      </c>
      <c r="G8" s="26" t="n">
        <v/>
      </c>
      <c r="H8" s="27" t="n">
        <v/>
      </c>
      <c r="I8" s="26">
        <f>SUM(D8-C8, F8-E8, H8-G8)</f>
        <v/>
      </c>
      <c r="J8" s="28" t="inlineStr">
        <is>
          <t>OT # 175968. El Tambo, se revisa y rehabilita el Transformador 9861 de 5KVA, estructura 19420; Causa: sobrecarga eventual. El Lucero, se encuentra RBV en cortocircuito; se corta vegetación en las estructura 27892, 36906 se rehabilita el Trafo 8397.</t>
        </is>
      </c>
      <c r="K8">
        <f>SUM((D8-C8)*2.0*24)</f>
        <v/>
      </c>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0.7083333333333334</v>
      </c>
      <c r="D23" s="27" t="n">
        <v>0.7729166666666667</v>
      </c>
      <c r="E23" s="26" t="n">
        <v/>
      </c>
      <c r="F23" s="27" t="n">
        <v/>
      </c>
      <c r="G23" s="26" t="n">
        <v/>
      </c>
      <c r="H23" s="27" t="n">
        <v/>
      </c>
      <c r="I23" s="26">
        <f>SUM(D23-C23, F23-E23, H23-G23)</f>
        <v/>
      </c>
      <c r="J23" s="28" t="inlineStr">
        <is>
          <t>OT # 176949. El Mirador, excavación de hueco, se iza nueva estructura de 11m tipo R, cambio por estructura en mal estado.</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0.4104166666666667</v>
      </c>
      <c r="D35" s="27" t="n">
        <v>0.5152777777777777</v>
      </c>
      <c r="E35" s="26" t="n">
        <v/>
      </c>
      <c r="F35" s="27" t="n">
        <v/>
      </c>
      <c r="G35" s="26" t="n">
        <v/>
      </c>
      <c r="H35" s="27" t="n">
        <v/>
      </c>
      <c r="I35" s="26">
        <f>SUM(D35-C35, F35-E35, H35-G35)</f>
        <v/>
      </c>
      <c r="J35" s="28" t="inlineStr">
        <is>
          <t>OT # 177856. Mejeche, falla en el AP Yacuambi; en las Estructuras 028607, 028608 se encuentran pararrayos en mal estado; Causa: ave; se programar la reposición.</t>
        </is>
      </c>
      <c r="K35">
        <f>SUM((D35-C35)*2.0*24)</f>
        <v/>
      </c>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CASTILLO RODRIGUEZ JIMMY LEODAN</t>
        </is>
      </c>
      <c r="I2" s="7">
        <f>SUM(K6:K36)</f>
        <v/>
      </c>
      <c r="J2" s="8" t="inlineStr">
        <is>
          <t>TOTAL</t>
        </is>
      </c>
    </row>
    <row r="3" ht="18.75" customHeight="1">
      <c r="A3" s="9" t="inlineStr">
        <is>
          <t>Cuadrilla o Agencia:</t>
        </is>
      </c>
      <c r="B3" s="9" t="n"/>
      <c r="C3" s="9" t="n"/>
      <c r="D3" s="9" t="n"/>
      <c r="E3" s="10" t="n"/>
      <c r="F3" s="10" t="n"/>
      <c r="G3" s="10" t="n"/>
      <c r="H3" s="6" t="inlineStr">
        <is>
          <t>Cuadrilla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0.7125</v>
      </c>
      <c r="D6" s="23" t="n">
        <v>0.7645833333333333</v>
      </c>
      <c r="E6" s="22" t="n">
        <v/>
      </c>
      <c r="F6" s="23" t="n">
        <v/>
      </c>
      <c r="G6" s="22" t="n">
        <v/>
      </c>
      <c r="H6" s="23" t="n">
        <v/>
      </c>
      <c r="I6" s="22">
        <f>SUM(D6-C6, F6-E6, H6-G6)</f>
        <v/>
      </c>
      <c r="J6" s="24" t="inlineStr">
        <is>
          <t>OT # 175857. DIA FESTIVO. “Día del Trabajo”. Zamora, Medidor 18-251250 se revisa y encuentra falla interna, se comprometen a hacer revisar las conexiones.</t>
        </is>
      </c>
      <c r="K6">
        <f>SUM((D6-C6)*2.0*24)</f>
        <v/>
      </c>
    </row>
    <row r="7" ht="18.75" customHeight="1">
      <c r="A7" s="20">
        <f>IF(B7&gt;0,PROPER(TEXT(B7,"dddd")),"")</f>
        <v/>
      </c>
      <c r="B7" s="25" t="n">
        <v>46144</v>
      </c>
      <c r="C7" s="26" t="n">
        <v>0.2465277777777778</v>
      </c>
      <c r="D7" s="27" t="n">
        <v>0.4256944444444444</v>
      </c>
      <c r="E7" s="26" t="n">
        <v>0.6388888888888888</v>
      </c>
      <c r="F7" s="27" t="n">
        <v>0.8090277777777778</v>
      </c>
      <c r="G7" s="26" t="n">
        <v/>
      </c>
      <c r="H7" s="27" t="n">
        <v/>
      </c>
      <c r="I7" s="26">
        <f>SUM(D7-C7, F7-E7, H7-G7)</f>
        <v/>
      </c>
      <c r="J7" s="28" t="inlineStr">
        <is>
          <t>OT # 176035. Zamora, Av del Ejército, se encuentra Est 27526 impactado por vehículo particular, se suelta LMT y se cambia tirafusible de 25 A-T, se reconecta transformador 19262; Se asegura estructura para que puedan remolcar y retirar el vehículo; cambio de estructura lo realizaran de manera particular. OT # 176035. Zamora, previa coordinación con Centro de Control en se abre seccionador, Se verifica trabajo realizado por personal particular a en cambio de estructura; Una vez concluidos los trabajos se reconecta transformador  196805.</t>
        </is>
      </c>
      <c r="K7">
        <f>SUM((D7-C7)*2.0*24,(F7-E7)*2.0*24)</f>
        <v/>
      </c>
    </row>
    <row r="8" ht="18.75" customHeight="1">
      <c r="A8" s="20">
        <f>IF(B8&gt;0,PROPER(TEXT(B8,"dddd")),"")</f>
        <v/>
      </c>
      <c r="B8" s="25" t="n">
        <v>46145</v>
      </c>
      <c r="C8" s="26" t="n">
        <v>0.3534722222222222</v>
      </c>
      <c r="D8" s="27" t="n">
        <v>0.5465277777777777</v>
      </c>
      <c r="E8" s="26" t="n">
        <v/>
      </c>
      <c r="F8" s="27" t="n">
        <v/>
      </c>
      <c r="G8" s="26" t="n">
        <v/>
      </c>
      <c r="H8" s="27" t="n">
        <v/>
      </c>
      <c r="I8" s="26">
        <f>SUM(D8-C8, F8-E8, H8-G8)</f>
        <v/>
      </c>
      <c r="J8" s="28" t="inlineStr">
        <is>
          <t>OT # 175968. El Tambo, se revisa y rehabilita el Transformador 9861 de 5KVA, estructura 19420; Causa: sobrecarga eventual. El Lucero, se encuentra RBV en cortocircuito; se corta vegetación en las estructura 27892, 36906 se rehabilita el Trafo 8397.</t>
        </is>
      </c>
      <c r="K8">
        <f>SUM((D8-C8)*2.0*24)</f>
        <v/>
      </c>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0.7083333333333334</v>
      </c>
      <c r="D23" s="27" t="n">
        <v>0.7729166666666667</v>
      </c>
      <c r="E23" s="26" t="n">
        <v/>
      </c>
      <c r="F23" s="27" t="n">
        <v/>
      </c>
      <c r="G23" s="26" t="n">
        <v/>
      </c>
      <c r="H23" s="27" t="n">
        <v/>
      </c>
      <c r="I23" s="26">
        <f>SUM(D23-C23, F23-E23, H23-G23)</f>
        <v/>
      </c>
      <c r="J23" s="28" t="inlineStr">
        <is>
          <t>OT # 176949. El Mirador, excavación de hueco, se iza nueva estructura de 11m tipo R, cambio por estructura en mal estado.</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0.2916666666666667</v>
      </c>
      <c r="D32" s="27" t="n">
        <v>0.3333333333333333</v>
      </c>
      <c r="E32" s="26" t="n">
        <v/>
      </c>
      <c r="F32" s="27" t="n">
        <v/>
      </c>
      <c r="G32" s="26" t="n">
        <v/>
      </c>
      <c r="H32" s="27" t="n">
        <v/>
      </c>
      <c r="I32" s="26">
        <f>SUM(D32-C32, F32-E32, H32-G32)</f>
        <v/>
      </c>
      <c r="J32" s="28" t="inlineStr">
        <is>
          <t>OT # 177796. Yantzaza, se coordina trabajos y ejecuta trabajos planificados en la L/S/T 69 kV</t>
        </is>
      </c>
      <c r="K32">
        <f>SUM((D32-C32)*1.5*24)</f>
        <v/>
      </c>
    </row>
    <row r="33" ht="18.75" customHeight="1">
      <c r="A33" s="20">
        <f>IF(B33&gt;0,PROPER(TEXT(B33,"dddd")),"")</f>
        <v/>
      </c>
      <c r="B33" s="21" t="n">
        <v>46170</v>
      </c>
      <c r="C33" s="26" t="n">
        <v>0.2916666666666667</v>
      </c>
      <c r="D33" s="27" t="n">
        <v>0.3333333333333333</v>
      </c>
      <c r="E33" s="26" t="n">
        <v>0.7083333333333334</v>
      </c>
      <c r="F33" s="27" t="n">
        <v>0.825</v>
      </c>
      <c r="G33" s="26" t="n">
        <v/>
      </c>
      <c r="H33" s="27" t="n">
        <v/>
      </c>
      <c r="I33" s="26">
        <f>SUM(D33-C33, F33-E33, H33-G33)</f>
        <v/>
      </c>
      <c r="J33" s="28" t="inlineStr">
        <is>
          <t>OT # 177798. Yantzaza, se coordina trabajos y ejecuta trabajos planificados en la L/S/T 69 kV OT # 177798. Yantzaza, se coordina trabajos y ejecuta trabajos planificados en la L/S/T 69 kV</t>
        </is>
      </c>
      <c r="K33">
        <f>SUM((D33-C33)*1.5*24,(F33-E33)*1.5*24)</f>
        <v/>
      </c>
    </row>
    <row r="34" ht="18.75" customHeight="1">
      <c r="A34" s="20">
        <f>IF(B34&gt;0,PROPER(TEXT(B34,"dddd")),"")</f>
        <v/>
      </c>
      <c r="B34" s="25" t="n">
        <v>46171</v>
      </c>
      <c r="C34" s="26" t="n">
        <v>0.7083333333333334</v>
      </c>
      <c r="D34" s="27" t="n">
        <v>0.7777777777777778</v>
      </c>
      <c r="E34" s="26" t="n">
        <v/>
      </c>
      <c r="F34" s="27" t="n">
        <v/>
      </c>
      <c r="G34" s="26" t="n">
        <v/>
      </c>
      <c r="H34" s="27" t="n">
        <v/>
      </c>
      <c r="I34" s="26">
        <f>SUM(D34-C34, F34-E34, H34-G34)</f>
        <v/>
      </c>
      <c r="J34" s="28" t="inlineStr">
        <is>
          <t>OT # 177743. Vía antigua a Loja. Med. 1000419840 se realiza ajustes de conexiones y censo de carga, se verifica el servicio eléctrico normal, se presume daño interno.</t>
        </is>
      </c>
      <c r="K34">
        <f>SUM((D34-C34)*1.5*24)</f>
        <v/>
      </c>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SILVA ARMIJOS ROMEL EDUARDO</t>
        </is>
      </c>
      <c r="I2" s="7">
        <f>SUM(K6:K36)</f>
        <v/>
      </c>
      <c r="J2" s="8" t="inlineStr">
        <is>
          <t>TOTAL</t>
        </is>
      </c>
    </row>
    <row r="3" ht="18.75" customHeight="1">
      <c r="A3" s="9" t="inlineStr">
        <is>
          <t>Cuadrilla o Agencia:</t>
        </is>
      </c>
      <c r="B3" s="9" t="n"/>
      <c r="C3" s="9" t="n"/>
      <c r="D3" s="9" t="n"/>
      <c r="E3" s="10" t="n"/>
      <c r="F3" s="10" t="n"/>
      <c r="G3" s="10" t="n"/>
      <c r="H3" s="6" t="inlineStr">
        <is>
          <t>Cuadrilla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0.2465277777777778</v>
      </c>
      <c r="D7" s="27" t="n">
        <v>0.4256944444444444</v>
      </c>
      <c r="E7" s="26" t="n">
        <v>0.6388888888888888</v>
      </c>
      <c r="F7" s="27" t="n">
        <v>0.8090277777777778</v>
      </c>
      <c r="G7" s="26" t="n">
        <v/>
      </c>
      <c r="H7" s="27" t="n">
        <v/>
      </c>
      <c r="I7" s="26">
        <f>SUM(D7-C7, F7-E7, H7-G7)</f>
        <v/>
      </c>
      <c r="J7" s="28" t="inlineStr">
        <is>
          <t>OT # 176035. Zamora, Av del Ejército, se encuentra Est 27526 impactado por vehículo particular, se suelta LMT y se cambia tirafusible de 25 A-T, se reconecta transformador 19262; Se asegura estructura para que puedan remolcar y retirar el vehículo; cambio de estructura lo realizaran de manera particular. OT # 176035. Zamora, previa coordinación con Centro de Control en se abre seccionador, Se verifica trabajo realizado por personal particular a en cambio de estructura; Una vez concluidos los trabajos se reconecta transformador  196805.</t>
        </is>
      </c>
      <c r="K7">
        <f>SUM((D7-C7)*2.0*24,(F7-E7)*2.0*24)</f>
        <v/>
      </c>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0.9097222222222222</v>
      </c>
      <c r="D13" s="27" t="n">
        <v>0.9680555555555556</v>
      </c>
      <c r="E13" s="26" t="n">
        <v/>
      </c>
      <c r="F13" s="27" t="n">
        <v/>
      </c>
      <c r="G13" s="26" t="n">
        <v/>
      </c>
      <c r="H13" s="27" t="n">
        <v/>
      </c>
      <c r="I13" s="22">
        <f>SUM(D13-C13, F13-E13, H13-G13)</f>
        <v/>
      </c>
      <c r="J13" s="28" t="inlineStr">
        <is>
          <t>OT # 176539. Bombuscaro, arreglo de conexión sulfatada en la línea neutro de la acometida de los medidores 18-256017 y 18-243163; ajuste de conexiones; Est 235694.</t>
        </is>
      </c>
      <c r="K13">
        <f>SUM((D13-C13)*1.5*24)</f>
        <v/>
      </c>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0.3555555555555556</v>
      </c>
      <c r="D15" s="27" t="n">
        <v>0.5416666666666666</v>
      </c>
      <c r="E15" s="26" t="n">
        <v>0.5833333333333334</v>
      </c>
      <c r="F15" s="27" t="n">
        <v>0.6743055555555556</v>
      </c>
      <c r="G15" s="26" t="n">
        <v>0.7958333333333333</v>
      </c>
      <c r="H15" s="27" t="n">
        <v>0.8506944444444444</v>
      </c>
      <c r="I15" s="26">
        <f>SUM(D15-C15, F15-E15, H15-G15)</f>
        <v/>
      </c>
      <c r="J15" s="28" t="inlineStr">
        <is>
          <t>OT # 176450. Zamora, El Mirador estructura 179400 impactado por vehículo PXM-069; se suelta líneas y retira estructura de vìa; se realiza de manera provisional arreglo de la LMV, se cierra seccionador en la Est 205396.  OT # 176450. El Mirador se instala de manera provisional acometidas para energizar todos los medidores que se conectaban desde la Est 179400. Todos los clientes quedan con servicio eléctrico. OT # 176450. Buenaventura, medidor 18-271732; se reconecta breaker y realiza censo de carga; se ajusta conexiones.</t>
        </is>
      </c>
      <c r="K15">
        <f>SUM((D15-C15)*2.0*24,(F15-E15)*2.0*24,(H15-G15)*2.0*24)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0.7083333333333334</v>
      </c>
      <c r="D23" s="27" t="n">
        <v>0.7729166666666667</v>
      </c>
      <c r="E23" s="26" t="n">
        <v/>
      </c>
      <c r="F23" s="27" t="n">
        <v/>
      </c>
      <c r="G23" s="26" t="n">
        <v/>
      </c>
      <c r="H23" s="27" t="n">
        <v/>
      </c>
      <c r="I23" s="26">
        <f>SUM(D23-C23, F23-E23, H23-G23)</f>
        <v/>
      </c>
      <c r="J23" s="28" t="inlineStr">
        <is>
          <t>OT # 176949. El Mirador, excavación de hueco, se iza nueva estructura de 11m tipo R, cambio por estructura en mal estado.</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0.65</v>
      </c>
      <c r="D30" s="27" t="n">
        <v>0.8340277777777778</v>
      </c>
      <c r="E30" s="26" t="n">
        <v/>
      </c>
      <c r="F30" s="27" t="n">
        <v/>
      </c>
      <c r="G30" s="26" t="n">
        <v/>
      </c>
      <c r="H30" s="27" t="n">
        <v/>
      </c>
      <c r="I30" s="26">
        <f>SUM(D30-C30, F30-E30, H30-G30)</f>
        <v/>
      </c>
      <c r="J30" s="28" t="inlineStr">
        <is>
          <t>OT # 177465. La Pista, linea neutro arrancada de acometida de los medidores: 1000405207, 290158 y 206650 Estructura, 28158 ocasionado por la caída de rama de árbol. Puente Azul, acometida arrancada y reinstala medidor: 1000418755 estructura 28385 ocasionado por maquinaria. Namirez Alto, se retira ave electrocutada en la estructura 64302 se cambia tirafusible de 6 A-T.</t>
        </is>
      </c>
      <c r="K30">
        <f>SUM((D30-C30)*2.0*24)</f>
        <v/>
      </c>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0.7083333333333334</v>
      </c>
      <c r="D34" s="27" t="n">
        <v>0.7777777777777778</v>
      </c>
      <c r="E34" s="26" t="n">
        <v/>
      </c>
      <c r="F34" s="27" t="n">
        <v/>
      </c>
      <c r="G34" s="26" t="n">
        <v/>
      </c>
      <c r="H34" s="27" t="n">
        <v/>
      </c>
      <c r="I34" s="26">
        <f>SUM(D34-C34, F34-E34, H34-G34)</f>
        <v/>
      </c>
      <c r="J34" s="28" t="inlineStr">
        <is>
          <t>OT # 177743. Vía antigua a Loja. Med. 1000419840 se realiza ajustes de conexiones y censo de carga, se verifica el servicio eléctrico normal, se presume daño interno.</t>
        </is>
      </c>
      <c r="K34">
        <f>SUM((D34-C34)*1.5*24)</f>
        <v/>
      </c>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0.3604166666666667</v>
      </c>
      <c r="D36" s="31" t="n">
        <v>0.4069444444444444</v>
      </c>
      <c r="E36" s="30" t="n">
        <v>0.575</v>
      </c>
      <c r="F36" s="31" t="n">
        <v>0.7298611111111111</v>
      </c>
      <c r="G36" s="30" t="n">
        <v/>
      </c>
      <c r="H36" s="31" t="n">
        <v/>
      </c>
      <c r="I36" s="30">
        <f>SUM(D36-C36, F36-E36, H36-G36)</f>
        <v/>
      </c>
      <c r="J36" s="32" t="inlineStr">
        <is>
          <t>OT # 177855. Barrio Pío Jaramillo, se recorre y revisa estructura 36592 se cambia tirafusible de 12 A-T, CAUSA: ave. OT # 177855. Zamora, se ejecuta Plan de Maniobras SP 11031033620. San Francisco, revisión en la estructura 245078 se reconecta transformador 23692, CAUSA: Cortocircuito en el medidor 297308. Sabanilla, se ejecuta y concluye Plan de Maniobras.</t>
        </is>
      </c>
      <c r="K36">
        <f>SUM((D36-C36)*2.0*24,(F36-E36)*2.0*24)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6.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JARA NARVAEZ GALO SILVERIO</t>
        </is>
      </c>
      <c r="I2" s="7">
        <f>SUM(K6:K36)</f>
        <v/>
      </c>
      <c r="J2" s="8" t="inlineStr">
        <is>
          <t>TOTAL</t>
        </is>
      </c>
    </row>
    <row r="3" ht="18.75" customHeight="1">
      <c r="A3" s="9" t="inlineStr">
        <is>
          <t>Cuadrilla o Agencia:</t>
        </is>
      </c>
      <c r="B3" s="9" t="n"/>
      <c r="C3" s="9" t="n"/>
      <c r="D3" s="9" t="n"/>
      <c r="E3" s="10" t="n"/>
      <c r="F3" s="10" t="n"/>
      <c r="G3" s="10" t="n"/>
      <c r="H3" s="6" t="inlineStr">
        <is>
          <t>Agencia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0.9097222222222222</v>
      </c>
      <c r="D13" s="27" t="n">
        <v>0.9680555555555556</v>
      </c>
      <c r="E13" s="26" t="n">
        <v/>
      </c>
      <c r="F13" s="27" t="n">
        <v/>
      </c>
      <c r="G13" s="26" t="n">
        <v/>
      </c>
      <c r="H13" s="27" t="n">
        <v/>
      </c>
      <c r="I13" s="22">
        <f>SUM(D13-C13, F13-E13, H13-G13)</f>
        <v/>
      </c>
      <c r="J13" s="28" t="inlineStr">
        <is>
          <t>OT # 176539. Bombuscaro, arreglo de conexión sulfatada en la línea neutro de la acometida de los medidores 18-256017 y 18-243163; ajuste de conexiones; Est 235694.</t>
        </is>
      </c>
      <c r="K13">
        <f>SUM((D13-C13)*1.5*24)</f>
        <v/>
      </c>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0.7152777777777778</v>
      </c>
      <c r="D17" s="27" t="n">
        <v>0.7548611111111111</v>
      </c>
      <c r="E17" s="26" t="n">
        <v/>
      </c>
      <c r="F17" s="27" t="n">
        <v/>
      </c>
      <c r="G17" s="26" t="n">
        <v/>
      </c>
      <c r="H17" s="27" t="n">
        <v/>
      </c>
      <c r="I17" s="26">
        <f>SUM(D17-C17, F17-E17, H17-G17)</f>
        <v/>
      </c>
      <c r="J17" s="28" t="inlineStr">
        <is>
          <t>OT # 176546. La Fragancia, Medidor Nro. 234372, se verifica acometida arrancada por caída de ramas, se cambia 15 metros de TX6 estructura 179067 Traslado a la Agencia Zamora.</t>
        </is>
      </c>
      <c r="K17">
        <f>SUM((D17-C17)*1.5*24)</f>
        <v/>
      </c>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0.7083333333333334</v>
      </c>
      <c r="D23" s="27" t="n">
        <v>0.7590277777777777</v>
      </c>
      <c r="E23" s="26" t="n">
        <v/>
      </c>
      <c r="F23" s="27" t="n">
        <v/>
      </c>
      <c r="G23" s="26" t="n">
        <v/>
      </c>
      <c r="H23" s="27" t="n">
        <v/>
      </c>
      <c r="I23" s="26">
        <f>SUM(D23-C23, F23-E23, H23-G23)</f>
        <v/>
      </c>
      <c r="J23" s="28" t="inlineStr">
        <is>
          <t>OT # 176978. Santa Elena, Medidor 18-216942, se verifica cables internos en cortocircuito, se aisla y se normaliza.</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7.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RIOS RIOS FRANCISCO FERNANDO</t>
        </is>
      </c>
      <c r="I2" s="7">
        <f>SUM(K6:K36)</f>
        <v/>
      </c>
      <c r="J2" s="8" t="inlineStr">
        <is>
          <t>TOTAL</t>
        </is>
      </c>
    </row>
    <row r="3" ht="18.75" customHeight="1">
      <c r="A3" s="9" t="inlineStr">
        <is>
          <t>Cuadrilla o Agencia:</t>
        </is>
      </c>
      <c r="B3" s="9" t="n"/>
      <c r="C3" s="9" t="n"/>
      <c r="D3" s="9" t="n"/>
      <c r="E3" s="10" t="n"/>
      <c r="F3" s="10" t="n"/>
      <c r="G3" s="10" t="n"/>
      <c r="H3" s="6" t="inlineStr">
        <is>
          <t>Cuadrilla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0.3555555555555556</v>
      </c>
      <c r="D15" s="27" t="n">
        <v>0.5416666666666666</v>
      </c>
      <c r="E15" s="26" t="n">
        <v>0.5833333333333334</v>
      </c>
      <c r="F15" s="27" t="n">
        <v>0.6743055555555556</v>
      </c>
      <c r="G15" s="26" t="n">
        <v>0.7958333333333333</v>
      </c>
      <c r="H15" s="27" t="n">
        <v>0.8506944444444444</v>
      </c>
      <c r="I15" s="26">
        <f>SUM(D15-C15, F15-E15, H15-G15)</f>
        <v/>
      </c>
      <c r="J15" s="28" t="inlineStr">
        <is>
          <t>OT # 176450. Zamora, El Mirador estructura 179400 impactado por vehículo PXM-069; se suelta líneas y retira estructura de vìa; se realiza de manera provisional arreglo de la LMV, se cierra seccionador en la Est 205396.  OT # 176450. El Mirador se instala de manera provisional acometidas para energizar todos los medidores que se conectaban desde la Est 179400. Todos los clientes quedan con servicio eléctrico. OT # 176450. Buenaventura, medidor 18-271732; se reconecta breaker y realiza censo de carga; se ajusta conexiones.</t>
        </is>
      </c>
      <c r="K15">
        <f>SUM((D15-C15)*2.0*24,(F15-E15)*2.0*24,(H15-G15)*2.0*24)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0.7083333333333334</v>
      </c>
      <c r="D23" s="27" t="n">
        <v>0.7729166666666667</v>
      </c>
      <c r="E23" s="26" t="n">
        <v/>
      </c>
      <c r="F23" s="27" t="n">
        <v/>
      </c>
      <c r="G23" s="26" t="n">
        <v/>
      </c>
      <c r="H23" s="27" t="n">
        <v/>
      </c>
      <c r="I23" s="26">
        <f>SUM(D23-C23, F23-E23, H23-G23)</f>
        <v/>
      </c>
      <c r="J23" s="28" t="inlineStr">
        <is>
          <t>OT # 176949. El Mirador, excavación de hueco, se iza nueva estructura de 11m tipo R, cambio por estructura en mal estado.</t>
        </is>
      </c>
      <c r="K23">
        <f>SUM((D23-C23)*1.5*24)</f>
        <v/>
      </c>
    </row>
    <row r="24" ht="18.75" customHeight="1">
      <c r="A24" s="20">
        <f>IF(B24&gt;0,PROPER(TEXT(B24,"dddd")),"")</f>
        <v/>
      </c>
      <c r="B24" s="21" t="n">
        <v>46161</v>
      </c>
      <c r="C24" s="26" t="n">
        <v>0.80625</v>
      </c>
      <c r="D24" s="27" t="n">
        <v>0.8569444444444444</v>
      </c>
      <c r="E24" s="26" t="n">
        <v>0.9458333333333333</v>
      </c>
      <c r="F24" s="27" t="n">
        <v>0.9930555555555556</v>
      </c>
      <c r="G24" s="26" t="n">
        <v/>
      </c>
      <c r="H24" s="27" t="n">
        <v/>
      </c>
      <c r="I24" s="26">
        <f>SUM(D24-C24, F24-E24, H24-G24)</f>
        <v/>
      </c>
      <c r="J24" s="28" t="inlineStr">
        <is>
          <t>OT # 177039. Yaguarzongo, Med # 1000418190 se encuentra empalmes de salida de breaker recalentados, se realiza empalmes y se normaliza el servicio eléctrico. OT # 177039. Tunantza, estructura 27831 se encuentra bushing de bajo voltaje en mal estado del Trafo # 10002 de 10KVA, se arregla de forma provisional y se normaliza.</t>
        </is>
      </c>
      <c r="K24">
        <f>SUM((D24-C24)*1.5*24,(F24-E24)*1.5*24)</f>
        <v/>
      </c>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0.6979166666666666</v>
      </c>
      <c r="D28" s="27" t="n">
        <v>0.7270833333333333</v>
      </c>
      <c r="E28" s="26" t="n">
        <v/>
      </c>
      <c r="F28" s="27" t="n">
        <v/>
      </c>
      <c r="G28" s="26" t="n">
        <v/>
      </c>
      <c r="H28" s="27" t="n">
        <v/>
      </c>
      <c r="I28" s="26">
        <f>SUM(D28-C28, F28-E28, H28-G28)</f>
        <v/>
      </c>
      <c r="J28" s="28" t="inlineStr">
        <is>
          <t>OT # 177384. Tunantza Bajo, Med # 263539 se encuentra breaker de caja moldeada bloqueado, se realiza ajustes de conexiones y se habilita el servicio, se realiza censo de carga.</t>
        </is>
      </c>
      <c r="K28">
        <f>SUM((D28-C28)*2.0*24)</f>
        <v/>
      </c>
    </row>
    <row r="29" ht="18.75" customHeight="1">
      <c r="A29" s="20">
        <f>IF(B29&gt;0,PROPER(TEXT(B29,"dddd")),"")</f>
        <v/>
      </c>
      <c r="B29" s="25" t="n">
        <v>46166</v>
      </c>
      <c r="C29" s="26" t="n">
        <v>0.53125</v>
      </c>
      <c r="D29" s="27" t="n">
        <v>0.6541666666666667</v>
      </c>
      <c r="E29" s="26" t="n">
        <v>0.8854166666666666</v>
      </c>
      <c r="F29" s="27" t="n">
        <v>0.9694444444444444</v>
      </c>
      <c r="G29" s="26" t="n">
        <v/>
      </c>
      <c r="H29" s="27" t="n">
        <v/>
      </c>
      <c r="I29" s="26">
        <f>SUM(D29-C29, F29-E29, H29-G29)</f>
        <v/>
      </c>
      <c r="J29" s="28" t="inlineStr">
        <is>
          <t>OT # 177385. Cumay, estructura 37250 se encuentra RBV arrancada fase B, se empalma y regula, estructura 219332 se habilita transformador 17506. Bellavista, Med. 276541 se encuentra bornera de medidor en mal estado, se retira medidor y se deja directo con protección. OT # 177385. Zamora, Calle Diego de Vaca, Med. 1000425465 empalmes en mal estado, se cambia 5m de acometida antihurto 3x4, se normaliza el servicio. Zamora, Manuela Cañizares, Med. 18-253947 se realiza censo de carga y se encuentra el servicio eléctrico normal, daño interno, se informa al cliente.</t>
        </is>
      </c>
      <c r="K29">
        <f>SUM((D29-C29)*2.0*24,(F29-E29)*2.0*24)</f>
        <v/>
      </c>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0.8666666666666667</v>
      </c>
      <c r="D33" s="27" t="n">
        <v>0.9861111111111112</v>
      </c>
      <c r="E33" s="26" t="n">
        <v/>
      </c>
      <c r="F33" s="27" t="n">
        <v/>
      </c>
      <c r="G33" s="26" t="n">
        <v/>
      </c>
      <c r="H33" s="27" t="n">
        <v/>
      </c>
      <c r="I33" s="26">
        <f>SUM(D33-C33, F33-E33, H33-G33)</f>
        <v/>
      </c>
      <c r="J33" s="28" t="inlineStr">
        <is>
          <t>OT # 177622. Namirez Bajo, Med. 212727(18242), Med. 1000406847(13858) se encuentra acometidas arrancadas por vehículo pesado, se empalma acometidas y se regula.</t>
        </is>
      </c>
      <c r="K33">
        <f>SUM((D33-C33)*1.5*24)</f>
        <v/>
      </c>
    </row>
    <row r="34" ht="18.75" customHeight="1">
      <c r="A34" s="20">
        <f>IF(B34&gt;0,PROPER(TEXT(B34,"dddd")),"")</f>
        <v/>
      </c>
      <c r="B34" s="25" t="n">
        <v>46171</v>
      </c>
      <c r="C34" s="26" t="n">
        <v>0.7083333333333334</v>
      </c>
      <c r="D34" s="27" t="n">
        <v>0.7777777777777778</v>
      </c>
      <c r="E34" s="26" t="n">
        <v/>
      </c>
      <c r="F34" s="27" t="n">
        <v/>
      </c>
      <c r="G34" s="26" t="n">
        <v/>
      </c>
      <c r="H34" s="27" t="n">
        <v/>
      </c>
      <c r="I34" s="26">
        <f>SUM(D34-C34, F34-E34, H34-G34)</f>
        <v/>
      </c>
      <c r="J34" s="28" t="inlineStr">
        <is>
          <t>OT # 177743. Vía antigua a Loja. Med. 1000419840 se realiza ajustes de conexiones y censo de carga, se verifica el servicio eléctrico normal, se presume daño interno.</t>
        </is>
      </c>
      <c r="K34">
        <f>SUM((D34-C34)*1.5*24)</f>
        <v/>
      </c>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8.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YAURE DIAZ RAMIRO GABRIEL</t>
        </is>
      </c>
      <c r="I2" s="7">
        <f>SUM(K6:K36)</f>
        <v/>
      </c>
      <c r="J2" s="8" t="inlineStr">
        <is>
          <t>TOTAL</t>
        </is>
      </c>
    </row>
    <row r="3" ht="18.75" customHeight="1">
      <c r="A3" s="9" t="inlineStr">
        <is>
          <t>Cuadrilla o Agencia:</t>
        </is>
      </c>
      <c r="B3" s="9" t="n"/>
      <c r="C3" s="9" t="n"/>
      <c r="D3" s="9" t="n"/>
      <c r="E3" s="10" t="n"/>
      <c r="F3" s="10" t="n"/>
      <c r="G3" s="10" t="n"/>
      <c r="H3" s="6" t="inlineStr">
        <is>
          <t>Alumbrado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0.3555555555555556</v>
      </c>
      <c r="D15" s="27" t="n">
        <v>0.5416666666666666</v>
      </c>
      <c r="E15" s="26" t="n">
        <v>0.5833333333333334</v>
      </c>
      <c r="F15" s="27" t="n">
        <v>0.6743055555555556</v>
      </c>
      <c r="G15" s="26" t="n">
        <v/>
      </c>
      <c r="H15" s="27" t="n">
        <v/>
      </c>
      <c r="I15" s="26">
        <f>SUM(D15-C15, F15-E15, H15-G15)</f>
        <v/>
      </c>
      <c r="J15" s="28" t="inlineStr">
        <is>
          <t>OT # 176450. Zamora, El Mirador estructura 179400 impactado por vehículo PXM-069; se suelta líneas y retira estructura de vìa; se realiza de manera provisional arreglo de la LMV, se cierra seccionador en la Est 205396.  OT # 176450. El Mirador se instala de manera provisional acometidas para energizar todos los medidores que se conectaban desde la Est 179400. Todos los clientes quedan con servicio eléctrico.</t>
        </is>
      </c>
      <c r="K15">
        <f>SUM((D15-C15)*2.0*24,(F15-E15)*2.0*24)</f>
        <v/>
      </c>
    </row>
    <row r="16" ht="18.75" customHeight="1">
      <c r="A16" s="20">
        <f>IF(B16&gt;0,PROPER(TEXT(B16,"dddd")),"")</f>
        <v/>
      </c>
      <c r="B16" s="25" t="n">
        <v>46153</v>
      </c>
      <c r="C16" s="26" t="n">
        <v>0.8111111111111111</v>
      </c>
      <c r="D16" s="27" t="n">
        <v>0.8569444444444444</v>
      </c>
      <c r="E16" s="26" t="n">
        <v/>
      </c>
      <c r="F16" s="27" t="n">
        <v/>
      </c>
      <c r="G16" s="26" t="n">
        <v/>
      </c>
      <c r="H16" s="27" t="n">
        <v/>
      </c>
      <c r="I16" s="26">
        <f>SUM(D16-C16, F16-E16, H16-G16)</f>
        <v/>
      </c>
      <c r="J16" s="28" t="inlineStr">
        <is>
          <t>OT # 176480. El Pangui, Est 272167 se cambia tirafusible quemado de 6 -T; Causa: vegetación.</t>
        </is>
      </c>
      <c r="K16">
        <f>SUM((D16-C16)*1.5*24)</f>
        <v/>
      </c>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0.5694444444444444</v>
      </c>
      <c r="D21" s="27" t="n">
        <v>0.6138888888888889</v>
      </c>
      <c r="E21" s="26" t="n">
        <v/>
      </c>
      <c r="F21" s="27" t="n">
        <v/>
      </c>
      <c r="G21" s="26" t="n">
        <v/>
      </c>
      <c r="H21" s="27" t="n">
        <v/>
      </c>
      <c r="I21" s="26">
        <f>SUM(D21-C21, F21-E21, H21-G21)</f>
        <v/>
      </c>
      <c r="J21" s="28" t="inlineStr">
        <is>
          <t>OT # 176984. Santa Elena, Trafo 12293 sin servicio, en la Est 64886 fusible quemado, se repone con 12A-K, se normaliza el servicio, Causa: Desconocida.</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0.7916666666666666</v>
      </c>
      <c r="D23" s="27" t="n">
        <v>0.9166666666666666</v>
      </c>
      <c r="E23" s="26" t="n">
        <v/>
      </c>
      <c r="F23" s="27" t="n">
        <v/>
      </c>
      <c r="G23" s="26" t="n">
        <v/>
      </c>
      <c r="H23" s="27" t="n">
        <v/>
      </c>
      <c r="I23" s="26">
        <f>SUM(D23-C23, F23-E23, H23-G23)</f>
        <v/>
      </c>
      <c r="J23" s="28" t="inlineStr">
        <is>
          <t>OT # 176989. Recorrido nocturno levantando información de las luminarias con daños desde el sector de San Carlos de Las Minas hacia Zamora</t>
        </is>
      </c>
      <c r="K23">
        <f>SUM((D23-C23)*0.25*24)</f>
        <v/>
      </c>
    </row>
    <row r="24" ht="18.75" customHeight="1">
      <c r="A24" s="20">
        <f>IF(B24&gt;0,PROPER(TEXT(B24,"dddd")),"")</f>
        <v/>
      </c>
      <c r="B24" s="21" t="n">
        <v>46161</v>
      </c>
      <c r="C24" s="26" t="n">
        <v>0.7916666666666666</v>
      </c>
      <c r="D24" s="27" t="n">
        <v>0.9166666666666666</v>
      </c>
      <c r="E24" s="26" t="n">
        <v/>
      </c>
      <c r="F24" s="27" t="n">
        <v/>
      </c>
      <c r="G24" s="26" t="n">
        <v/>
      </c>
      <c r="H24" s="27" t="n">
        <v/>
      </c>
      <c r="I24" s="26">
        <f>SUM(D24-C24, F24-E24, H24-G24)</f>
        <v/>
      </c>
      <c r="J24" s="28" t="inlineStr">
        <is>
          <t>OT # 177062. Recorrido nocturno levantando información de las luminarias con daños en los sectores de Guaguaymi Bajo, Guaguaymi Alto, La Saquea, Soapaca, Chamico, Cumbaratza, total 14 Luminarias apagadas.</t>
        </is>
      </c>
      <c r="K24">
        <f>SUM((D24-C24)*0.25*24)</f>
        <v/>
      </c>
    </row>
    <row r="25" ht="18.75" customHeight="1">
      <c r="A25" s="20">
        <f>IF(B25&gt;0,PROPER(TEXT(B25,"dddd")),"")</f>
        <v/>
      </c>
      <c r="B25" s="25" t="n">
        <v>46162</v>
      </c>
      <c r="C25" s="26" t="n">
        <v>0.7916666666666666</v>
      </c>
      <c r="D25" s="27" t="n">
        <v>0.9166666666666666</v>
      </c>
      <c r="E25" s="26" t="n">
        <v/>
      </c>
      <c r="F25" s="27" t="n">
        <v/>
      </c>
      <c r="G25" s="26" t="n">
        <v/>
      </c>
      <c r="H25" s="27" t="n">
        <v/>
      </c>
      <c r="I25" s="26">
        <f>SUM(D25-C25, F25-E25, H25-G25)</f>
        <v/>
      </c>
      <c r="J25" s="28" t="inlineStr">
        <is>
          <t>OT # 177145. Recorrido nocturno levantando información de las luminarias con fallas en los sectores de Piuntza de Guadalupe y Cumbaratza, Total 9 Luminarias.</t>
        </is>
      </c>
      <c r="K25">
        <f>SUM((D25-C25)*0.25*24)</f>
        <v/>
      </c>
    </row>
    <row r="26" ht="18.75" customHeight="1">
      <c r="A26" s="20">
        <f>IF(B26&gt;0,PROPER(TEXT(B26,"dddd")),"")</f>
        <v/>
      </c>
      <c r="B26" s="25" t="n">
        <v>46163</v>
      </c>
      <c r="C26" s="26" t="n">
        <v>0.7916666666666666</v>
      </c>
      <c r="D26" s="27" t="n">
        <v>0.9166666666666666</v>
      </c>
      <c r="E26" s="26" t="n">
        <v/>
      </c>
      <c r="F26" s="27" t="n">
        <v/>
      </c>
      <c r="G26" s="26" t="n">
        <v/>
      </c>
      <c r="H26" s="27" t="n">
        <v/>
      </c>
      <c r="I26" s="26">
        <f>SUM(D26-C26, F26-E26, H26-G26)</f>
        <v/>
      </c>
      <c r="J26" s="28" t="inlineStr">
        <is>
          <t>OT # 177230. Arreglo de luminarias en mal estado</t>
        </is>
      </c>
      <c r="K26">
        <f>SUM((D26-C26)*0.25*24)</f>
        <v/>
      </c>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9.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ZHUNAULA GUAMAN VICTOR ANIBAL</t>
        </is>
      </c>
      <c r="I2" s="7">
        <f>SUM(K6:K36)</f>
        <v/>
      </c>
      <c r="J2" s="8" t="inlineStr">
        <is>
          <t>TOTAL</t>
        </is>
      </c>
    </row>
    <row r="3" ht="18.75" customHeight="1">
      <c r="A3" s="9" t="inlineStr">
        <is>
          <t>Cuadrilla o Agencia:</t>
        </is>
      </c>
      <c r="B3" s="9" t="n"/>
      <c r="C3" s="9" t="n"/>
      <c r="D3" s="9" t="n"/>
      <c r="E3" s="10" t="n"/>
      <c r="F3" s="10" t="n"/>
      <c r="G3" s="10" t="n"/>
      <c r="H3" s="6" t="inlineStr">
        <is>
          <t>Cuadrilla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0.7083333333333334</v>
      </c>
      <c r="D23" s="27" t="n">
        <v>0.7729166666666667</v>
      </c>
      <c r="E23" s="26" t="n">
        <v/>
      </c>
      <c r="F23" s="27" t="n">
        <v/>
      </c>
      <c r="G23" s="26" t="n">
        <v/>
      </c>
      <c r="H23" s="27" t="n">
        <v/>
      </c>
      <c r="I23" s="26">
        <f>SUM(D23-C23, F23-E23, H23-G23)</f>
        <v/>
      </c>
      <c r="J23" s="28" t="inlineStr">
        <is>
          <t>OT # 176949. El Mirador, excavación de hueco, se iza nueva estructura de 11m tipo R, cambio por estructura en mal estado.</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0.65</v>
      </c>
      <c r="D30" s="27" t="n">
        <v>0.8340277777777778</v>
      </c>
      <c r="E30" s="26" t="n">
        <v/>
      </c>
      <c r="F30" s="27" t="n">
        <v/>
      </c>
      <c r="G30" s="26" t="n">
        <v/>
      </c>
      <c r="H30" s="27" t="n">
        <v/>
      </c>
      <c r="I30" s="26">
        <f>SUM(D30-C30, F30-E30, H30-G30)</f>
        <v/>
      </c>
      <c r="J30" s="28" t="inlineStr">
        <is>
          <t>OT # 177465. La Pista, linea neutro arrancada de acometida de los medidores: 1000405207, 290158 y 206650 Estructura, 28158 ocasionado por la caída de rama de árbol. Puente Azul, acometida arrancada y reinstala medidor: 1000418755 estructura 28385 ocasionado por maquinaria. Namirez Alto, se retira ave electrocutada en la estructura 64302 se cambia tirafusible de 6 A-T.</t>
        </is>
      </c>
      <c r="K30">
        <f>SUM((D30-C30)*2.0*24)</f>
        <v/>
      </c>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0.2916666666666667</v>
      </c>
      <c r="D32" s="27" t="n">
        <v>0.3333333333333333</v>
      </c>
      <c r="E32" s="26" t="n">
        <v/>
      </c>
      <c r="F32" s="27" t="n">
        <v/>
      </c>
      <c r="G32" s="26" t="n">
        <v/>
      </c>
      <c r="H32" s="27" t="n">
        <v/>
      </c>
      <c r="I32" s="26">
        <f>SUM(D32-C32, F32-E32, H32-G32)</f>
        <v/>
      </c>
      <c r="J32" s="28" t="inlineStr">
        <is>
          <t>OT # 177796. Yantzaza, se coordina trabajos y ejecuta trabajos planificados en la L/S/T 69 kV</t>
        </is>
      </c>
      <c r="K32">
        <f>SUM((D32-C32)*1.5*24)</f>
        <v/>
      </c>
    </row>
    <row r="33" ht="18.75" customHeight="1">
      <c r="A33" s="20">
        <f>IF(B33&gt;0,PROPER(TEXT(B33,"dddd")),"")</f>
        <v/>
      </c>
      <c r="B33" s="21" t="n">
        <v>46170</v>
      </c>
      <c r="C33" s="26" t="n">
        <v>0.2916666666666667</v>
      </c>
      <c r="D33" s="27" t="n">
        <v>0.3333333333333333</v>
      </c>
      <c r="E33" s="26" t="n">
        <v>0.7083333333333334</v>
      </c>
      <c r="F33" s="27" t="n">
        <v>0.825</v>
      </c>
      <c r="G33" s="26" t="n">
        <v>0.8666666666666667</v>
      </c>
      <c r="H33" s="27" t="n">
        <v>0.9861111111111112</v>
      </c>
      <c r="I33" s="26">
        <f>SUM(D33-C33, F33-E33, H33-G33)</f>
        <v/>
      </c>
      <c r="J33" s="28" t="inlineStr">
        <is>
          <t>OT # 177798. Yantzaza, se coordina trabajos y ejecuta trabajos planificados en la L/S/T 69 kV OT # 177798. Yantzaza, se coordina trabajos y ejecuta trabajos planificados en la L/S/T 69 kV OT # 177622. Namirez Bajo, Med. 212727(18242), Med. 1000406847(13858) se encuentra acometidas arrancadas por vehículo pesado, se empalma acometidas y se regula.</t>
        </is>
      </c>
      <c r="K33">
        <f>SUM((D33-C33)*1.5*24,(F33-E33)*1.5*24,(H33-G33)*1.5*24)</f>
        <v/>
      </c>
    </row>
    <row r="34" ht="18.75" customHeight="1">
      <c r="A34" s="20">
        <f>IF(B34&gt;0,PROPER(TEXT(B34,"dddd")),"")</f>
        <v/>
      </c>
      <c r="B34" s="25" t="n">
        <v>46171</v>
      </c>
      <c r="C34" s="26" t="n">
        <v>0.7083333333333334</v>
      </c>
      <c r="D34" s="27" t="n">
        <v>0.7777777777777778</v>
      </c>
      <c r="E34" s="26" t="n">
        <v/>
      </c>
      <c r="F34" s="27" t="n">
        <v/>
      </c>
      <c r="G34" s="26" t="n">
        <v/>
      </c>
      <c r="H34" s="27" t="n">
        <v/>
      </c>
      <c r="I34" s="26">
        <f>SUM(D34-C34, F34-E34, H34-G34)</f>
        <v/>
      </c>
      <c r="J34" s="28" t="inlineStr">
        <is>
          <t>OT # 177743. Vía antigua a Loja. Med. 1000419840 se realiza ajustes de conexiones y censo de carga, se verifica el servicio eléctrico normal, se presume daño interno.</t>
        </is>
      </c>
      <c r="K34">
        <f>SUM((D34-C34)*1.5*24)</f>
        <v/>
      </c>
    </row>
    <row r="35" ht="18.75" customHeight="1">
      <c r="A35" s="20">
        <f>IF(B35&gt;0,PROPER(TEXT(B35,"dddd")),"")</f>
        <v/>
      </c>
      <c r="B35" s="25" t="n">
        <v>46172</v>
      </c>
      <c r="C35" s="26" t="n">
        <v>0.4104166666666667</v>
      </c>
      <c r="D35" s="27" t="n">
        <v>0.5152777777777777</v>
      </c>
      <c r="E35" s="26" t="n">
        <v/>
      </c>
      <c r="F35" s="27" t="n">
        <v/>
      </c>
      <c r="G35" s="26" t="n">
        <v/>
      </c>
      <c r="H35" s="27" t="n">
        <v/>
      </c>
      <c r="I35" s="26">
        <f>SUM(D35-C35, F35-E35, H35-G35)</f>
        <v/>
      </c>
      <c r="J35" s="28" t="inlineStr">
        <is>
          <t>OT # 177856. Mejeche, falla en el AP Yacuambi; en las Estructuras 028607, 028608 se encuentran pararrayos en mal estado; Causa: ave; se programar la reposición.</t>
        </is>
      </c>
      <c r="K35">
        <f>SUM((D35-C35)*2.0*24)</f>
        <v/>
      </c>
    </row>
    <row r="36" ht="18.75" customHeight="1">
      <c r="A36" s="29">
        <f>IF(B36&gt;0,PROPER(TEXT(B36,"dddd")),"")</f>
        <v/>
      </c>
      <c r="B36" s="21" t="n">
        <v>46173</v>
      </c>
      <c r="C36" s="30" t="n">
        <v>0.3604166666666667</v>
      </c>
      <c r="D36" s="31" t="n">
        <v>0.4069444444444444</v>
      </c>
      <c r="E36" s="30" t="n">
        <v>0.575</v>
      </c>
      <c r="F36" s="31" t="n">
        <v>0.7298611111111111</v>
      </c>
      <c r="G36" s="30" t="n">
        <v/>
      </c>
      <c r="H36" s="31" t="n">
        <v/>
      </c>
      <c r="I36" s="30">
        <f>SUM(D36-C36, F36-E36, H36-G36)</f>
        <v/>
      </c>
      <c r="J36" s="32" t="inlineStr">
        <is>
          <t>OT # 177855. Barrio Pío Jaramillo, se recorre y revisa estructura 36592 se cambia tirafusible de 12 A-T, CAUSA: ave. OT # 177855. Zamora, se ejecuta Plan de Maniobras SP 11031033620. San Francisco, revisión en la estructura 245078 se reconecta transformador 23692, CAUSA: Cortocircuito en el medidor 297308. Sabanilla, se ejecuta y concluye Plan de Maniobras.</t>
        </is>
      </c>
      <c r="K36">
        <f>SUM((D36-C36)*2.0*24,(F36-E36)*2.0*24)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0.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ORTEGA SERRANO STALIN JAVIER</t>
        </is>
      </c>
      <c r="I2" s="7">
        <f>SUM(K6:K36)</f>
        <v/>
      </c>
      <c r="J2" s="8" t="inlineStr">
        <is>
          <t>TOTAL</t>
        </is>
      </c>
    </row>
    <row r="3" ht="18.75" customHeight="1">
      <c r="A3" s="9" t="inlineStr">
        <is>
          <t>Cuadrilla o Agencia:</t>
        </is>
      </c>
      <c r="B3" s="9" t="n"/>
      <c r="C3" s="9" t="n"/>
      <c r="D3" s="9" t="n"/>
      <c r="E3" s="10" t="n"/>
      <c r="F3" s="10" t="n"/>
      <c r="G3" s="10" t="n"/>
      <c r="H3" s="6" t="inlineStr">
        <is>
          <t>Agencia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0.7152777777777778</v>
      </c>
      <c r="D17" s="27" t="n">
        <v>0.7548611111111111</v>
      </c>
      <c r="E17" s="26" t="n">
        <v/>
      </c>
      <c r="F17" s="27" t="n">
        <v/>
      </c>
      <c r="G17" s="26" t="n">
        <v/>
      </c>
      <c r="H17" s="27" t="n">
        <v/>
      </c>
      <c r="I17" s="26">
        <f>SUM(D17-C17, F17-E17, H17-G17)</f>
        <v/>
      </c>
      <c r="J17" s="28" t="inlineStr">
        <is>
          <t>OT # 176546. La Fragancia, Medidor Nro. 234372, se verifica acometida arrancada por caída de ramas, se cambia 15 metros de TX6 estructura 179067 Traslado a la Agencia Zamora.</t>
        </is>
      </c>
      <c r="K17">
        <f>SUM((D17-C17)*1.5*24)</f>
        <v/>
      </c>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0.7083333333333334</v>
      </c>
      <c r="D23" s="27" t="n">
        <v>0.7590277777777777</v>
      </c>
      <c r="E23" s="26" t="n">
        <v/>
      </c>
      <c r="F23" s="27" t="n">
        <v/>
      </c>
      <c r="G23" s="26" t="n">
        <v/>
      </c>
      <c r="H23" s="27" t="n">
        <v/>
      </c>
      <c r="I23" s="26">
        <f>SUM(D23-C23, F23-E23, H23-G23)</f>
        <v/>
      </c>
      <c r="J23" s="28" t="inlineStr">
        <is>
          <t>OT # 176978. Santa Elena, Medidor 18-216942, se verifica cables internos en cortocircuito, se aisla y se normaliza.</t>
        </is>
      </c>
      <c r="K23">
        <f>SUM((D23-C23)*1.5*24)</f>
        <v/>
      </c>
    </row>
    <row r="24" ht="18.75" customHeight="1">
      <c r="A24" s="20">
        <f>IF(B24&gt;0,PROPER(TEXT(B24,"dddd")),"")</f>
        <v/>
      </c>
      <c r="B24" s="21" t="n">
        <v>46161</v>
      </c>
      <c r="C24" s="26" t="n">
        <v>0.80625</v>
      </c>
      <c r="D24" s="27" t="n">
        <v>0.8569444444444444</v>
      </c>
      <c r="E24" s="26" t="n">
        <v>0.9458333333333333</v>
      </c>
      <c r="F24" s="27" t="n">
        <v>0.9930555555555556</v>
      </c>
      <c r="G24" s="26" t="n">
        <v/>
      </c>
      <c r="H24" s="27" t="n">
        <v/>
      </c>
      <c r="I24" s="26">
        <f>SUM(D24-C24, F24-E24, H24-G24)</f>
        <v/>
      </c>
      <c r="J24" s="28" t="inlineStr">
        <is>
          <t>OT # 177039. Yaguarzongo, Med # 1000418190 se encuentra empalmes de salida de breaker recalentados, se realiza empalmes y se normaliza el servicio eléctrico. OT # 177039. Tunantza, estructura 27831 se encuentra bushing de bajo voltaje en mal estado del Trafo # 10002 de 10KVA, se arregla de forma provisional y se normaliza.</t>
        </is>
      </c>
      <c r="K24">
        <f>SUM((D24-C24)*1.5*24,(F24-E24)*1.5*24)</f>
        <v/>
      </c>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0.6979166666666666</v>
      </c>
      <c r="D28" s="27" t="n">
        <v>0.7270833333333333</v>
      </c>
      <c r="E28" s="26" t="n">
        <v/>
      </c>
      <c r="F28" s="27" t="n">
        <v/>
      </c>
      <c r="G28" s="26" t="n">
        <v/>
      </c>
      <c r="H28" s="27" t="n">
        <v/>
      </c>
      <c r="I28" s="26">
        <f>SUM(D28-C28, F28-E28, H28-G28)</f>
        <v/>
      </c>
      <c r="J28" s="28" t="inlineStr">
        <is>
          <t>OT # 177384. Tunantza Bajo, Med # 263539 se encuentra breaker de caja moldeada bloqueado, se realiza ajustes de conexiones y se habilita el servicio, se realiza censo de carga.</t>
        </is>
      </c>
      <c r="K28">
        <f>SUM((D28-C28)*2.0*24)</f>
        <v/>
      </c>
    </row>
    <row r="29" ht="18.75" customHeight="1">
      <c r="A29" s="20">
        <f>IF(B29&gt;0,PROPER(TEXT(B29,"dddd")),"")</f>
        <v/>
      </c>
      <c r="B29" s="25" t="n">
        <v>46166</v>
      </c>
      <c r="C29" s="26" t="n">
        <v>0.53125</v>
      </c>
      <c r="D29" s="27" t="n">
        <v>0.6541666666666667</v>
      </c>
      <c r="E29" s="26" t="n">
        <v>0.8854166666666666</v>
      </c>
      <c r="F29" s="27" t="n">
        <v>0.9694444444444444</v>
      </c>
      <c r="G29" s="26" t="n">
        <v/>
      </c>
      <c r="H29" s="27" t="n">
        <v/>
      </c>
      <c r="I29" s="26">
        <f>SUM(D29-C29, F29-E29, H29-G29)</f>
        <v/>
      </c>
      <c r="J29" s="28" t="inlineStr">
        <is>
          <t>OT # 177385. Cumay, estructura 37250 se encuentra RBV arrancada fase B, se empalma y regula, estructura 219332 se habilita transformador 17506. Bellavista, Med. 276541 se encuentra bornera de medidor en mal estado, se retira medidor y se deja directo con protección. OT # 177385. Zamora, Calle Diego de Vaca, Med. 1000425465 empalmes en mal estado, se cambia 5m de acometida antihurto 3x4, se normaliza el servicio. Zamora, Manuela Cañizares, Med. 18-253947 se realiza censo de carga y se encuentra el servicio eléctrico normal, daño interno, se informa al cliente.</t>
        </is>
      </c>
      <c r="K29">
        <f>SUM((D29-C29)*2.0*24,(F29-E29)*2.0*24)</f>
        <v/>
      </c>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1.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MORALES RIVERA LUIS ALBERTO</t>
        </is>
      </c>
      <c r="I2" s="7">
        <f>SUM(K6:K36)</f>
        <v/>
      </c>
      <c r="J2" s="8" t="inlineStr">
        <is>
          <t>TOTAL</t>
        </is>
      </c>
    </row>
    <row r="3" ht="18.75" customHeight="1">
      <c r="A3" s="9" t="inlineStr">
        <is>
          <t>Cuadrilla o Agencia:</t>
        </is>
      </c>
      <c r="B3" s="9" t="n"/>
      <c r="C3" s="9" t="n"/>
      <c r="D3" s="9" t="n"/>
      <c r="E3" s="10" t="n"/>
      <c r="F3" s="10" t="n"/>
      <c r="G3" s="10" t="n"/>
      <c r="H3" s="6" t="inlineStr">
        <is>
          <t>Alumbrado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0.8111111111111111</v>
      </c>
      <c r="D16" s="27" t="n">
        <v>0.8569444444444444</v>
      </c>
      <c r="E16" s="26" t="n">
        <v/>
      </c>
      <c r="F16" s="27" t="n">
        <v/>
      </c>
      <c r="G16" s="26" t="n">
        <v/>
      </c>
      <c r="H16" s="27" t="n">
        <v/>
      </c>
      <c r="I16" s="26">
        <f>SUM(D16-C16, F16-E16, H16-G16)</f>
        <v/>
      </c>
      <c r="J16" s="28" t="inlineStr">
        <is>
          <t>OT # 176480. El Pangui, Est 272167 se cambia tirafusible quemado de 6 -T; Causa: vegetación.</t>
        </is>
      </c>
      <c r="K16">
        <f>SUM((D16-C16)*1.5*24)</f>
        <v/>
      </c>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0.7541666666666667</v>
      </c>
      <c r="D19" s="27" t="n">
        <v>0.8409722222222222</v>
      </c>
      <c r="E19" s="26" t="n">
        <v/>
      </c>
      <c r="F19" s="27" t="n">
        <v/>
      </c>
      <c r="G19" s="26" t="n">
        <v/>
      </c>
      <c r="H19" s="27" t="n">
        <v/>
      </c>
      <c r="I19" s="26">
        <f>SUM(D19-C19, F19-E19, H19-G19)</f>
        <v/>
      </c>
      <c r="J19" s="28" t="inlineStr">
        <is>
          <t>OT # 176729. Zamora, tramo entre Est 36346, 243504 arreglo de empalmes recalentados del neutro y primera fase de la RBV, se reestablece el servicio con normalidad.</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0.7916666666666666</v>
      </c>
      <c r="D23" s="27" t="n">
        <v>0.9166666666666666</v>
      </c>
      <c r="E23" s="26" t="n">
        <v/>
      </c>
      <c r="F23" s="27" t="n">
        <v/>
      </c>
      <c r="G23" s="26" t="n">
        <v/>
      </c>
      <c r="H23" s="27" t="n">
        <v/>
      </c>
      <c r="I23" s="26">
        <f>SUM(D23-C23, F23-E23, H23-G23)</f>
        <v/>
      </c>
      <c r="J23" s="28" t="inlineStr">
        <is>
          <t>OT # 176989. Recorrido nocturno levantando información de las luminarias con daños desde el sector de San Carlos de Las Minas hacia Zamora</t>
        </is>
      </c>
      <c r="K23">
        <f>SUM((D23-C23)*0.25*24)</f>
        <v/>
      </c>
    </row>
    <row r="24" ht="18.75" customHeight="1">
      <c r="A24" s="20">
        <f>IF(B24&gt;0,PROPER(TEXT(B24,"dddd")),"")</f>
        <v/>
      </c>
      <c r="B24" s="21" t="n">
        <v>46161</v>
      </c>
      <c r="C24" s="26" t="n">
        <v>0.7916666666666666</v>
      </c>
      <c r="D24" s="27" t="n">
        <v>0.9166666666666666</v>
      </c>
      <c r="E24" s="26" t="n">
        <v/>
      </c>
      <c r="F24" s="27" t="n">
        <v/>
      </c>
      <c r="G24" s="26" t="n">
        <v/>
      </c>
      <c r="H24" s="27" t="n">
        <v/>
      </c>
      <c r="I24" s="26">
        <f>SUM(D24-C24, F24-E24, H24-G24)</f>
        <v/>
      </c>
      <c r="J24" s="28" t="inlineStr">
        <is>
          <t>OT # 177062. Recorrido nocturno levantando información de las luminarias con daños en los sectores de Guaguaymi Bajo, Guaguaymi Alto, La Saquea, Soapaca, Chamico, Cumbaratza, total 14 Luminarias apagadas.</t>
        </is>
      </c>
      <c r="K24">
        <f>SUM((D24-C24)*0.25*24)</f>
        <v/>
      </c>
    </row>
    <row r="25" ht="18.75" customHeight="1">
      <c r="A25" s="20">
        <f>IF(B25&gt;0,PROPER(TEXT(B25,"dddd")),"")</f>
        <v/>
      </c>
      <c r="B25" s="25" t="n">
        <v>46162</v>
      </c>
      <c r="C25" s="26" t="n">
        <v>0.7916666666666666</v>
      </c>
      <c r="D25" s="27" t="n">
        <v>0.9166666666666666</v>
      </c>
      <c r="E25" s="26" t="n">
        <v/>
      </c>
      <c r="F25" s="27" t="n">
        <v/>
      </c>
      <c r="G25" s="26" t="n">
        <v/>
      </c>
      <c r="H25" s="27" t="n">
        <v/>
      </c>
      <c r="I25" s="26">
        <f>SUM(D25-C25, F25-E25, H25-G25)</f>
        <v/>
      </c>
      <c r="J25" s="28" t="inlineStr">
        <is>
          <t>OT # 177145. Recorrido nocturno levantando información de las luminarias con fallas en los sectores de Piuntza de Guadalupe y Cumbaratza, Total 9 Luminarias.</t>
        </is>
      </c>
      <c r="K25">
        <f>SUM((D25-C25)*0.25*24)</f>
        <v/>
      </c>
    </row>
    <row r="26" ht="18.75" customHeight="1">
      <c r="A26" s="20">
        <f>IF(B26&gt;0,PROPER(TEXT(B26,"dddd")),"")</f>
        <v/>
      </c>
      <c r="B26" s="25" t="n">
        <v>46163</v>
      </c>
      <c r="C26" s="26" t="n">
        <v>0.7916666666666666</v>
      </c>
      <c r="D26" s="27" t="n">
        <v>0.9166666666666666</v>
      </c>
      <c r="E26" s="26" t="n">
        <v/>
      </c>
      <c r="F26" s="27" t="n">
        <v/>
      </c>
      <c r="G26" s="26" t="n">
        <v/>
      </c>
      <c r="H26" s="27" t="n">
        <v/>
      </c>
      <c r="I26" s="26">
        <f>SUM(D26-C26, F26-E26, H26-G26)</f>
        <v/>
      </c>
      <c r="J26" s="28" t="inlineStr">
        <is>
          <t>OT # 177230. Arreglo de luminarias en mal estado</t>
        </is>
      </c>
      <c r="K26">
        <f>SUM((D26-C26)*0.25*24)</f>
        <v/>
      </c>
    </row>
    <row r="27" ht="18.75" customHeight="1">
      <c r="A27" s="20">
        <f>IF(B27&gt;0,PROPER(TEXT(B27,"dddd")),"")</f>
        <v/>
      </c>
      <c r="B27" s="21" t="n">
        <v>46164</v>
      </c>
      <c r="C27" s="26" t="n">
        <v>0.7083333333333334</v>
      </c>
      <c r="D27" s="27" t="n">
        <v>0.7583333333333333</v>
      </c>
      <c r="E27" s="26" t="n">
        <v/>
      </c>
      <c r="F27" s="27" t="n">
        <v/>
      </c>
      <c r="G27" s="26" t="n">
        <v/>
      </c>
      <c r="H27" s="27" t="n">
        <v/>
      </c>
      <c r="I27" s="26">
        <f>SUM(D27-C27, F27-E27, H27-G27)</f>
        <v/>
      </c>
      <c r="J27" s="28" t="inlineStr">
        <is>
          <t>OT # 177250. Zamora, en la estructura. Nro. 242494, por disposición del Ing. Ernesto Palacios, se realiza la instalación de acometida en calidad de servicio ocasional</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2.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CHALCO JARAMILLO JOE DAVID</t>
        </is>
      </c>
      <c r="I2" s="7">
        <f>SUM(K6:K36)</f>
        <v/>
      </c>
      <c r="J2" s="8" t="inlineStr">
        <is>
          <t>TOTAL</t>
        </is>
      </c>
    </row>
    <row r="3" ht="18.75" customHeight="1">
      <c r="A3" s="9" t="inlineStr">
        <is>
          <t>Cuadrilla o Agencia:</t>
        </is>
      </c>
      <c r="B3" s="9" t="n"/>
      <c r="C3" s="9" t="n"/>
      <c r="D3" s="9" t="n"/>
      <c r="E3" s="10" t="n"/>
      <c r="F3" s="10" t="n"/>
      <c r="G3" s="10" t="n"/>
      <c r="H3" s="6" t="inlineStr">
        <is>
          <t>Alumbrado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0.8111111111111111</v>
      </c>
      <c r="D16" s="27" t="n">
        <v>0.8569444444444444</v>
      </c>
      <c r="E16" s="26" t="n">
        <v/>
      </c>
      <c r="F16" s="27" t="n">
        <v/>
      </c>
      <c r="G16" s="26" t="n">
        <v/>
      </c>
      <c r="H16" s="27" t="n">
        <v/>
      </c>
      <c r="I16" s="26">
        <f>SUM(D16-C16, F16-E16, H16-G16)</f>
        <v/>
      </c>
      <c r="J16" s="28" t="inlineStr">
        <is>
          <t>OT # 176480. El Pangui, Est 272167 se cambia tirafusible quemado de 6 -T; Causa: vegetación.</t>
        </is>
      </c>
      <c r="K16">
        <f>SUM((D16-C16)*1.5*24)</f>
        <v/>
      </c>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0.5694444444444444</v>
      </c>
      <c r="D21" s="27" t="n">
        <v>0.6138888888888889</v>
      </c>
      <c r="E21" s="26" t="n">
        <v/>
      </c>
      <c r="F21" s="27" t="n">
        <v/>
      </c>
      <c r="G21" s="26" t="n">
        <v/>
      </c>
      <c r="H21" s="27" t="n">
        <v/>
      </c>
      <c r="I21" s="26">
        <f>SUM(D21-C21, F21-E21, H21-G21)</f>
        <v/>
      </c>
      <c r="J21" s="28" t="inlineStr">
        <is>
          <t>OT # 176984. Santa Elena, Trafo 12293 sin servicio, en la Est 64886 fusible quemado, se repone con 12A-K, se normaliza el servicio, Causa: Desconocida.</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0.7916666666666666</v>
      </c>
      <c r="D23" s="27" t="n">
        <v>0.9166666666666666</v>
      </c>
      <c r="E23" s="26" t="n">
        <v/>
      </c>
      <c r="F23" s="27" t="n">
        <v/>
      </c>
      <c r="G23" s="26" t="n">
        <v/>
      </c>
      <c r="H23" s="27" t="n">
        <v/>
      </c>
      <c r="I23" s="26">
        <f>SUM(D23-C23, F23-E23, H23-G23)</f>
        <v/>
      </c>
      <c r="J23" s="28" t="inlineStr">
        <is>
          <t>OT # 176989. Recorrido nocturno levantando información de las luminarias con daños desde el sector de San Carlos de Las Minas hacia Zamora</t>
        </is>
      </c>
      <c r="K23">
        <f>SUM((D23-C23)*0.25*24)</f>
        <v/>
      </c>
    </row>
    <row r="24" ht="18.75" customHeight="1">
      <c r="A24" s="20">
        <f>IF(B24&gt;0,PROPER(TEXT(B24,"dddd")),"")</f>
        <v/>
      </c>
      <c r="B24" s="21" t="n">
        <v>46161</v>
      </c>
      <c r="C24" s="26" t="n">
        <v>0.7916666666666666</v>
      </c>
      <c r="D24" s="27" t="n">
        <v>0.9166666666666666</v>
      </c>
      <c r="E24" s="26" t="n">
        <v/>
      </c>
      <c r="F24" s="27" t="n">
        <v/>
      </c>
      <c r="G24" s="26" t="n">
        <v/>
      </c>
      <c r="H24" s="27" t="n">
        <v/>
      </c>
      <c r="I24" s="26">
        <f>SUM(D24-C24, F24-E24, H24-G24)</f>
        <v/>
      </c>
      <c r="J24" s="28" t="inlineStr">
        <is>
          <t>OT # 177062. Recorrido nocturno levantando información de las luminarias con daños en los sectores de Guaguaymi Bajo, Guaguaymi Alto, La Saquea, Soapaca, Chamico, Cumbaratza, total 14 Luminarias apagadas.</t>
        </is>
      </c>
      <c r="K24">
        <f>SUM((D24-C24)*0.25*24)</f>
        <v/>
      </c>
    </row>
    <row r="25" ht="18.75" customHeight="1">
      <c r="A25" s="20">
        <f>IF(B25&gt;0,PROPER(TEXT(B25,"dddd")),"")</f>
        <v/>
      </c>
      <c r="B25" s="25" t="n">
        <v>46162</v>
      </c>
      <c r="C25" s="26" t="n">
        <v>0.7916666666666666</v>
      </c>
      <c r="D25" s="27" t="n">
        <v>0.9166666666666666</v>
      </c>
      <c r="E25" s="26" t="n">
        <v/>
      </c>
      <c r="F25" s="27" t="n">
        <v/>
      </c>
      <c r="G25" s="26" t="n">
        <v/>
      </c>
      <c r="H25" s="27" t="n">
        <v/>
      </c>
      <c r="I25" s="26">
        <f>SUM(D25-C25, F25-E25, H25-G25)</f>
        <v/>
      </c>
      <c r="J25" s="28" t="inlineStr">
        <is>
          <t>OT # 177145. Recorrido nocturno levantando información de las luminarias con fallas en los sectores de Piuntza de Guadalupe y Cumbaratza, Total 9 Luminarias.</t>
        </is>
      </c>
      <c r="K25">
        <f>SUM((D25-C25)*0.25*24)</f>
        <v/>
      </c>
    </row>
    <row r="26" ht="18.75" customHeight="1">
      <c r="A26" s="20">
        <f>IF(B26&gt;0,PROPER(TEXT(B26,"dddd")),"")</f>
        <v/>
      </c>
      <c r="B26" s="25" t="n">
        <v>46163</v>
      </c>
      <c r="C26" s="26" t="n">
        <v>0.7916666666666666</v>
      </c>
      <c r="D26" s="27" t="n">
        <v>0.9166666666666666</v>
      </c>
      <c r="E26" s="26" t="n">
        <v/>
      </c>
      <c r="F26" s="27" t="n">
        <v/>
      </c>
      <c r="G26" s="26" t="n">
        <v/>
      </c>
      <c r="H26" s="27" t="n">
        <v/>
      </c>
      <c r="I26" s="26">
        <f>SUM(D26-C26, F26-E26, H26-G26)</f>
        <v/>
      </c>
      <c r="J26" s="28" t="inlineStr">
        <is>
          <t>OT # 177230. Arreglo de luminarias en mal estado</t>
        </is>
      </c>
      <c r="K26">
        <f>SUM((D26-C26)*0.25*24)</f>
        <v/>
      </c>
    </row>
    <row r="27" ht="18.75" customHeight="1">
      <c r="A27" s="20">
        <f>IF(B27&gt;0,PROPER(TEXT(B27,"dddd")),"")</f>
        <v/>
      </c>
      <c r="B27" s="21" t="n">
        <v>46164</v>
      </c>
      <c r="C27" s="26" t="n">
        <v>0.7083333333333334</v>
      </c>
      <c r="D27" s="27" t="n">
        <v>0.7583333333333333</v>
      </c>
      <c r="E27" s="26" t="n">
        <v/>
      </c>
      <c r="F27" s="27" t="n">
        <v/>
      </c>
      <c r="G27" s="26" t="n">
        <v/>
      </c>
      <c r="H27" s="27" t="n">
        <v/>
      </c>
      <c r="I27" s="26">
        <f>SUM(D27-C27, F27-E27, H27-G27)</f>
        <v/>
      </c>
      <c r="J27" s="28" t="inlineStr">
        <is>
          <t>OT # 177250. Zamora, en la estructura. Nro. 242494, por disposición del Ing. Ernesto Palacios, se realiza la instalación de acometida en calidad de servicio ocasional</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3.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CABRERA CABRERA MIGUEL ISAURO</t>
        </is>
      </c>
      <c r="I2" s="7">
        <f>SUM(K6:K36)</f>
        <v/>
      </c>
      <c r="J2" s="8" t="inlineStr">
        <is>
          <t>TOTAL</t>
        </is>
      </c>
    </row>
    <row r="3" ht="18.75" customHeight="1">
      <c r="A3" s="9" t="inlineStr">
        <is>
          <t>Cuadrilla o Agencia:</t>
        </is>
      </c>
      <c r="B3" s="9" t="n"/>
      <c r="C3" s="9" t="n"/>
      <c r="D3" s="9" t="n"/>
      <c r="E3" s="10" t="n"/>
      <c r="F3" s="10" t="n"/>
      <c r="G3" s="10" t="n"/>
      <c r="H3" s="6" t="inlineStr">
        <is>
          <t>Alumbrado Zamora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0.7541666666666667</v>
      </c>
      <c r="D19" s="27" t="n">
        <v>0.8409722222222222</v>
      </c>
      <c r="E19" s="26" t="n">
        <v/>
      </c>
      <c r="F19" s="27" t="n">
        <v/>
      </c>
      <c r="G19" s="26" t="n">
        <v/>
      </c>
      <c r="H19" s="27" t="n">
        <v/>
      </c>
      <c r="I19" s="26">
        <f>SUM(D19-C19, F19-E19, H19-G19)</f>
        <v/>
      </c>
      <c r="J19" s="28" t="inlineStr">
        <is>
          <t>OT # 176729. Zamora, tramo entre Est 36346, 243504 arreglo de empalmes recalentados del neutro y primera fase de la RBV, se reestablece el servicio con normalidad.</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0.5694444444444444</v>
      </c>
      <c r="D21" s="27" t="n">
        <v>0.6138888888888889</v>
      </c>
      <c r="E21" s="26" t="n">
        <v/>
      </c>
      <c r="F21" s="27" t="n">
        <v/>
      </c>
      <c r="G21" s="26" t="n">
        <v/>
      </c>
      <c r="H21" s="27" t="n">
        <v/>
      </c>
      <c r="I21" s="26">
        <f>SUM(D21-C21, F21-E21, H21-G21)</f>
        <v/>
      </c>
      <c r="J21" s="28" t="inlineStr">
        <is>
          <t>OT # 176984. Santa Elena, Trafo 12293 sin servicio, en la Est 64886 fusible quemado, se repone con 12A-K, se normaliza el servicio, Causa: Desconocida.</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0.7916666666666666</v>
      </c>
      <c r="D23" s="27" t="n">
        <v>0.9166666666666666</v>
      </c>
      <c r="E23" s="26" t="n">
        <v/>
      </c>
      <c r="F23" s="27" t="n">
        <v/>
      </c>
      <c r="G23" s="26" t="n">
        <v/>
      </c>
      <c r="H23" s="27" t="n">
        <v/>
      </c>
      <c r="I23" s="26">
        <f>SUM(D23-C23, F23-E23, H23-G23)</f>
        <v/>
      </c>
      <c r="J23" s="28" t="inlineStr">
        <is>
          <t>OT # 176989. Recorrido nocturno levantando información de las luminarias con daños desde el sector de San Carlos de Las Minas hacia Zamora</t>
        </is>
      </c>
      <c r="K23">
        <f>SUM((D23-C23)*0.25*24)</f>
        <v/>
      </c>
    </row>
    <row r="24" ht="18.75" customHeight="1">
      <c r="A24" s="20">
        <f>IF(B24&gt;0,PROPER(TEXT(B24,"dddd")),"")</f>
        <v/>
      </c>
      <c r="B24" s="21" t="n">
        <v>46161</v>
      </c>
      <c r="C24" s="26" t="n">
        <v>0.7916666666666666</v>
      </c>
      <c r="D24" s="27" t="n">
        <v>0.9166666666666666</v>
      </c>
      <c r="E24" s="26" t="n">
        <v/>
      </c>
      <c r="F24" s="27" t="n">
        <v/>
      </c>
      <c r="G24" s="26" t="n">
        <v/>
      </c>
      <c r="H24" s="27" t="n">
        <v/>
      </c>
      <c r="I24" s="26">
        <f>SUM(D24-C24, F24-E24, H24-G24)</f>
        <v/>
      </c>
      <c r="J24" s="28" t="inlineStr">
        <is>
          <t>OT # 177062. Recorrido nocturno levantando información de las luminarias con daños en los sectores de Guaguaymi Bajo, Guaguaymi Alto, La Saquea, Soapaca, Chamico, Cumbaratza, total 14 Luminarias apagadas.</t>
        </is>
      </c>
      <c r="K24">
        <f>SUM((D24-C24)*0.25*24)</f>
        <v/>
      </c>
    </row>
    <row r="25" ht="18.75" customHeight="1">
      <c r="A25" s="20">
        <f>IF(B25&gt;0,PROPER(TEXT(B25,"dddd")),"")</f>
        <v/>
      </c>
      <c r="B25" s="25" t="n">
        <v>46162</v>
      </c>
      <c r="C25" s="26" t="n">
        <v>0.7916666666666666</v>
      </c>
      <c r="D25" s="27" t="n">
        <v>0.9166666666666666</v>
      </c>
      <c r="E25" s="26" t="n">
        <v/>
      </c>
      <c r="F25" s="27" t="n">
        <v/>
      </c>
      <c r="G25" s="26" t="n">
        <v/>
      </c>
      <c r="H25" s="27" t="n">
        <v/>
      </c>
      <c r="I25" s="26">
        <f>SUM(D25-C25, F25-E25, H25-G25)</f>
        <v/>
      </c>
      <c r="J25" s="28" t="inlineStr">
        <is>
          <t>OT # 177145. Recorrido nocturno levantando información de las luminarias con fallas en los sectores de Piuntza de Guadalupe y Cumbaratza, Total 9 Luminarias.</t>
        </is>
      </c>
      <c r="K25">
        <f>SUM((D25-C25)*0.25*24)</f>
        <v/>
      </c>
    </row>
    <row r="26" ht="18.75" customHeight="1">
      <c r="A26" s="20">
        <f>IF(B26&gt;0,PROPER(TEXT(B26,"dddd")),"")</f>
        <v/>
      </c>
      <c r="B26" s="25" t="n">
        <v>46163</v>
      </c>
      <c r="C26" s="26" t="n">
        <v>0.7916666666666666</v>
      </c>
      <c r="D26" s="27" t="n">
        <v>0.9166666666666666</v>
      </c>
      <c r="E26" s="26" t="n">
        <v/>
      </c>
      <c r="F26" s="27" t="n">
        <v/>
      </c>
      <c r="G26" s="26" t="n">
        <v/>
      </c>
      <c r="H26" s="27" t="n">
        <v/>
      </c>
      <c r="I26" s="26">
        <f>SUM(D26-C26, F26-E26, H26-G26)</f>
        <v/>
      </c>
      <c r="J26" s="28" t="inlineStr">
        <is>
          <t>OT # 177230. Arreglo de luminarias en mal estado</t>
        </is>
      </c>
      <c r="K26">
        <f>SUM((D26-C26)*0.25*24)</f>
        <v/>
      </c>
    </row>
    <row r="27" ht="18.75" customHeight="1">
      <c r="A27" s="20">
        <f>IF(B27&gt;0,PROPER(TEXT(B27,"dddd")),"")</f>
        <v/>
      </c>
      <c r="B27" s="21" t="n">
        <v>46164</v>
      </c>
      <c r="C27" s="26" t="n">
        <v>0.7083333333333334</v>
      </c>
      <c r="D27" s="27" t="n">
        <v>0.7583333333333333</v>
      </c>
      <c r="E27" s="26" t="n">
        <v/>
      </c>
      <c r="F27" s="27" t="n">
        <v/>
      </c>
      <c r="G27" s="26" t="n">
        <v/>
      </c>
      <c r="H27" s="27" t="n">
        <v/>
      </c>
      <c r="I27" s="26">
        <f>SUM(D27-C27, F27-E27, H27-G27)</f>
        <v/>
      </c>
      <c r="J27" s="28" t="inlineStr">
        <is>
          <t>OT # 177250. Zamora, en la estructura. Nro. 242494, por disposición del Ing. Ernesto Palacios, se realiza la instalación de acometida en calidad de servicio ocasional</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CABRERA GONZALEZ WILMER DAVID</t>
        </is>
      </c>
      <c r="I2" s="7">
        <f>SUM(K6:K36)</f>
        <v/>
      </c>
      <c r="J2" s="8" t="inlineStr">
        <is>
          <t>TOTAL</t>
        </is>
      </c>
    </row>
    <row r="3" ht="18.75" customHeight="1">
      <c r="A3" s="9" t="inlineStr">
        <is>
          <t>Cuadrilla o Agencia:</t>
        </is>
      </c>
      <c r="B3" s="9" t="n"/>
      <c r="C3" s="9" t="n"/>
      <c r="D3" s="9" t="n"/>
      <c r="E3" s="10" t="n"/>
      <c r="F3" s="10" t="n"/>
      <c r="G3" s="10" t="n"/>
      <c r="H3" s="6" t="inlineStr">
        <is>
          <t>Cuadrilla Yacuambi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0.3458333333333333</v>
      </c>
      <c r="D6" s="23" t="n">
        <v>0.5416666666666666</v>
      </c>
      <c r="E6" s="22" t="n">
        <v>0.5833333333333334</v>
      </c>
      <c r="F6" s="23" t="n">
        <v>0.6770833333333334</v>
      </c>
      <c r="G6" s="22" t="n">
        <v/>
      </c>
      <c r="H6" s="23" t="n">
        <v/>
      </c>
      <c r="I6" s="22">
        <f>SUM(D6-C6, F6-E6, H6-G6)</f>
        <v/>
      </c>
      <c r="J6" s="24" t="inlineStr">
        <is>
          <t>OT # 175886.  DIA FESTIVO. “Día del Trabajo”. Guaguayme Alto, estructura 218906 transformador bloqueado 21984 de 15 kVA, se revisa Est 38590 de LBV quebrado por caída de árbol seco; se retira árbol de las lineas, se desmonta lineas,se endereza estructura provisionalmente de 9H. OT # 175886. Guaguayme Alto, se continua labores, se empalma acometidas de medidores se coloca 10 metros de cable tensor nuevo, se aploma estructura provisionalmente se regula lineas BT se recupera acometidas En la estructura 218906 se procede a activar brekaer del transformador sicap 21984 de 15 kVA y se normaliza el servicio eléctrico.</t>
        </is>
      </c>
      <c r="K6">
        <f>SUM((D6-C6)*2.0*24,(F6-E6)*2.0*24)</f>
        <v/>
      </c>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0.7083333333333334</v>
      </c>
      <c r="D11" s="27" t="n">
        <v>0.9229166666666667</v>
      </c>
      <c r="E11" s="26" t="n">
        <v/>
      </c>
      <c r="F11" s="27" t="n">
        <v/>
      </c>
      <c r="G11" s="26" t="n">
        <v/>
      </c>
      <c r="H11" s="27" t="n">
        <v/>
      </c>
      <c r="I11" s="43">
        <f>SUM(D11-C11, F11-E11, H11-G11)</f>
        <v/>
      </c>
      <c r="J11" s="28" t="inlineStr">
        <is>
          <t>OT # 176188. Traslado desde Santa Rosa a Yacuambi, luego, a Ortega Alto, se encuentra Med 189779 acometida arrancada por caída de vegetación, se retira acometida en mal estado, se regula acometida. Traslado desde Ortega Alto hasta Yacuambi luego a Piuntza de La Paz, cables tensores arrancados por maquinaria de minería de la estructura 278777 Alimentador Yacuambi por maquinaria desconocida, se desaloja escombros de la varilla de anclaje; se coloca dos varillas 1107 en cable tensor arrancado provisionalmente, se regula tensor se aploma estructura.</t>
        </is>
      </c>
      <c r="K11">
        <f>SUM((D11-C11)*1.5*24)</f>
        <v/>
      </c>
    </row>
    <row r="12" ht="18.75" customHeight="1">
      <c r="A12" s="20">
        <f>IF(B12&gt;0,PROPER(TEXT(B12,"dddd")),"")</f>
        <v/>
      </c>
      <c r="B12" s="21" t="n">
        <v>46149</v>
      </c>
      <c r="C12" s="26" t="n">
        <v>0.8277777777777777</v>
      </c>
      <c r="D12" s="27" t="n">
        <v>0.9402777777777778</v>
      </c>
      <c r="E12" s="26" t="n">
        <v/>
      </c>
      <c r="F12" s="27" t="n">
        <v/>
      </c>
      <c r="G12" s="26" t="n">
        <v/>
      </c>
      <c r="H12" s="27" t="n">
        <v/>
      </c>
      <c r="I12" s="44">
        <f>SUM(D12-C12, F12-E12, H12-G12)</f>
        <v/>
      </c>
      <c r="J12" s="28" t="inlineStr">
        <is>
          <t>OT # 176302. Tutupali, revisión del alumbrado publico; sectores: Nueva Esperanza, Corralpamba Esperanza, centro de Yacuambi.</t>
        </is>
      </c>
      <c r="K12">
        <f>SUM((D12-C12)*1.5*24)</f>
        <v/>
      </c>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0.3819444444444444</v>
      </c>
      <c r="D14" s="27" t="n">
        <v>0.5215277777777778</v>
      </c>
      <c r="E14" s="26" t="n">
        <v/>
      </c>
      <c r="F14" s="27" t="n">
        <v/>
      </c>
      <c r="G14" s="26" t="n">
        <v/>
      </c>
      <c r="H14" s="27" t="n">
        <v/>
      </c>
      <c r="I14" s="26">
        <f>SUM(D14-C14, F14-E14, H14-G14)</f>
        <v/>
      </c>
      <c r="J14" s="28" t="inlineStr">
        <is>
          <t>OT # 176424. Conchay, Med # 143776, se revisa encontrando acometida arrancada por caída de vegetación, se retira acometida en mal estado, se empalma y regula, se restablece el servicio eléctrico.</t>
        </is>
      </c>
      <c r="K14">
        <f>SUM((D14-C14)*2.0*24)</f>
        <v/>
      </c>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0.7326388888888888</v>
      </c>
      <c r="D19" s="27" t="n">
        <v>0.8347222222222223</v>
      </c>
      <c r="E19" s="26" t="n">
        <v/>
      </c>
      <c r="F19" s="27" t="n">
        <v/>
      </c>
      <c r="G19" s="26" t="n">
        <v/>
      </c>
      <c r="H19" s="27" t="n">
        <v/>
      </c>
      <c r="I19" s="26">
        <f>SUM(D19-C19, F19-E19, H19-G19)</f>
        <v/>
      </c>
      <c r="J19" s="28" t="inlineStr">
        <is>
          <t>OT # 176749. En Piuntza Alto, Med 209067 puentes recalentados, se cambia puentes. Jembuentza, estructura 31150 Trafo 4333 conectores pernoendidos recalentados, se cambia 3 conectores RP, se ajusta conexiones de bushing de LBV.</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0.4527777777777778</v>
      </c>
      <c r="D21" s="27" t="n">
        <v>0.5138888888888888</v>
      </c>
      <c r="E21" s="26" t="n">
        <v/>
      </c>
      <c r="F21" s="27" t="n">
        <v/>
      </c>
      <c r="G21" s="26" t="n">
        <v/>
      </c>
      <c r="H21" s="27" t="n">
        <v/>
      </c>
      <c r="I21" s="26">
        <f>SUM(D21-C21, F21-E21, H21-G21)</f>
        <v/>
      </c>
      <c r="J21" s="28" t="inlineStr">
        <is>
          <t>OT # 176932. Cambana, Med 1000366003 se encuentra conexiones en mal estado, se cambia puentes se verifica voltaje y se normaliza el servicio.</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0.7083333333333334</v>
      </c>
      <c r="D25" s="27" t="n">
        <v>0.7736111111111111</v>
      </c>
      <c r="E25" s="26" t="n">
        <v/>
      </c>
      <c r="F25" s="27" t="n">
        <v/>
      </c>
      <c r="G25" s="26" t="n">
        <v/>
      </c>
      <c r="H25" s="27" t="n">
        <v/>
      </c>
      <c r="I25" s="26">
        <f>SUM(D25-C25, F25-E25, H25-G25)</f>
        <v/>
      </c>
      <c r="J25" s="28" t="inlineStr">
        <is>
          <t>OT # 177144. La Florida, estructura 176343 se reubica transformador 10691 para poder servir a clientes. Autorizado por Jefatura Zonal.</t>
        </is>
      </c>
      <c r="K25">
        <f>SUM((D25-C25)*1.5*24)</f>
        <v/>
      </c>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0.5243055555555556</v>
      </c>
      <c r="D28" s="27" t="n">
        <v>0.5625</v>
      </c>
      <c r="E28" s="26" t="n">
        <v>0.6875</v>
      </c>
      <c r="F28" s="27" t="n">
        <v>0.7604166666666666</v>
      </c>
      <c r="G28" s="26" t="n">
        <v/>
      </c>
      <c r="H28" s="27" t="n">
        <v/>
      </c>
      <c r="I28" s="26">
        <f>SUM(D28-C28, F28-E28, H28-G28)</f>
        <v/>
      </c>
      <c r="J28" s="28" t="inlineStr">
        <is>
          <t xml:space="preserve">OT # 176980. Yacuambi, se ejecutan maniobras en coordinación con el Centro de Control.  OT # 176980. Yacuambi, se ejecutan maniobras en coordinación con el Centro de Control. </t>
        </is>
      </c>
      <c r="K28">
        <f>SUM((D28-C28)*2.0*24,(F28-E28)*2.0*24)</f>
        <v/>
      </c>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0.2916666666666667</v>
      </c>
      <c r="D32" s="27" t="n">
        <v>0.3333333333333333</v>
      </c>
      <c r="E32" s="26" t="n">
        <v/>
      </c>
      <c r="F32" s="27" t="n">
        <v/>
      </c>
      <c r="G32" s="26" t="n">
        <v/>
      </c>
      <c r="H32" s="27" t="n">
        <v/>
      </c>
      <c r="I32" s="26">
        <f>SUM(D32-C32, F32-E32, H32-G32)</f>
        <v/>
      </c>
      <c r="J32" s="28" t="inlineStr">
        <is>
          <t>OT # 177796. Yantzaza, se coordina trabajos y ejecuta trabajos planificados en la L/S/T 69 kV</t>
        </is>
      </c>
      <c r="K32">
        <f>SUM((D32-C32)*1.5*24)</f>
        <v/>
      </c>
    </row>
    <row r="33" ht="18.75" customHeight="1">
      <c r="A33" s="20">
        <f>IF(B33&gt;0,PROPER(TEXT(B33,"dddd")),"")</f>
        <v/>
      </c>
      <c r="B33" s="21" t="n">
        <v>46170</v>
      </c>
      <c r="C33" s="26" t="n">
        <v>0.2916666666666667</v>
      </c>
      <c r="D33" s="27" t="n">
        <v>0.3333333333333333</v>
      </c>
      <c r="E33" s="26" t="n">
        <v>0.7083333333333334</v>
      </c>
      <c r="F33" s="27" t="n">
        <v>0.825</v>
      </c>
      <c r="G33" s="26" t="n">
        <v/>
      </c>
      <c r="H33" s="27" t="n">
        <v/>
      </c>
      <c r="I33" s="26">
        <f>SUM(D33-C33, F33-E33, H33-G33)</f>
        <v/>
      </c>
      <c r="J33" s="28" t="inlineStr">
        <is>
          <t>OT # 177798. Yantzaza, se coordina trabajos y ejecuta trabajos planificados en la L/S/T 69 kV OT # 177798. Yantzaza, se coordina trabajos y ejecuta trabajos planificados en la L/S/T 69 kV</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0.4159722222222222</v>
      </c>
      <c r="D35" s="27" t="n">
        <v>0.5055555555555555</v>
      </c>
      <c r="E35" s="26" t="n">
        <v/>
      </c>
      <c r="F35" s="27" t="n">
        <v/>
      </c>
      <c r="G35" s="26" t="n">
        <v/>
      </c>
      <c r="H35" s="27" t="n">
        <v/>
      </c>
      <c r="I35" s="26">
        <f>SUM(D35-C35, F35-E35, H35-G35)</f>
        <v/>
      </c>
      <c r="J35" s="28" t="inlineStr">
        <is>
          <t>OT # 177804. San Vicente, estructura 270636 transformador 10187, se revisa no se encuentra novedades, se rehabilita, se hace mediciones quedando con normalidad; Causa: se desconoce.</t>
        </is>
      </c>
      <c r="K35">
        <f>SUM((D35-C35)*2.0*24)</f>
        <v/>
      </c>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RUIZ GUAMÁN NIXON ANDRÉS</t>
        </is>
      </c>
      <c r="I2" s="7">
        <f>SUM(K6:K36)</f>
        <v/>
      </c>
      <c r="J2" s="8" t="inlineStr">
        <is>
          <t>TOTAL</t>
        </is>
      </c>
    </row>
    <row r="3" ht="18.75" customHeight="1">
      <c r="A3" s="9" t="inlineStr">
        <is>
          <t>Cuadrilla o Agencia:</t>
        </is>
      </c>
      <c r="B3" s="9" t="n"/>
      <c r="C3" s="9" t="n"/>
      <c r="D3" s="9" t="n"/>
      <c r="E3" s="10" t="n"/>
      <c r="F3" s="10" t="n"/>
      <c r="G3" s="10" t="n"/>
      <c r="H3" s="6" t="inlineStr">
        <is>
          <t>Cuadrilla Yacuambi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0.3458333333333333</v>
      </c>
      <c r="D6" s="23" t="n">
        <v>0.5416666666666666</v>
      </c>
      <c r="E6" s="22" t="n">
        <v>0.5833333333333334</v>
      </c>
      <c r="F6" s="23" t="n">
        <v>0.6770833333333334</v>
      </c>
      <c r="G6" s="22" t="n">
        <v/>
      </c>
      <c r="H6" s="23" t="n">
        <v/>
      </c>
      <c r="I6" s="22">
        <f>SUM(D6-C6, F6-E6, H6-G6)</f>
        <v/>
      </c>
      <c r="J6" s="24" t="inlineStr">
        <is>
          <t>OT # 175886.  DIA FESTIVO. “Día del Trabajo”. Guaguayme Alto, estructura 218906 transformador bloqueado 21984 de 15 kVA, se revisa Est 38590 de LBV quebrado por caída de árbol seco; se retira árbol de las lineas, se desmonta lineas,se endereza estructura provisionalmente de 9H. OT # 175886. Guaguayme Alto, se continua labores, se empalma acometidas de medidores se coloca 10 metros de cable tensor nuevo, se aploma estructura provisionalmente se regula lineas BT se recupera acometidas En la estructura 218906 se procede a activar brekaer del transformador sicap 21984 de 15 kVA y se normaliza el servicio eléctrico.</t>
        </is>
      </c>
      <c r="K6">
        <f>SUM((D6-C6)*2.0*24,(F6-E6)*2.0*24)</f>
        <v/>
      </c>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0.7083333333333334</v>
      </c>
      <c r="D11" s="27" t="n">
        <v>0.9229166666666667</v>
      </c>
      <c r="E11" s="26" t="n">
        <v/>
      </c>
      <c r="F11" s="27" t="n">
        <v/>
      </c>
      <c r="G11" s="26" t="n">
        <v/>
      </c>
      <c r="H11" s="27" t="n">
        <v/>
      </c>
      <c r="I11" s="43">
        <f>SUM(D11-C11, F11-E11, H11-G11)</f>
        <v/>
      </c>
      <c r="J11" s="28" t="inlineStr">
        <is>
          <t>OT # 176188. Traslado desde Santa Rosa a Yacuambi, luego, a Ortega Alto, se encuentra Med 189779 acometida arrancada por caída de vegetación, se retira acometida en mal estado, se regula acometida. Traslado desde Ortega Alto hasta Yacuambi luego a Piuntza de La Paz, cables tensores arrancados por maquinaria de minería de la estructura 278777 Alimentador Yacuambi por maquinaria desconocida, se desaloja escombros de la varilla de anclaje; se coloca dos varillas 1107 en cable tensor arrancado provisionalmente, se regula tensor se aploma estructura.</t>
        </is>
      </c>
      <c r="K11">
        <f>SUM((D11-C11)*1.5*24)</f>
        <v/>
      </c>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0.7326388888888888</v>
      </c>
      <c r="D19" s="27" t="n">
        <v>0.8347222222222223</v>
      </c>
      <c r="E19" s="26" t="n">
        <v/>
      </c>
      <c r="F19" s="27" t="n">
        <v/>
      </c>
      <c r="G19" s="26" t="n">
        <v/>
      </c>
      <c r="H19" s="27" t="n">
        <v/>
      </c>
      <c r="I19" s="26">
        <f>SUM(D19-C19, F19-E19, H19-G19)</f>
        <v/>
      </c>
      <c r="J19" s="28" t="inlineStr">
        <is>
          <t>OT # 176749. En Piuntza Alto, Med 209067 puentes recalentados, se cambia puentes. Jembuentza, estructura 31150 Trafo 4333 conectores pernoendidos recalentados, se cambia 3 conectores RP, se ajusta conexiones de bushing de LBV.</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0.4527777777777778</v>
      </c>
      <c r="D21" s="27" t="n">
        <v>0.5138888888888888</v>
      </c>
      <c r="E21" s="26" t="n">
        <v>0.6444444444444445</v>
      </c>
      <c r="F21" s="27" t="n">
        <v>0.7194444444444444</v>
      </c>
      <c r="G21" s="26" t="n">
        <v/>
      </c>
      <c r="H21" s="27" t="n">
        <v/>
      </c>
      <c r="I21" s="26">
        <f>SUM(D21-C21, F21-E21, H21-G21)</f>
        <v/>
      </c>
      <c r="J21" s="28" t="inlineStr">
        <is>
          <t>OT # 176932. Cambana, Med 1000366003 se encuentra conexiones en mal estado, se cambia puentes se verifica voltaje y se normaliza el servicio. OT # 176901. Tierra Blanca, en la estructura 30989 se encuentra transformador sicap 6610 de 5KVA bloqueado, desbroce de vegetación enredaderas envueltas en LBT en la estructura 30990, se restablece el servicio eléctrico.</t>
        </is>
      </c>
      <c r="K21">
        <f>SUM((D21-C21)*2.0*24,(F21-E21)*2.0*24)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0.7083333333333334</v>
      </c>
      <c r="D25" s="27" t="n">
        <v>0.7736111111111111</v>
      </c>
      <c r="E25" s="26" t="n">
        <v/>
      </c>
      <c r="F25" s="27" t="n">
        <v/>
      </c>
      <c r="G25" s="26" t="n">
        <v/>
      </c>
      <c r="H25" s="27" t="n">
        <v/>
      </c>
      <c r="I25" s="26">
        <f>SUM(D25-C25, F25-E25, H25-G25)</f>
        <v/>
      </c>
      <c r="J25" s="28" t="inlineStr">
        <is>
          <t>OT # 177144. La Florida, estructura 176343 se reubica transformador 10691 para poder servir a clientes. Autorizado por Jefatura Zonal.</t>
        </is>
      </c>
      <c r="K25">
        <f>SUM((D25-C25)*1.5*24)</f>
        <v/>
      </c>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0.5243055555555556</v>
      </c>
      <c r="D28" s="27" t="n">
        <v>0.5625</v>
      </c>
      <c r="E28" s="26" t="n">
        <v>0.6875</v>
      </c>
      <c r="F28" s="27" t="n">
        <v>0.7604166666666666</v>
      </c>
      <c r="G28" s="26" t="n">
        <v/>
      </c>
      <c r="H28" s="27" t="n">
        <v/>
      </c>
      <c r="I28" s="26">
        <f>SUM(D28-C28, F28-E28, H28-G28)</f>
        <v/>
      </c>
      <c r="J28" s="28" t="inlineStr">
        <is>
          <t xml:space="preserve">OT # 176980. Yacuambi, se ejecutan maniobras en coordinación con el Centro de Control.  OT # 176980. Yacuambi, se ejecutan maniobras en coordinación con el Centro de Control. </t>
        </is>
      </c>
      <c r="K28">
        <f>SUM((D28-C28)*2.0*24,(F28-E28)*2.0*24)</f>
        <v/>
      </c>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0.2916666666666667</v>
      </c>
      <c r="D32" s="27" t="n">
        <v>0.3333333333333333</v>
      </c>
      <c r="E32" s="26" t="n">
        <v/>
      </c>
      <c r="F32" s="27" t="n">
        <v/>
      </c>
      <c r="G32" s="26" t="n">
        <v/>
      </c>
      <c r="H32" s="27" t="n">
        <v/>
      </c>
      <c r="I32" s="26">
        <f>SUM(D32-C32, F32-E32, H32-G32)</f>
        <v/>
      </c>
      <c r="J32" s="28" t="inlineStr">
        <is>
          <t>OT # 177796. Yantzaza, se coordina trabajos y ejecuta trabajos planificados en la L/S/T 69 kV</t>
        </is>
      </c>
      <c r="K32">
        <f>SUM((D32-C32)*1.5*24)</f>
        <v/>
      </c>
    </row>
    <row r="33" ht="18.75" customHeight="1">
      <c r="A33" s="20">
        <f>IF(B33&gt;0,PROPER(TEXT(B33,"dddd")),"")</f>
        <v/>
      </c>
      <c r="B33" s="21" t="n">
        <v>46170</v>
      </c>
      <c r="C33" s="26" t="n">
        <v>0.2916666666666667</v>
      </c>
      <c r="D33" s="27" t="n">
        <v>0.3333333333333333</v>
      </c>
      <c r="E33" s="26" t="n">
        <v>0.7083333333333334</v>
      </c>
      <c r="F33" s="27" t="n">
        <v>0.825</v>
      </c>
      <c r="G33" s="26" t="n">
        <v/>
      </c>
      <c r="H33" s="27" t="n">
        <v/>
      </c>
      <c r="I33" s="26">
        <f>SUM(D33-C33, F33-E33, H33-G33)</f>
        <v/>
      </c>
      <c r="J33" s="28" t="inlineStr">
        <is>
          <t>OT # 177798. Yantzaza, se coordina trabajos y ejecuta trabajos planificados en la L/S/T 69 kV OT # 177798. Yantzaza, se coordina trabajos y ejecuta trabajos planificados en la L/S/T 69 kV</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6.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LOZANO SIGCHO NAUN ENRIQUE</t>
        </is>
      </c>
      <c r="I2" s="7">
        <f>SUM(K6:K36)</f>
        <v/>
      </c>
      <c r="J2" s="8" t="inlineStr">
        <is>
          <t>TOTAL</t>
        </is>
      </c>
    </row>
    <row r="3" ht="18.75" customHeight="1">
      <c r="A3" s="9" t="inlineStr">
        <is>
          <t>Cuadrilla o Agencia:</t>
        </is>
      </c>
      <c r="B3" s="9" t="n"/>
      <c r="C3" s="9" t="n"/>
      <c r="D3" s="9" t="n"/>
      <c r="E3" s="10" t="n"/>
      <c r="F3" s="10" t="n"/>
      <c r="G3" s="10" t="n"/>
      <c r="H3" s="6" t="inlineStr">
        <is>
          <t>Cuadrilla Yacuambi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0.7083333333333334</v>
      </c>
      <c r="D11" s="27" t="n">
        <v>0.9229166666666667</v>
      </c>
      <c r="E11" s="26" t="n">
        <v/>
      </c>
      <c r="F11" s="27" t="n">
        <v/>
      </c>
      <c r="G11" s="26" t="n">
        <v/>
      </c>
      <c r="H11" s="27" t="n">
        <v/>
      </c>
      <c r="I11" s="43">
        <f>SUM(D11-C11, F11-E11, H11-G11)</f>
        <v/>
      </c>
      <c r="J11" s="28" t="inlineStr">
        <is>
          <t>OT # 176188. Traslado desde Santa Rosa a Yacuambi, luego, a Ortega Alto, se encuentra Med 189779 acometida arrancada por caída de vegetación, se retira acometida en mal estado, se regula acometida. Traslado desde Ortega Alto hasta Yacuambi luego a Piuntza de La Paz, cables tensores arrancados por maquinaria de minería de la estructura 278777 Alimentador Yacuambi por maquinaria desconocida, se desaloja escombros de la varilla de anclaje; se coloca dos varillas 1107 en cable tensor arrancado provisionalmente, se regula tensor se aploma estructura.</t>
        </is>
      </c>
      <c r="K11">
        <f>SUM((D11-C11)*1.5*24)</f>
        <v/>
      </c>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0.3819444444444444</v>
      </c>
      <c r="D14" s="27" t="n">
        <v>0.5215277777777778</v>
      </c>
      <c r="E14" s="26" t="n">
        <v/>
      </c>
      <c r="F14" s="27" t="n">
        <v/>
      </c>
      <c r="G14" s="26" t="n">
        <v/>
      </c>
      <c r="H14" s="27" t="n">
        <v/>
      </c>
      <c r="I14" s="26">
        <f>SUM(D14-C14, F14-E14, H14-G14)</f>
        <v/>
      </c>
      <c r="J14" s="28" t="inlineStr">
        <is>
          <t>OT # 176424. Conchay, Med # 143776, se revisa encontrando acometida arrancada por caída de vegetación, se retira acometida en mal estado, se empalma y regula, se restablece el servicio eléctrico.</t>
        </is>
      </c>
      <c r="K14">
        <f>SUM((D14-C14)*2.0*24)</f>
        <v/>
      </c>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0.7326388888888888</v>
      </c>
      <c r="D19" s="27" t="n">
        <v>0.8347222222222223</v>
      </c>
      <c r="E19" s="26" t="n">
        <v/>
      </c>
      <c r="F19" s="27" t="n">
        <v/>
      </c>
      <c r="G19" s="26" t="n">
        <v/>
      </c>
      <c r="H19" s="27" t="n">
        <v/>
      </c>
      <c r="I19" s="26">
        <f>SUM(D19-C19, F19-E19, H19-G19)</f>
        <v/>
      </c>
      <c r="J19" s="28" t="inlineStr">
        <is>
          <t>OT # 176749. En Piuntza Alto, Med 209067 puentes recalentados, se cambia puentes. Jembuentza, estructura 31150 Trafo 4333 conectores pernoendidos recalentados, se cambia 3 conectores RP, se ajusta conexiones de bushing de LBV.</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0.6444444444444445</v>
      </c>
      <c r="D21" s="27" t="n">
        <v>0.7194444444444444</v>
      </c>
      <c r="E21" s="26" t="n">
        <v/>
      </c>
      <c r="F21" s="27" t="n">
        <v/>
      </c>
      <c r="G21" s="26" t="n">
        <v/>
      </c>
      <c r="H21" s="27" t="n">
        <v/>
      </c>
      <c r="I21" s="26">
        <f>SUM(D21-C21, F21-E21, H21-G21)</f>
        <v/>
      </c>
      <c r="J21" s="28" t="inlineStr">
        <is>
          <t>OT # 176901. Tierra Blanca, en la estructura 30989 se encuentra transformador sicap 6610 de 5KVA bloqueado, desbroce de vegetación enredaderas envueltas en LBT en la estructura 30990, se restablece el servicio eléctrico.</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0.7083333333333334</v>
      </c>
      <c r="D25" s="27" t="n">
        <v>0.7736111111111111</v>
      </c>
      <c r="E25" s="26" t="n">
        <v/>
      </c>
      <c r="F25" s="27" t="n">
        <v/>
      </c>
      <c r="G25" s="26" t="n">
        <v/>
      </c>
      <c r="H25" s="27" t="n">
        <v/>
      </c>
      <c r="I25" s="26">
        <f>SUM(D25-C25, F25-E25, H25-G25)</f>
        <v/>
      </c>
      <c r="J25" s="28" t="inlineStr">
        <is>
          <t>OT # 177144. La Florida, estructura 176343 se reubica transformador 10691 para poder servir a clientes. Autorizado por Jefatura Zonal.</t>
        </is>
      </c>
      <c r="K25">
        <f>SUM((D25-C25)*1.5*24)</f>
        <v/>
      </c>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0.2916666666666667</v>
      </c>
      <c r="D32" s="27" t="n">
        <v>0.3333333333333333</v>
      </c>
      <c r="E32" s="26" t="n">
        <v/>
      </c>
      <c r="F32" s="27" t="n">
        <v/>
      </c>
      <c r="G32" s="26" t="n">
        <v/>
      </c>
      <c r="H32" s="27" t="n">
        <v/>
      </c>
      <c r="I32" s="26">
        <f>SUM(D32-C32, F32-E32, H32-G32)</f>
        <v/>
      </c>
      <c r="J32" s="28" t="inlineStr">
        <is>
          <t>OT # 177796. Yantzaza, se coordina trabajos y ejecuta trabajos planificados en la L/S/T 69 kV</t>
        </is>
      </c>
      <c r="K32">
        <f>SUM((D32-C32)*1.5*24)</f>
        <v/>
      </c>
    </row>
    <row r="33" ht="18.75" customHeight="1">
      <c r="A33" s="20">
        <f>IF(B33&gt;0,PROPER(TEXT(B33,"dddd")),"")</f>
        <v/>
      </c>
      <c r="B33" s="21" t="n">
        <v>46170</v>
      </c>
      <c r="C33" s="26" t="n">
        <v>0.2916666666666667</v>
      </c>
      <c r="D33" s="27" t="n">
        <v>0.3333333333333333</v>
      </c>
      <c r="E33" s="26" t="n">
        <v>0.7083333333333334</v>
      </c>
      <c r="F33" s="27" t="n">
        <v>0.825</v>
      </c>
      <c r="G33" s="26" t="n">
        <v/>
      </c>
      <c r="H33" s="27" t="n">
        <v/>
      </c>
      <c r="I33" s="26">
        <f>SUM(D33-C33, F33-E33, H33-G33)</f>
        <v/>
      </c>
      <c r="J33" s="28" t="inlineStr">
        <is>
          <t>OT # 177798. Yantzaza, se coordina trabajos y ejecuta trabajos planificados en la L/S/T 69 kV OT # 177798. Yantzaza, se coordina trabajos y ejecuta trabajos planificados en la L/S/T 69 kV</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0.4159722222222222</v>
      </c>
      <c r="D35" s="27" t="n">
        <v>0.5055555555555555</v>
      </c>
      <c r="E35" s="26" t="n">
        <v/>
      </c>
      <c r="F35" s="27" t="n">
        <v/>
      </c>
      <c r="G35" s="26" t="n">
        <v/>
      </c>
      <c r="H35" s="27" t="n">
        <v/>
      </c>
      <c r="I35" s="26">
        <f>SUM(D35-C35, F35-E35, H35-G35)</f>
        <v/>
      </c>
      <c r="J35" s="28" t="inlineStr">
        <is>
          <t>OT # 177804. San Vicente, estructura 270636 transformador 10187, se revisa no se encuentra novedades, se rehabilita, se hace mediciones quedando con normalidad; Causa: se desconoce.</t>
        </is>
      </c>
      <c r="K35">
        <f>SUM((D35-C35)*2.0*24)</f>
        <v/>
      </c>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7.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BARRAZUETA GONZAGA SERVIO GUILLERMO</t>
        </is>
      </c>
      <c r="I2" s="7">
        <f>SUM(K6:K36)</f>
        <v/>
      </c>
      <c r="J2" s="8" t="inlineStr">
        <is>
          <t>TOTAL</t>
        </is>
      </c>
    </row>
    <row r="3" ht="18.75" customHeight="1">
      <c r="A3" s="9" t="inlineStr">
        <is>
          <t>Cuadrilla o Agencia:</t>
        </is>
      </c>
      <c r="B3" s="9" t="n"/>
      <c r="C3" s="9" t="n"/>
      <c r="D3" s="9" t="n"/>
      <c r="E3" s="10" t="n"/>
      <c r="F3" s="10" t="n"/>
      <c r="G3" s="10" t="n"/>
      <c r="H3" s="6" t="inlineStr">
        <is>
          <t>Cuadrilla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0.74375</v>
      </c>
      <c r="D9" s="27" t="n">
        <v>0.7854166666666667</v>
      </c>
      <c r="E9" s="26" t="n">
        <v/>
      </c>
      <c r="F9" s="27" t="n">
        <v/>
      </c>
      <c r="G9" s="26" t="n">
        <v/>
      </c>
      <c r="H9" s="27" t="n">
        <v/>
      </c>
      <c r="I9" s="26">
        <f>SUM(D9-C9, F9-E9, H9-G9)</f>
        <v/>
      </c>
      <c r="J9" s="28" t="inlineStr">
        <is>
          <t xml:space="preserve">OT # 176028. Panguintza, Medidor 18518924, se encontró breker de 63 A recalentado, se cambia y reestablece el servicio. </t>
        </is>
      </c>
      <c r="K9">
        <f>SUM((D9-C9)*1.5*24)</f>
        <v/>
      </c>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0.1256944444444444</v>
      </c>
      <c r="D14" s="27" t="n">
        <v>0.1805555555555556</v>
      </c>
      <c r="E14" s="26" t="n">
        <v>0.3791666666666667</v>
      </c>
      <c r="F14" s="27" t="n">
        <v>0.5701388888888889</v>
      </c>
      <c r="G14" s="26" t="n">
        <v>0.6798611111111111</v>
      </c>
      <c r="H14" s="27" t="n">
        <v>0.7673611111111112</v>
      </c>
      <c r="I14" s="26">
        <f>SUM(D14-C14, F14-E14, H14-G14)</f>
        <v/>
      </c>
      <c r="J14" s="28" t="inlineStr">
        <is>
          <t>OT # 176417. Los Encuentros, estructura 276261, se rehabilita transformador 15687 de 25 KVA Causa: Poste impactado por vehículo desconocido, En el mismo sector,  se encontró estructura de 12 C quebrado su base y desplazado unos 80 cm desde su eje, por vehículo desconocido; es necesario su cambio. OT # 176417. San Pedro, Medidor 211289 se arregla neutro de acometida arrancada por caída de rama. La Yona Alto, estructura 29642, se rehabilita transformador 18996, se realiza desbroce de vegetación entre estructura: 92903 a 92902. El Pincho Medidor: 1000426787 ajuste de conexiones y bornera. OT # 176417. La Libertad, Est 279119, se revisa y repone tirafusible de 15A-T; Causa: desconocida.</t>
        </is>
      </c>
      <c r="K14">
        <f>SUM((D14-C14)*2.0*24,(F14-E14)*2.0*24,(H14-G14)*2.0*24)</f>
        <v/>
      </c>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0.7083333333333334</v>
      </c>
      <c r="D18" s="27" t="n">
        <v>0.75</v>
      </c>
      <c r="E18" s="26" t="n">
        <v/>
      </c>
      <c r="F18" s="27" t="n">
        <v/>
      </c>
      <c r="G18" s="26" t="n">
        <v/>
      </c>
      <c r="H18" s="27" t="n">
        <v/>
      </c>
      <c r="I18" s="26">
        <f>SUM(D18-C18, F18-E18, H18-G18)</f>
        <v/>
      </c>
      <c r="J18" s="28" t="inlineStr">
        <is>
          <t>OT # 176649. Chichis, estructura 31879 se rehabilita transformador 26130 de 10 KVA; Causa: RBV arrancada entre estructura: 31878 a 31879.</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0.7083333333333334</v>
      </c>
      <c r="D24" s="27" t="n">
        <v>0.7638888888888888</v>
      </c>
      <c r="E24" s="26" t="n">
        <v/>
      </c>
      <c r="F24" s="27" t="n">
        <v/>
      </c>
      <c r="G24" s="26" t="n">
        <v/>
      </c>
      <c r="H24" s="27" t="n">
        <v/>
      </c>
      <c r="I24" s="26">
        <f>SUM(D24-C24, F24-E24, H24-G24)</f>
        <v/>
      </c>
      <c r="J24" s="28" t="inlineStr">
        <is>
          <t>OT # 177043. Centro de Control solicita recorrido de AP La Saquea, y en estructura; 28717, se encuentra nidos en la fase B y C, se realizar maniobras y despeja potencial falla.</t>
        </is>
      </c>
      <c r="K24">
        <f>SUM((D24-C24)*1.5*24)</f>
        <v/>
      </c>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0.3055555555555556</v>
      </c>
      <c r="D27" s="27" t="n">
        <v>0.3333333333333333</v>
      </c>
      <c r="E27" s="26" t="n">
        <v/>
      </c>
      <c r="F27" s="27" t="n">
        <v/>
      </c>
      <c r="G27" s="26" t="n">
        <v/>
      </c>
      <c r="H27" s="27" t="n">
        <v/>
      </c>
      <c r="I27" s="26">
        <f>SUM(D27-C27, F27-E27, H27-G27)</f>
        <v/>
      </c>
      <c r="J27" s="28" t="inlineStr">
        <is>
          <t>OT # 177259. Santa Lucia, entre estructura 33829-28 a 33830-31, se encuentra arrancada Fase A de AP Los Encuentros por caída de árbol , se realiza empalme y levantamiento de LMV, corte de vegetación, se normaliza servicio.</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0.7083333333333334</v>
      </c>
      <c r="D31" s="27" t="n">
        <v>0.8958333333333334</v>
      </c>
      <c r="E31" s="26" t="n">
        <v/>
      </c>
      <c r="F31" s="27" t="n">
        <v/>
      </c>
      <c r="G31" s="26" t="n">
        <v/>
      </c>
      <c r="H31" s="27" t="n">
        <v/>
      </c>
      <c r="I31" s="26">
        <f>SUM(D31-C31, F31-E31, H31-G31)</f>
        <v/>
      </c>
      <c r="J31" s="28" t="inlineStr">
        <is>
          <t>OT # 177443. San Pablo, se arregla acometida en conectores de RBV ranuras paralelas sulfatadas del medidor 18-270605. Valle de Chicaña estructura 29600 se encuentra fusible quemado en derivación a Ungumiatza; causa tiempo invernal,se repone tirafusible de 25A K. Chicaña-La Libertad, en estructura 38536, se rehabilita transformador 7176 de 5 KVA; Causa: sobrecarga.</t>
        </is>
      </c>
      <c r="K31">
        <f>SUM((D31-C31)*1.5*24)</f>
        <v/>
      </c>
    </row>
    <row r="32" ht="18.75" customHeight="1">
      <c r="A32" s="20">
        <f>IF(B32&gt;0,PROPER(TEXT(B32,"dddd")),"")</f>
        <v/>
      </c>
      <c r="B32" s="25" t="n">
        <v>46169</v>
      </c>
      <c r="C32" s="26" t="n">
        <v>0.2708333333333333</v>
      </c>
      <c r="D32" s="27" t="n">
        <v>0.3333333333333333</v>
      </c>
      <c r="E32" s="26" t="n">
        <v>0.7083333333333334</v>
      </c>
      <c r="F32" s="27" t="n">
        <v>0.8125</v>
      </c>
      <c r="G32" s="26" t="n">
        <v/>
      </c>
      <c r="H32" s="27" t="n">
        <v/>
      </c>
      <c r="I32" s="26">
        <f>SUM(D32-C32, F32-E32, H32-G32)</f>
        <v/>
      </c>
      <c r="J32" s="28" t="inlineStr">
        <is>
          <t>OT # 177610. Muchime, en reguladores e voltaje en coordinación con Centro de Control, se relazan maniobras en panel de reguladores para modificar parámetros de voltaje y corriente. OT # 177610. La Centza, estructura 185389 se encuentra transformador 19426 de 25 kVA por sobrecarga, se repone tirafusible de 1.3 A-SR. Yantzaza, arreglo de acometida arrancada de medidor: 262265, causa sulfatos por vegetación.</t>
        </is>
      </c>
      <c r="K32">
        <f>SUM((D32-C32)*1.5*24,(F32-E32)*1.5*24)</f>
        <v/>
      </c>
    </row>
    <row r="33" ht="18.75" customHeight="1">
      <c r="A33" s="20">
        <f>IF(B33&gt;0,PROPER(TEXT(B33,"dddd")),"")</f>
        <v/>
      </c>
      <c r="B33" s="21" t="n">
        <v>46170</v>
      </c>
      <c r="C33" s="26" t="n">
        <v>0.2708333333333333</v>
      </c>
      <c r="D33" s="27" t="n">
        <v>0.3333333333333333</v>
      </c>
      <c r="E33" s="26" t="n">
        <v>0.7083333333333334</v>
      </c>
      <c r="F33" s="27" t="n">
        <v>0.75</v>
      </c>
      <c r="G33" s="26" t="n">
        <v/>
      </c>
      <c r="H33" s="27" t="n">
        <v/>
      </c>
      <c r="I33" s="26">
        <f>SUM(D33-C33, F33-E33, H33-G33)</f>
        <v/>
      </c>
      <c r="J33" s="28" t="inlineStr">
        <is>
          <t>OT # 177634. Muchime, en reguladores e voltaje en coordinación con Centro de Control, se relazan maniobras en panel de reguladores para modificar parámetros de voltaje y corriente. OT # 177634. Muchime, en reguladores e voltaje en coordinación con Centro de Control, se relazan maniobras en panel de reguladores para modificar parámetros de voltaje y corriente. Yantzaza, estructura 23032, se rehabilita transformador 19256 de 25 KVA a las 18.00 Causa: sobrecarga</t>
        </is>
      </c>
      <c r="K33">
        <f>SUM((D33-C33)*1.5*24,(F33-E33)*1.5*24)</f>
        <v/>
      </c>
    </row>
    <row r="34" ht="18.75" customHeight="1">
      <c r="A34" s="20">
        <f>IF(B34&gt;0,PROPER(TEXT(B34,"dddd")),"")</f>
        <v/>
      </c>
      <c r="B34" s="25" t="n">
        <v>46171</v>
      </c>
      <c r="C34" s="26" t="n">
        <v>0.7083333333333334</v>
      </c>
      <c r="D34" s="27" t="n">
        <v>0.78125</v>
      </c>
      <c r="E34" s="26" t="n">
        <v/>
      </c>
      <c r="F34" s="27" t="n">
        <v/>
      </c>
      <c r="G34" s="26" t="n">
        <v/>
      </c>
      <c r="H34" s="27" t="n">
        <v/>
      </c>
      <c r="I34" s="26">
        <f>SUM(D34-C34, F34-E34, H34-G34)</f>
        <v/>
      </c>
      <c r="J34" s="28" t="inlineStr">
        <is>
          <t>OT # 177727. Yantzaza, acometida arranada fase Neutro del medidor: 35014, se realiza su respectiva reparación y se normaliza servicio.</t>
        </is>
      </c>
      <c r="K34">
        <f>SUM((D34-C34)*1.5*24)</f>
        <v/>
      </c>
    </row>
    <row r="35" ht="18.75" customHeight="1">
      <c r="A35" s="20">
        <f>IF(B35&gt;0,PROPER(TEXT(B35,"dddd")),"")</f>
        <v/>
      </c>
      <c r="B35" s="25" t="n">
        <v>46172</v>
      </c>
      <c r="C35" s="26" t="n">
        <v>0.4395833333333333</v>
      </c>
      <c r="D35" s="27" t="n">
        <v>0.5416666666666666</v>
      </c>
      <c r="E35" s="26" t="n">
        <v>0.5833333333333334</v>
      </c>
      <c r="F35" s="27" t="n">
        <v>0.6458333333333334</v>
      </c>
      <c r="G35" s="26" t="n">
        <v>0.8465277777777778</v>
      </c>
      <c r="H35" s="27" t="n">
        <v>0.9548611111111112</v>
      </c>
      <c r="I35" s="26">
        <f>SUM(D35-C35, F35-E35, H35-G35)</f>
        <v/>
      </c>
      <c r="J35" s="28" t="inlineStr">
        <is>
          <t>OT # 177815. La Centza,  estructura 33908, se rehabilita transformador 6680 de 10 KVA; Causa: acometida de medidor 1241491 en corto. Yantzaza, por disposición de Centro de Control se adelante trabajos de plan de maniobras según WR 317058161. OT # 177815. Yantzaza, en coordinación con Centro de Control se finaliza Plan de Maniboras.  OT # 177815. Bellavista, acometida arrancada, no hay visibilidad y se dificulta llegar al sitio debido a la complejidad del terreno y por estar en medido de una inverna se planifica al siguiente día.</t>
        </is>
      </c>
      <c r="K35">
        <f>SUM((D35-C35)*2.0*24,(F35-E35)*2.0*24,(H35-G35)*2.0*24)</f>
        <v/>
      </c>
    </row>
    <row r="36" ht="18.75" customHeight="1">
      <c r="A36" s="29">
        <f>IF(B36&gt;0,PROPER(TEXT(B36,"dddd")),"")</f>
        <v/>
      </c>
      <c r="B36" s="21" t="n">
        <v>46173</v>
      </c>
      <c r="C36" s="30" t="n">
        <v>0.4020833333333333</v>
      </c>
      <c r="D36" s="31" t="n">
        <v>0.5381944444444444</v>
      </c>
      <c r="E36" s="30" t="n">
        <v>0.8263888888888888</v>
      </c>
      <c r="F36" s="31" t="n">
        <v>0.9131944444444444</v>
      </c>
      <c r="G36" s="30" t="n">
        <v/>
      </c>
      <c r="H36" s="31" t="n">
        <v/>
      </c>
      <c r="I36" s="30">
        <f>SUM(D36-C36, F36-E36, H36-G36)</f>
        <v/>
      </c>
      <c r="J36" s="32" t="inlineStr">
        <is>
          <t>OT # 177830. “Y” de Chicaña, estructura 272803, se encuentra fusible quemado en derivación a Mutintza Alto, se revisa y encuentra vegetación, se repone tirafusible de 25A- K. Los Hachos, medidor 284990, se encontró fase neutro arrancada por caída de rama sobre la acometida, se corrige y reestablece.  OT # 177830. “Y” de Chicaña, estructura 258861 derivación a Santa Rosa; San Vicente se revisa y encuentra vegetación, se despeja y repone tirafusible de 25A- K se reestablece el servicio. Retorno desde San Vicente hasta Yantzaza.</t>
        </is>
      </c>
      <c r="K36">
        <f>SUM((D36-C36)*2.0*24,(F36-E36)*2.0*24)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8.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CORDOVA JIMENEZ JORGE LUIS</t>
        </is>
      </c>
      <c r="I2" s="7">
        <f>SUM(K6:K36)</f>
        <v/>
      </c>
      <c r="J2" s="8" t="inlineStr">
        <is>
          <t>TOTAL</t>
        </is>
      </c>
    </row>
    <row r="3" ht="18.75" customHeight="1">
      <c r="A3" s="9" t="inlineStr">
        <is>
          <t>Cuadrilla o Agencia:</t>
        </is>
      </c>
      <c r="B3" s="9" t="n"/>
      <c r="C3" s="9" t="n"/>
      <c r="D3" s="9" t="n"/>
      <c r="E3" s="10" t="n"/>
      <c r="F3" s="10" t="n"/>
      <c r="G3" s="10" t="n"/>
      <c r="H3" s="6" t="inlineStr">
        <is>
          <t>Cuadrilla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0.74375</v>
      </c>
      <c r="D9" s="27" t="n">
        <v>0.7854166666666667</v>
      </c>
      <c r="E9" s="26" t="n">
        <v/>
      </c>
      <c r="F9" s="27" t="n">
        <v/>
      </c>
      <c r="G9" s="26" t="n">
        <v/>
      </c>
      <c r="H9" s="27" t="n">
        <v/>
      </c>
      <c r="I9" s="26">
        <f>SUM(D9-C9, F9-E9, H9-G9)</f>
        <v/>
      </c>
      <c r="J9" s="28" t="inlineStr">
        <is>
          <t xml:space="preserve">OT # 176028. Panguintza, Medidor 18518924, se encontró breker de 63 A recalentado, se cambia y reestablece el servicio. </t>
        </is>
      </c>
      <c r="K9">
        <f>SUM((D9-C9)*1.5*24)</f>
        <v/>
      </c>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0.1256944444444444</v>
      </c>
      <c r="D14" s="27" t="n">
        <v>0.1805555555555556</v>
      </c>
      <c r="E14" s="26" t="n">
        <v>0.3791666666666667</v>
      </c>
      <c r="F14" s="27" t="n">
        <v>0.5701388888888889</v>
      </c>
      <c r="G14" s="26" t="n">
        <v>0.6798611111111111</v>
      </c>
      <c r="H14" s="27" t="n">
        <v>0.7673611111111112</v>
      </c>
      <c r="I14" s="26">
        <f>SUM(D14-C14, F14-E14, H14-G14)</f>
        <v/>
      </c>
      <c r="J14" s="28" t="inlineStr">
        <is>
          <t>OT # 176417. Los Encuentros, estructura 276261, se rehabilita transformador 15687 de 25 KVA Causa: Poste impactado por vehículo desconocido, En el mismo sector,  se encontró estructura de 12 C quebrado su base y desplazado unos 80 cm desde su eje, por vehículo desconocido; es necesario su cambio. OT # 176417. San Pedro, Medidor 211289 se arregla neutro de acometida arrancada por caída de rama. La Yona Alto, estructura 29642, se rehabilita transformador 18996, se realiza desbroce de vegetación entre estructura: 92903 a 92902. El Pincho Medidor: 1000426787 ajuste de conexiones y bornera. OT # 176417. La Libertad, Est 279119, se revisa y repone tirafusible de 15A-T; Causa: desconocida.</t>
        </is>
      </c>
      <c r="K14">
        <f>SUM((D14-C14)*2.0*24,(F14-E14)*2.0*24,(H14-G14)*2.0*24)</f>
        <v/>
      </c>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0.7083333333333334</v>
      </c>
      <c r="D16" s="27" t="n">
        <v>0.7930555555555555</v>
      </c>
      <c r="E16" s="26" t="n">
        <v/>
      </c>
      <c r="F16" s="27" t="n">
        <v/>
      </c>
      <c r="G16" s="26" t="n">
        <v/>
      </c>
      <c r="H16" s="27" t="n">
        <v/>
      </c>
      <c r="I16" s="26">
        <f>SUM(D16-C16, F16-E16, H16-G16)</f>
        <v/>
      </c>
      <c r="J16" s="28" t="inlineStr">
        <is>
          <t>OT # 176522. El Oso, Est 290628 se recorre y retira bejuco y vegetación en la estructura 290649,  se recorre hasta la Est 32154 barrio Kunky; se cambia fusible de 6A-T en la estructura 292628.</t>
        </is>
      </c>
      <c r="K16">
        <f>SUM((D16-C16)*1.5*24)</f>
        <v/>
      </c>
    </row>
    <row r="17" ht="18.75" customHeight="1">
      <c r="A17" s="20">
        <f>IF(B17&gt;0,PROPER(TEXT(B17,"dddd")),"")</f>
        <v/>
      </c>
      <c r="B17" s="25" t="n">
        <v>46154</v>
      </c>
      <c r="C17" s="26" t="n">
        <v>0.7659722222222223</v>
      </c>
      <c r="D17" s="27" t="n">
        <v>0.8263888888888888</v>
      </c>
      <c r="E17" s="26" t="n">
        <v/>
      </c>
      <c r="F17" s="27" t="n">
        <v/>
      </c>
      <c r="G17" s="26" t="n">
        <v/>
      </c>
      <c r="H17" s="27" t="n">
        <v/>
      </c>
      <c r="I17" s="26">
        <f>SUM(D17-C17, F17-E17, H17-G17)</f>
        <v/>
      </c>
      <c r="J17" s="28" t="inlineStr">
        <is>
          <t>OT # 176787. Los Encuentros, se revisa RBV, se observa que por trabajos de los señores de la fibras hacen contacto de un conductor, se reconecta el trasformador 15687 en la estructura nueva 285310. Numbayme, por trabajos de desbroce los nativos hacen contacto con la RBV, se rtehbilita el trasformador de 21221 en la Est 32380, queda normal el servicio eléctrico.</t>
        </is>
      </c>
      <c r="K17">
        <f>SUM((D17-C17)*1.5*24)</f>
        <v/>
      </c>
    </row>
    <row r="18" ht="18.75" customHeight="1">
      <c r="A18" s="20">
        <f>IF(B18&gt;0,PROPER(TEXT(B18,"dddd")),"")</f>
        <v/>
      </c>
      <c r="B18" s="21" t="n">
        <v>46155</v>
      </c>
      <c r="C18" s="26" t="n">
        <v>0.7083333333333334</v>
      </c>
      <c r="D18" s="27" t="n">
        <v>0.75</v>
      </c>
      <c r="E18" s="26" t="n">
        <v/>
      </c>
      <c r="F18" s="27" t="n">
        <v/>
      </c>
      <c r="G18" s="26" t="n">
        <v/>
      </c>
      <c r="H18" s="27" t="n">
        <v/>
      </c>
      <c r="I18" s="26">
        <f>SUM(D18-C18, F18-E18, H18-G18)</f>
        <v/>
      </c>
      <c r="J18" s="28" t="inlineStr">
        <is>
          <t>OT # 176649. Chichis, estructura 31879 se rehabilita transformador 26130 de 10 KVA; Causa: RBV arrancada entre estructura: 31878 a 31879.</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0.7083333333333334</v>
      </c>
      <c r="D24" s="27" t="n">
        <v>0.7638888888888888</v>
      </c>
      <c r="E24" s="26" t="n">
        <v/>
      </c>
      <c r="F24" s="27" t="n">
        <v/>
      </c>
      <c r="G24" s="26" t="n">
        <v/>
      </c>
      <c r="H24" s="27" t="n">
        <v/>
      </c>
      <c r="I24" s="26">
        <f>SUM(D24-C24, F24-E24, H24-G24)</f>
        <v/>
      </c>
      <c r="J24" s="28" t="inlineStr">
        <is>
          <t>OT # 177043. Centro de Control solicita recorrido de AP La Saquea, y en estructura; 28717, se encuentra nidos en la fase B y C, se realizar maniobras y despeja potencial falla.</t>
        </is>
      </c>
      <c r="K24">
        <f>SUM((D24-C24)*1.5*24)</f>
        <v/>
      </c>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0.3055555555555556</v>
      </c>
      <c r="D27" s="27" t="n">
        <v>0.3333333333333333</v>
      </c>
      <c r="E27" s="26" t="n">
        <v/>
      </c>
      <c r="F27" s="27" t="n">
        <v/>
      </c>
      <c r="G27" s="26" t="n">
        <v/>
      </c>
      <c r="H27" s="27" t="n">
        <v/>
      </c>
      <c r="I27" s="26">
        <f>SUM(D27-C27, F27-E27, H27-G27)</f>
        <v/>
      </c>
      <c r="J27" s="28" t="inlineStr">
        <is>
          <t>OT # 177259. Santa Lucia, entre estructura 33829-28 a 33830-31, se encuentra arrancada Fase A de AP Los Encuentros por caída de árbol , se realiza empalme y levantamiento de LMV, corte de vegetación, se normaliza servicio.</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0.6583333333333333</v>
      </c>
      <c r="D30" s="27" t="n">
        <v>0.6805555555555556</v>
      </c>
      <c r="E30" s="26" t="n">
        <v>0.7569444444444444</v>
      </c>
      <c r="F30" s="27" t="n">
        <v>0.7993055555555556</v>
      </c>
      <c r="G30" s="26" t="n">
        <v/>
      </c>
      <c r="H30" s="27" t="n">
        <v/>
      </c>
      <c r="I30" s="26">
        <f>SUM(D30-C30, F30-E30, H30-G30)</f>
        <v/>
      </c>
      <c r="J30" s="28" t="inlineStr">
        <is>
          <t>OT # 177714. DIA FESTIVO. “Día del Trabajo”. Barrio Sur, se revisa medidor 1000384818, se revisa RBV no se encuentra novedad alguna, se reconecta el trasformador 19256. OT # 177714. Barrio Norte, se revisa medidor 18-240773, se revisa RBV caja de revisión recalentada, se limpia y se ajusta conexiones en la estructura 273857 queda normal el servicio. Barrio Norte, se revisa medidor 1000360998- 18519622 se revisa RBV caja de revisión se encuentra recalentada se limpia y se ajusta conexiones.</t>
        </is>
      </c>
      <c r="K30">
        <f>SUM((D30-C30)*2.0*24,(F30-E30)*2.0*24)</f>
        <v/>
      </c>
    </row>
    <row r="31" ht="18.75" customHeight="1">
      <c r="A31" s="20">
        <f>IF(B31&gt;0,PROPER(TEXT(B31,"dddd")),"")</f>
        <v/>
      </c>
      <c r="B31" s="25" t="n">
        <v>46168</v>
      </c>
      <c r="C31" s="26" t="n">
        <v>0.7083333333333334</v>
      </c>
      <c r="D31" s="27" t="n">
        <v>0.8958333333333334</v>
      </c>
      <c r="E31" s="26" t="n">
        <v/>
      </c>
      <c r="F31" s="27" t="n">
        <v/>
      </c>
      <c r="G31" s="26" t="n">
        <v/>
      </c>
      <c r="H31" s="27" t="n">
        <v/>
      </c>
      <c r="I31" s="26">
        <f>SUM(D31-C31, F31-E31, H31-G31)</f>
        <v/>
      </c>
      <c r="J31" s="28" t="inlineStr">
        <is>
          <t>OT # 177443. San Pablo, se arregla acometida en conectores de RBV ranuras paralelas sulfatadas del medidor 18-270605. Valle de Chicaña estructura 29600 se encuentra fusible quemado en derivación a Ungumiatza; causa tiempo invernal,se repone tirafusible de 25A K. Chicaña-La Libertad, en estructura 38536, se rehabilita transformador 7176 de 5 KVA; Causa: sobrecarga.</t>
        </is>
      </c>
      <c r="K31">
        <f>SUM((D31-C31)*1.5*24)</f>
        <v/>
      </c>
    </row>
    <row r="32" ht="18.75" customHeight="1">
      <c r="A32" s="20">
        <f>IF(B32&gt;0,PROPER(TEXT(B32,"dddd")),"")</f>
        <v/>
      </c>
      <c r="B32" s="25" t="n">
        <v>46169</v>
      </c>
      <c r="C32" s="26" t="n">
        <v>0.2708333333333333</v>
      </c>
      <c r="D32" s="27" t="n">
        <v>0.3333333333333333</v>
      </c>
      <c r="E32" s="26" t="n">
        <v>0.7083333333333334</v>
      </c>
      <c r="F32" s="27" t="n">
        <v>0.8125</v>
      </c>
      <c r="G32" s="26" t="n">
        <v/>
      </c>
      <c r="H32" s="27" t="n">
        <v/>
      </c>
      <c r="I32" s="26">
        <f>SUM(D32-C32, F32-E32, H32-G32)</f>
        <v/>
      </c>
      <c r="J32" s="28" t="inlineStr">
        <is>
          <t>OT # 177610. Muchime, en reguladores e voltaje en coordinación con Centro de Control, se relazan maniobras en panel de reguladores para modificar parámetros de voltaje y corriente. OT # 177610. La Centza, estructura 185389 se encuentra transformador 19426 de 25 kVA por sobrecarga, se repone tirafusible de 1.3 A-SR. Yantzaza, arreglo de acometida arrancada de medidor: 262265, causa sulfatos por vegetación.</t>
        </is>
      </c>
      <c r="K32">
        <f>SUM((D32-C32)*1.5*24,(F32-E32)*1.5*24)</f>
        <v/>
      </c>
    </row>
    <row r="33" ht="18.75" customHeight="1">
      <c r="A33" s="20">
        <f>IF(B33&gt;0,PROPER(TEXT(B33,"dddd")),"")</f>
        <v/>
      </c>
      <c r="B33" s="21" t="n">
        <v>46170</v>
      </c>
      <c r="C33" s="26" t="n">
        <v>0.2708333333333333</v>
      </c>
      <c r="D33" s="27" t="n">
        <v>0.3333333333333333</v>
      </c>
      <c r="E33" s="26" t="n">
        <v>0.7083333333333334</v>
      </c>
      <c r="F33" s="27" t="n">
        <v>0.75</v>
      </c>
      <c r="G33" s="26" t="n">
        <v/>
      </c>
      <c r="H33" s="27" t="n">
        <v/>
      </c>
      <c r="I33" s="26">
        <f>SUM(D33-C33, F33-E33, H33-G33)</f>
        <v/>
      </c>
      <c r="J33" s="28" t="inlineStr">
        <is>
          <t>OT # 177634. Muchime, en reguladores e voltaje en coordinación con Centro de Control, se relazan maniobras en panel de reguladores para modificar parámetros de voltaje y corriente. OT # 177634. Muchime, en reguladores e voltaje en coordinación con Centro de Control, se relazan maniobras en panel de reguladores para modificar parámetros de voltaje y corriente. Yantzaza, estructura 23032, se rehabilita transformador 19256 de 25 KVA a las 18.00 Causa: sobrecarga</t>
        </is>
      </c>
      <c r="K33">
        <f>SUM((D33-C33)*1.5*24,(F33-E33)*1.5*24)</f>
        <v/>
      </c>
    </row>
    <row r="34" ht="18.75" customHeight="1">
      <c r="A34" s="20">
        <f>IF(B34&gt;0,PROPER(TEXT(B34,"dddd")),"")</f>
        <v/>
      </c>
      <c r="B34" s="25" t="n">
        <v>46171</v>
      </c>
      <c r="C34" s="26" t="n">
        <v>0.7083333333333334</v>
      </c>
      <c r="D34" s="27" t="n">
        <v>0.78125</v>
      </c>
      <c r="E34" s="26" t="n">
        <v/>
      </c>
      <c r="F34" s="27" t="n">
        <v/>
      </c>
      <c r="G34" s="26" t="n">
        <v/>
      </c>
      <c r="H34" s="27" t="n">
        <v/>
      </c>
      <c r="I34" s="26">
        <f>SUM(D34-C34, F34-E34, H34-G34)</f>
        <v/>
      </c>
      <c r="J34" s="28" t="inlineStr">
        <is>
          <t>OT # 177727. Yantzaza, acometida arranada fase Neutro del medidor: 35014, se realiza su respectiva reparación y se normaliza servicio.</t>
        </is>
      </c>
      <c r="K34">
        <f>SUM((D34-C34)*1.5*24)</f>
        <v/>
      </c>
    </row>
    <row r="35" ht="18.75" customHeight="1">
      <c r="A35" s="20">
        <f>IF(B35&gt;0,PROPER(TEXT(B35,"dddd")),"")</f>
        <v/>
      </c>
      <c r="B35" s="25" t="n">
        <v>46172</v>
      </c>
      <c r="C35" s="26" t="n">
        <v>0.4395833333333333</v>
      </c>
      <c r="D35" s="27" t="n">
        <v>0.5416666666666666</v>
      </c>
      <c r="E35" s="26" t="n">
        <v>0.5833333333333334</v>
      </c>
      <c r="F35" s="27" t="n">
        <v>0.6458333333333334</v>
      </c>
      <c r="G35" s="26" t="n">
        <v>0.8465277777777778</v>
      </c>
      <c r="H35" s="27" t="n">
        <v>0.9548611111111112</v>
      </c>
      <c r="I35" s="26">
        <f>SUM(D35-C35, F35-E35, H35-G35)</f>
        <v/>
      </c>
      <c r="J35" s="28" t="inlineStr">
        <is>
          <t>OT # 177815. La Centza,  estructura 33908, se rehabilita transformador 6680 de 10 KVA; Causa: acometida de medidor 1241491 en corto. Yantzaza, por disposición de Centro de Control se adelante trabajos de plan de maniobras según WR 317058161. OT # 177815. Yantzaza, en coordinación con Centro de Control se finaliza Plan de Maniboras.  OT # 177815. Bellavista, acometida arrancada, no hay visibilidad y se dificulta llegar al sitio debido a la complejidad del terreno y por estar en medido de una inverna se planifica al siguiente día.</t>
        </is>
      </c>
      <c r="K35">
        <f>SUM((D35-C35)*2.0*24,(F35-E35)*2.0*24,(H35-G35)*2.0*24)</f>
        <v/>
      </c>
    </row>
    <row r="36" ht="18.75" customHeight="1">
      <c r="A36" s="29">
        <f>IF(B36&gt;0,PROPER(TEXT(B36,"dddd")),"")</f>
        <v/>
      </c>
      <c r="B36" s="21" t="n">
        <v>46173</v>
      </c>
      <c r="C36" s="30" t="n">
        <v>0.4020833333333333</v>
      </c>
      <c r="D36" s="31" t="n">
        <v>0.5381944444444444</v>
      </c>
      <c r="E36" s="30" t="n">
        <v>0.8263888888888888</v>
      </c>
      <c r="F36" s="31" t="n">
        <v>0.9131944444444444</v>
      </c>
      <c r="G36" s="30" t="n">
        <v/>
      </c>
      <c r="H36" s="31" t="n">
        <v/>
      </c>
      <c r="I36" s="30">
        <f>SUM(D36-C36, F36-E36, H36-G36)</f>
        <v/>
      </c>
      <c r="J36" s="32" t="inlineStr">
        <is>
          <t>OT # 177830. “Y” de Chicaña, estructura 272803, se encuentra fusible quemado en derivación a Mutintza Alto, se revisa y encuentra vegetación, se repone tirafusible de 25A- K. Los Hachos, medidor 284990, se encontró fase neutro arrancada por caída de rama sobre la acometida, se corrige y reestablece.  OT # 177830. “Y” de Chicaña, estructura 258861 derivación a Santa Rosa; San Vicente se revisa y encuentra vegetación, se despeja y repone tirafusible de 25A- K se reestablece el servicio. Retorno desde San Vicente hasta Yantzaza.</t>
        </is>
      </c>
      <c r="K36">
        <f>SUM((D36-C36)*2.0*24,(F36-E36)*2.0*24)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19.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OCHOA JARAMILLO ANGEL CLAUDIO</t>
        </is>
      </c>
      <c r="I2" s="7">
        <f>SUM(K6:K36)</f>
        <v/>
      </c>
      <c r="J2" s="8" t="inlineStr">
        <is>
          <t>TOTAL</t>
        </is>
      </c>
    </row>
    <row r="3" ht="18.75" customHeight="1">
      <c r="A3" s="9" t="inlineStr">
        <is>
          <t>Cuadrilla o Agencia:</t>
        </is>
      </c>
      <c r="B3" s="9" t="n"/>
      <c r="C3" s="9" t="n"/>
      <c r="D3" s="9" t="n"/>
      <c r="E3" s="10" t="n"/>
      <c r="F3" s="10" t="n"/>
      <c r="G3" s="10" t="n"/>
      <c r="H3" s="6" t="inlineStr">
        <is>
          <t>Cuadrilla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0.7083333333333334</v>
      </c>
      <c r="D16" s="27" t="n">
        <v>0.7930555555555555</v>
      </c>
      <c r="E16" s="26" t="n">
        <v/>
      </c>
      <c r="F16" s="27" t="n">
        <v/>
      </c>
      <c r="G16" s="26" t="n">
        <v/>
      </c>
      <c r="H16" s="27" t="n">
        <v/>
      </c>
      <c r="I16" s="26">
        <f>SUM(D16-C16, F16-E16, H16-G16)</f>
        <v/>
      </c>
      <c r="J16" s="28" t="inlineStr">
        <is>
          <t>OT # 176522. El Oso, Est 290628 se recorre y retira bejuco y vegetación en la estructura 290649,  se recorre hasta la Est 32154 barrio Kunky; se cambia fusible de 6A-T en la estructura 292628.</t>
        </is>
      </c>
      <c r="K16">
        <f>SUM((D16-C16)*1.5*24)</f>
        <v/>
      </c>
    </row>
    <row r="17" ht="18.75" customHeight="1">
      <c r="A17" s="20">
        <f>IF(B17&gt;0,PROPER(TEXT(B17,"dddd")),"")</f>
        <v/>
      </c>
      <c r="B17" s="25" t="n">
        <v>46154</v>
      </c>
      <c r="C17" s="26" t="n">
        <v>0.7659722222222223</v>
      </c>
      <c r="D17" s="27" t="n">
        <v>0.8263888888888888</v>
      </c>
      <c r="E17" s="26" t="n">
        <v/>
      </c>
      <c r="F17" s="27" t="n">
        <v/>
      </c>
      <c r="G17" s="26" t="n">
        <v/>
      </c>
      <c r="H17" s="27" t="n">
        <v/>
      </c>
      <c r="I17" s="26">
        <f>SUM(D17-C17, F17-E17, H17-G17)</f>
        <v/>
      </c>
      <c r="J17" s="28" t="inlineStr">
        <is>
          <t>OT # 176787. Los Encuentros, se revisa RBV, se observa que por trabajos de los señores de la fibras hacen contacto de un conductor, se reconecta el trasformador 15687 en la estructura nueva 285310. Numbayme, por trabajos de desbroce los nativos hacen contacto con la RBV, se rtehbilita el trasformador de 21221 en la Est 32380, queda normal el servicio eléctrico.</t>
        </is>
      </c>
      <c r="K17">
        <f>SUM((D17-C17)*1.5*24)</f>
        <v/>
      </c>
    </row>
    <row r="18" ht="18.75" customHeight="1">
      <c r="A18" s="20">
        <f>IF(B18&gt;0,PROPER(TEXT(B18,"dddd")),"")</f>
        <v/>
      </c>
      <c r="B18" s="21" t="n">
        <v>46155</v>
      </c>
      <c r="C18" s="26" t="n">
        <v>0.7083333333333334</v>
      </c>
      <c r="D18" s="27" t="n">
        <v>0.75</v>
      </c>
      <c r="E18" s="26" t="n">
        <v>0.9659722222222222</v>
      </c>
      <c r="F18" s="27" t="n">
        <v>0.9993055555555556</v>
      </c>
      <c r="G18" s="26" t="n">
        <v/>
      </c>
      <c r="H18" s="27" t="n">
        <v/>
      </c>
      <c r="I18" s="26">
        <f>SUM(D18-C18, F18-E18, H18-G18)</f>
        <v/>
      </c>
      <c r="J18" s="28" t="inlineStr">
        <is>
          <t xml:space="preserve">OT # 176649. Chichis, estructura 31879 se rehabilita transformador 26130 de 10 KVA; Causa: RBV arrancada entre estructura: 31878 a 31879. OT # 176788. Chimbutza, se cambia tira fusible de 25A-K en la estructura 62399 causado por vegetación, se despeja. </t>
        </is>
      </c>
      <c r="K18">
        <f>SUM((D18-C18)*1.5*24,(F18-E18)*1.5*24)</f>
        <v/>
      </c>
    </row>
    <row r="19" ht="18.75" customHeight="1">
      <c r="A19" s="20">
        <f>IF(B19&gt;0,PROPER(TEXT(B19,"dddd")),"")</f>
        <v/>
      </c>
      <c r="B19" s="25" t="n">
        <v>46156</v>
      </c>
      <c r="C19" s="26" t="n">
        <v>0.7881944444444444</v>
      </c>
      <c r="D19" s="27" t="n">
        <v>0.9173611111111111</v>
      </c>
      <c r="E19" s="26" t="n">
        <v/>
      </c>
      <c r="F19" s="27" t="n">
        <v/>
      </c>
      <c r="G19" s="26" t="n">
        <v/>
      </c>
      <c r="H19" s="27" t="n">
        <v/>
      </c>
      <c r="I19" s="26">
        <f>SUM(D19-C19, F19-E19, H19-G19)</f>
        <v/>
      </c>
      <c r="J19" s="28" t="inlineStr">
        <is>
          <t>OT # 176790. San Andrés, levantamiento del Servicio de Alumbrado Publico, se hace un recorrido en los diferentes barrios: San Andrés, Muchime, Los Encuentros, El Padmi, El Pincho, El Diamante, La Centza, La Delicia.</t>
        </is>
      </c>
      <c r="K19">
        <f>SUM((D19-C19)*1.5*24)</f>
        <v/>
      </c>
    </row>
    <row r="20" ht="18.75" customHeight="1">
      <c r="A20" s="20">
        <f>IF(B20&gt;0,PROPER(TEXT(B20,"dddd")),"")</f>
        <v/>
      </c>
      <c r="B20" s="25" t="n">
        <v>46157</v>
      </c>
      <c r="C20" s="26" t="n">
        <v>0.7527777777777778</v>
      </c>
      <c r="D20" s="27" t="n">
        <v>0.8166666666666667</v>
      </c>
      <c r="E20" s="26" t="n">
        <v/>
      </c>
      <c r="F20" s="27" t="n">
        <v/>
      </c>
      <c r="G20" s="26" t="n">
        <v/>
      </c>
      <c r="H20" s="27" t="n">
        <v/>
      </c>
      <c r="I20" s="26">
        <f>SUM(D20-C20, F20-E20, H20-G20)</f>
        <v/>
      </c>
      <c r="J20" s="28" t="inlineStr">
        <is>
          <t xml:space="preserve">OT # 176896. Barrio Sur, Medidor # 1000384818 se revisa la RBV se rehabilita el trasformador de 25 Kva SICAP 19256 en la estructura 23032; Causa: sobrecarga. Pitá, se revisa medidor 247320 se revisa conexiones y se encuentra daño interno, se aísla. Las Orugas, accidente de transito ha destruido la caja metálica de los medidores 18-213247 y 18-213248 del GAD Yantzaza, se toma fotos y se desconecta el trasformador 25067 ya que las conexiones se encuentras expuestas al publico. </t>
        </is>
      </c>
      <c r="K20">
        <f>SUM((D20-C20)*1.5*24)</f>
        <v/>
      </c>
    </row>
    <row r="21" ht="18.75" customHeight="1">
      <c r="A21" s="20">
        <f>IF(B21&gt;0,PROPER(TEXT(B21,"dddd")),"")</f>
        <v/>
      </c>
      <c r="B21" s="21" t="n">
        <v>46158</v>
      </c>
      <c r="C21" s="26" t="n">
        <v>0.3569444444444445</v>
      </c>
      <c r="D21" s="27" t="n">
        <v>0.4180555555555556</v>
      </c>
      <c r="E21" s="26" t="n">
        <v>0.7666666666666667</v>
      </c>
      <c r="F21" s="27" t="n">
        <v>0.7972222222222223</v>
      </c>
      <c r="G21" s="26" t="n">
        <v/>
      </c>
      <c r="H21" s="27" t="n">
        <v/>
      </c>
      <c r="I21" s="26">
        <f>SUM(D21-C21, F21-E21, H21-G21)</f>
        <v/>
      </c>
      <c r="J21" s="28" t="inlineStr">
        <is>
          <t>OT # 176898. Centro de Maniobras dispone revisar el AP Hospital Yantzaza, se recorre desde la sub estación Yantzaza el alimentador Hospital, en la Est 203586 se encuentra fusible quemado, se recorre hasta el Hospital, se repone tirafusible de 25A-K; Causa: posible descarga atmosférica, se espera que centro de maniobras disponga retirarse, cargas normales, Se retorna a La Agencia. OT # 176898. Chimbutza, medidor 18-230951 se encuentra breaker recalentado, se lo cambia por uno nuevo que el cliente entrega, se ajusta conexiones queda normal el servicio.</t>
        </is>
      </c>
      <c r="K21">
        <f>SUM((D21-C21)*2.0*24,(F21-E21)*2.0*24)</f>
        <v/>
      </c>
    </row>
    <row r="22" ht="18.75" customHeight="1">
      <c r="A22" s="20">
        <f>IF(B22&gt;0,PROPER(TEXT(B22,"dddd")),"")</f>
        <v/>
      </c>
      <c r="B22" s="25" t="n">
        <v>46159</v>
      </c>
      <c r="C22" s="26" t="n">
        <v>0.5805555555555556</v>
      </c>
      <c r="D22" s="27" t="n">
        <v>0.6291666666666667</v>
      </c>
      <c r="E22" s="26" t="n">
        <v/>
      </c>
      <c r="F22" s="27" t="n">
        <v/>
      </c>
      <c r="G22" s="26" t="n">
        <v/>
      </c>
      <c r="H22" s="27" t="n">
        <v/>
      </c>
      <c r="I22" s="26">
        <f>SUM(D22-C22, F22-E22, H22-G22)</f>
        <v/>
      </c>
      <c r="J22" s="28" t="inlineStr">
        <is>
          <t>OT # 177108. La Florida, se recorre LMV, en la estructura 252133 se encuentra una ave, se la retira y se cambia fusible de 12A-T en la estructura 252133.</t>
        </is>
      </c>
      <c r="K22">
        <f>SUM((D22-C22)*2.0*24)</f>
        <v/>
      </c>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0.3055555555555556</v>
      </c>
      <c r="D27" s="27" t="n">
        <v>0.3333333333333333</v>
      </c>
      <c r="E27" s="26" t="n">
        <v/>
      </c>
      <c r="F27" s="27" t="n">
        <v/>
      </c>
      <c r="G27" s="26" t="n">
        <v/>
      </c>
      <c r="H27" s="27" t="n">
        <v/>
      </c>
      <c r="I27" s="26">
        <f>SUM(D27-C27, F27-E27, H27-G27)</f>
        <v/>
      </c>
      <c r="J27" s="28" t="inlineStr">
        <is>
          <t>OT # 177259. Santa Lucia, entre estructura 33829-28 a 33830-31, se encuentra arrancada Fase A de AP Los Encuentros por caída de árbol , se realiza empalme y levantamiento de LMV, corte de vegetación, se normaliza servicio.</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0.6583333333333333</v>
      </c>
      <c r="D30" s="27" t="n">
        <v>0.6805555555555556</v>
      </c>
      <c r="E30" s="26" t="n">
        <v>0.7569444444444444</v>
      </c>
      <c r="F30" s="27" t="n">
        <v>0.7993055555555556</v>
      </c>
      <c r="G30" s="26" t="n">
        <v/>
      </c>
      <c r="H30" s="27" t="n">
        <v/>
      </c>
      <c r="I30" s="26">
        <f>SUM(D30-C30, F30-E30, H30-G30)</f>
        <v/>
      </c>
      <c r="J30" s="28" t="inlineStr">
        <is>
          <t>OT # 177714. DIA FESTIVO. “Día del Trabajo”. Barrio Sur, se revisa medidor 1000384818, se revisa RBV no se encuentra novedad alguna, se reconecta el trasformador 19256. OT # 177714. Barrio Norte, se revisa medidor 18-240773, se revisa RBV caja de revisión recalentada, se limpia y se ajusta conexiones en la estructura 273857 queda normal el servicio. Barrio Norte, se revisa medidor 1000360998- 18519622 se revisa RBV caja de revisión se encuentra recalentada se limpia y se ajusta conexiones.</t>
        </is>
      </c>
      <c r="K30">
        <f>SUM((D30-C30)*2.0*24,(F30-E30)*2.0*24)</f>
        <v/>
      </c>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0.2708333333333333</v>
      </c>
      <c r="D32" s="27" t="n">
        <v>0.3333333333333333</v>
      </c>
      <c r="E32" s="26" t="n">
        <v>0.7083333333333334</v>
      </c>
      <c r="F32" s="27" t="n">
        <v>0.8125</v>
      </c>
      <c r="G32" s="26" t="n">
        <v/>
      </c>
      <c r="H32" s="27" t="n">
        <v/>
      </c>
      <c r="I32" s="26">
        <f>SUM(D32-C32, F32-E32, H32-G32)</f>
        <v/>
      </c>
      <c r="J32" s="28" t="inlineStr">
        <is>
          <t>OT # 177610. Muchime, en reguladores e voltaje en coordinación con Centro de Control, se relazan maniobras en panel de reguladores para modificar parámetros de voltaje y corriente. OT # 177610. La Centza, estructura 185389 se encuentra transformador 19426 de 25 kVA por sobrecarga, se repone tirafusible de 1.3 A-SR. Yantzaza, arreglo de acometida arrancada de medidor: 262265, causa sulfatos por vegetación.</t>
        </is>
      </c>
      <c r="K32">
        <f>SUM((D32-C32)*1.5*24,(F32-E32)*1.5*24)</f>
        <v/>
      </c>
    </row>
    <row r="33" ht="18.75" customHeight="1">
      <c r="A33" s="20">
        <f>IF(B33&gt;0,PROPER(TEXT(B33,"dddd")),"")</f>
        <v/>
      </c>
      <c r="B33" s="21" t="n">
        <v>46170</v>
      </c>
      <c r="C33" s="26" t="n">
        <v>0.2708333333333333</v>
      </c>
      <c r="D33" s="27" t="n">
        <v>0.3333333333333333</v>
      </c>
      <c r="E33" s="26" t="n">
        <v>0.7083333333333334</v>
      </c>
      <c r="F33" s="27" t="n">
        <v>0.75</v>
      </c>
      <c r="G33" s="26" t="n">
        <v/>
      </c>
      <c r="H33" s="27" t="n">
        <v/>
      </c>
      <c r="I33" s="26">
        <f>SUM(D33-C33, F33-E33, H33-G33)</f>
        <v/>
      </c>
      <c r="J33" s="28" t="inlineStr">
        <is>
          <t>OT # 177634. Muchime, en reguladores e voltaje en coordinación con Centro de Control, se relazan maniobras en panel de reguladores para modificar parámetros de voltaje y corriente. OT # 177634. Muchime, en reguladores e voltaje en coordinación con Centro de Control, se relazan maniobras en panel de reguladores para modificar parámetros de voltaje y corriente. Yantzaza, estructura 23032, se rehabilita transformador 19256 de 25 KVA a las 18.00 Causa: sobrecarga</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0.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TORRES MALDONADO GALO DANIEL</t>
        </is>
      </c>
      <c r="I2" s="7">
        <f>SUM(K6:K36)</f>
        <v/>
      </c>
      <c r="J2" s="8" t="inlineStr">
        <is>
          <t>TOTAL</t>
        </is>
      </c>
    </row>
    <row r="3" ht="18.75" customHeight="1">
      <c r="A3" s="9" t="inlineStr">
        <is>
          <t>Cuadrilla o Agencia:</t>
        </is>
      </c>
      <c r="B3" s="9" t="n"/>
      <c r="C3" s="9" t="n"/>
      <c r="D3" s="9" t="n"/>
      <c r="E3" s="10" t="n"/>
      <c r="F3" s="10" t="n"/>
      <c r="G3" s="10" t="n"/>
      <c r="H3" s="6" t="inlineStr">
        <is>
          <t>Cuadrilla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0.2916666666666667</v>
      </c>
      <c r="D6" s="23" t="n">
        <v>0.6041666666666666</v>
      </c>
      <c r="E6" s="22" t="n">
        <v>0.6770833333333334</v>
      </c>
      <c r="F6" s="23" t="n">
        <v>0.84375</v>
      </c>
      <c r="G6" s="22" t="n">
        <v/>
      </c>
      <c r="H6" s="23" t="n">
        <v/>
      </c>
      <c r="I6" s="22">
        <f>SUM(D6-C6, F6-E6, H6-G6)</f>
        <v/>
      </c>
      <c r="J6" s="24" t="inlineStr">
        <is>
          <t>OT # 175879. DIA FESTIVO. “Dia del Trabajo”. Traslado hasta San Antonio del Zarza, se encuentra acometida arrancada del medidor 1299786, se arregla acometida, retorno a Yantzaza. OT # 175879. DIA FESTIVO. “Dia del Trabajo”. Mutintza, Est 30482, se encuentra LBV arrancada, causa de máquinaria desconocida, se empalma, se regula y se tensa. Est Nro. 30482, se rehabilita Trafo # 9916; Además, medidor 231752 se encuentra caído, a causa de la máquina, se fija en columna, y se resetea el breaker del medidor. San Sebastián, se encuentra acometida arrancada del medidor 234327; se empalma, tenza, regula se normaliza.</t>
        </is>
      </c>
      <c r="K6">
        <f>SUM((D6-C6)*2.0*24,(F6-E6)*2.0*24)</f>
        <v/>
      </c>
    </row>
    <row r="7" ht="18.75" customHeight="1">
      <c r="A7" s="20">
        <f>IF(B7&gt;0,PROPER(TEXT(B7,"dddd")),"")</f>
        <v/>
      </c>
      <c r="B7" s="25" t="n">
        <v>46144</v>
      </c>
      <c r="C7" s="26" t="n">
        <v>0.5854166666666667</v>
      </c>
      <c r="D7" s="27" t="n">
        <v>0.7013888888888888</v>
      </c>
      <c r="E7" s="26" t="n">
        <v>0.7486111111111111</v>
      </c>
      <c r="F7" s="27" t="n">
        <v>0.7625</v>
      </c>
      <c r="G7" s="26" t="n">
        <v/>
      </c>
      <c r="H7" s="27" t="n">
        <v/>
      </c>
      <c r="I7" s="26">
        <f>SUM(D7-C7, F7-E7, H7-G7)</f>
        <v/>
      </c>
      <c r="J7" s="28" t="inlineStr">
        <is>
          <t>OT # 175971. Pita Alto, medidor 18-250308, se encuentran breaker y borneras quemadas, se cambia breaker; además, se conecta varilla de puesta a tierra al tablero. Chicaña, en la “Y” de Chicaña, Est 21561-258861, se encuentra fusible quemado en derivación a la Parroquia Chicaña, se recorre la LMV hasta San Vicente; en la Est 280310, se cortan enredaderas, se repone 2 tirafusibles de 25 A-K, se reestablece el servicio. OT # 175971. Centro de Yantzaza, Medidor 1000384818, se ajusta conexiones y resetea breaker, se normaliza el servicio.</t>
        </is>
      </c>
      <c r="K7">
        <f>SUM((D7-C7)*2.0*24,(F7-E7)*2.0*24)</f>
        <v/>
      </c>
    </row>
    <row r="8" ht="18.75" customHeight="1">
      <c r="A8" s="20">
        <f>IF(B8&gt;0,PROPER(TEXT(B8,"dddd")),"")</f>
        <v/>
      </c>
      <c r="B8" s="25" t="n">
        <v>46145</v>
      </c>
      <c r="C8" s="26" t="n">
        <v>0.375</v>
      </c>
      <c r="D8" s="27" t="n">
        <v>0.6145833333333334</v>
      </c>
      <c r="E8" s="26" t="n">
        <v/>
      </c>
      <c r="F8" s="27" t="n">
        <v/>
      </c>
      <c r="G8" s="26" t="n">
        <v/>
      </c>
      <c r="H8" s="27" t="n">
        <v/>
      </c>
      <c r="I8" s="26">
        <f>SUM(D8-C8, F8-E8, H8-G8)</f>
        <v/>
      </c>
      <c r="J8" s="28" t="inlineStr">
        <is>
          <t>OT # 176142. “Y” de Chicaña, Est 258861, se recorre la LMV, se encuentran nidos de aves en la estructura: 281074 y en la estructura: 28077 enredadera, se retiran, se repone tirafusible de 25 A-T, se reestablece el servicio. La Centza, estructura 33909, cable tensor arrancado y estructura inclinado, por máquina desconocida, trabajo en la vía a El Zarza, se repone el tensor; se aploma el estructura 33909; se resetea breaker del Trafo 6680 de 10 kVA.</t>
        </is>
      </c>
      <c r="K8">
        <f>SUM((D8-C8)*2.0*24)</f>
        <v/>
      </c>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0.7083333333333334</v>
      </c>
      <c r="D18" s="27" t="n">
        <v>0.75</v>
      </c>
      <c r="E18" s="26" t="n">
        <v/>
      </c>
      <c r="F18" s="27" t="n">
        <v/>
      </c>
      <c r="G18" s="26" t="n">
        <v/>
      </c>
      <c r="H18" s="27" t="n">
        <v/>
      </c>
      <c r="I18" s="26">
        <f>SUM(D18-C18, F18-E18, H18-G18)</f>
        <v/>
      </c>
      <c r="J18" s="28" t="inlineStr">
        <is>
          <t>OT # 176649. Chichis, estructura 31879 se rehabilita transformador 26130 de 10 KVA; Causa: RBV arrancada entre estructura: 31878 a 31879.</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0.7083333333333334</v>
      </c>
      <c r="D24" s="27" t="n">
        <v>0.7638888888888888</v>
      </c>
      <c r="E24" s="26" t="n">
        <v/>
      </c>
      <c r="F24" s="27" t="n">
        <v/>
      </c>
      <c r="G24" s="26" t="n">
        <v/>
      </c>
      <c r="H24" s="27" t="n">
        <v/>
      </c>
      <c r="I24" s="26">
        <f>SUM(D24-C24, F24-E24, H24-G24)</f>
        <v/>
      </c>
      <c r="J24" s="28" t="inlineStr">
        <is>
          <t>OT # 177043. Centro de Control solicita recorrido de AP La Saquea, y en estructura; 28717, se encuentra nidos en la fase B y C, se realizar maniobras y despeja potencial falla.</t>
        </is>
      </c>
      <c r="K24">
        <f>SUM((D24-C24)*1.5*24)</f>
        <v/>
      </c>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0.3055555555555556</v>
      </c>
      <c r="D27" s="27" t="n">
        <v>0.3333333333333333</v>
      </c>
      <c r="E27" s="26" t="n">
        <v/>
      </c>
      <c r="F27" s="27" t="n">
        <v/>
      </c>
      <c r="G27" s="26" t="n">
        <v/>
      </c>
      <c r="H27" s="27" t="n">
        <v/>
      </c>
      <c r="I27" s="26">
        <f>SUM(D27-C27, F27-E27, H27-G27)</f>
        <v/>
      </c>
      <c r="J27" s="28" t="inlineStr">
        <is>
          <t>OT # 177259. Santa Lucia, entre estructura 33829-28 a 33830-31, se encuentra arrancada Fase A de AP Los Encuentros por caída de árbol , se realiza empalme y levantamiento de LMV, corte de vegetación, se normaliza servicio.</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0.2708333333333333</v>
      </c>
      <c r="D32" s="27" t="n">
        <v>0.3333333333333333</v>
      </c>
      <c r="E32" s="26" t="n">
        <v>0.7083333333333334</v>
      </c>
      <c r="F32" s="27" t="n">
        <v>0.8125</v>
      </c>
      <c r="G32" s="26" t="n">
        <v/>
      </c>
      <c r="H32" s="27" t="n">
        <v/>
      </c>
      <c r="I32" s="26">
        <f>SUM(D32-C32, F32-E32, H32-G32)</f>
        <v/>
      </c>
      <c r="J32" s="28" t="inlineStr">
        <is>
          <t>OT # 177610. Muchime, en reguladores e voltaje en coordinación con Centro de Control, se relazan maniobras en panel de reguladores para modificar parámetros de voltaje y corriente. OT # 177610. La Centza, estructura 185389 se encuentra transformador 19426 de 25 kVA por sobrecarga, se repone tirafusible de 1.3 A-SR. Yantzaza, arreglo de acometida arrancada de medidor: 262265, causa sulfatos por vegetación.</t>
        </is>
      </c>
      <c r="K32">
        <f>SUM((D32-C32)*1.5*24,(F32-E32)*1.5*24)</f>
        <v/>
      </c>
    </row>
    <row r="33" ht="18.75" customHeight="1">
      <c r="A33" s="20">
        <f>IF(B33&gt;0,PROPER(TEXT(B33,"dddd")),"")</f>
        <v/>
      </c>
      <c r="B33" s="21" t="n">
        <v>46170</v>
      </c>
      <c r="C33" s="26" t="n">
        <v>0.2708333333333333</v>
      </c>
      <c r="D33" s="27" t="n">
        <v>0.3333333333333333</v>
      </c>
      <c r="E33" s="26" t="n">
        <v>0.7083333333333334</v>
      </c>
      <c r="F33" s="27" t="n">
        <v>0.75</v>
      </c>
      <c r="G33" s="26" t="n">
        <v/>
      </c>
      <c r="H33" s="27" t="n">
        <v/>
      </c>
      <c r="I33" s="26">
        <f>SUM(D33-C33, F33-E33, H33-G33)</f>
        <v/>
      </c>
      <c r="J33" s="28" t="inlineStr">
        <is>
          <t>OT # 177634. Muchime, en reguladores e voltaje en coordinación con Centro de Control, se relazan maniobras en panel de reguladores para modificar parámetros de voltaje y corriente. OT # 177634. Muchime, en reguladores e voltaje en coordinación con Centro de Control, se relazan maniobras en panel de reguladores para modificar parámetros de voltaje y corriente. Yantzaza, estructura 23032, se rehabilita transformador 19256 de 25 KVA a las 18.00 Causa: sobrecarga</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1.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POMA GUAMAN LUIS ANTONIO</t>
        </is>
      </c>
      <c r="I2" s="7">
        <f>SUM(K6:K36)</f>
        <v/>
      </c>
      <c r="J2" s="8" t="inlineStr">
        <is>
          <t>TOTAL</t>
        </is>
      </c>
    </row>
    <row r="3" ht="18.75" customHeight="1">
      <c r="A3" s="9" t="inlineStr">
        <is>
          <t>Cuadrilla o Agencia:</t>
        </is>
      </c>
      <c r="B3" s="9" t="n"/>
      <c r="C3" s="9" t="n"/>
      <c r="D3" s="9" t="n"/>
      <c r="E3" s="10" t="n"/>
      <c r="F3" s="10" t="n"/>
      <c r="G3" s="10" t="n"/>
      <c r="H3" s="6" t="inlineStr">
        <is>
          <t>Agencia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0.9659722222222222</v>
      </c>
      <c r="D18" s="27" t="n">
        <v>0.9993055555555556</v>
      </c>
      <c r="E18" s="26" t="n">
        <v/>
      </c>
      <c r="F18" s="27" t="n">
        <v/>
      </c>
      <c r="G18" s="26" t="n">
        <v/>
      </c>
      <c r="H18" s="27" t="n">
        <v/>
      </c>
      <c r="I18" s="26">
        <f>SUM(D18-C18, F18-E18, H18-G18)</f>
        <v/>
      </c>
      <c r="J18" s="28" t="inlineStr">
        <is>
          <t xml:space="preserve">OT # 176788. Chimbutza, se cambia tira fusible de 25A-K en la estructura 62399 causado por vegetación, se despeja. </t>
        </is>
      </c>
      <c r="K18">
        <f>SUM((D18-C18)*1.5*24)</f>
        <v/>
      </c>
    </row>
    <row r="19" ht="18.75" customHeight="1">
      <c r="A19" s="20">
        <f>IF(B19&gt;0,PROPER(TEXT(B19,"dddd")),"")</f>
        <v/>
      </c>
      <c r="B19" s="25" t="n">
        <v>46156</v>
      </c>
      <c r="C19" s="26" t="n">
        <v>0.7881944444444444</v>
      </c>
      <c r="D19" s="27" t="n">
        <v>0.9173611111111111</v>
      </c>
      <c r="E19" s="26" t="n">
        <v/>
      </c>
      <c r="F19" s="27" t="n">
        <v/>
      </c>
      <c r="G19" s="26" t="n">
        <v/>
      </c>
      <c r="H19" s="27" t="n">
        <v/>
      </c>
      <c r="I19" s="26">
        <f>SUM(D19-C19, F19-E19, H19-G19)</f>
        <v/>
      </c>
      <c r="J19" s="28" t="inlineStr">
        <is>
          <t>OT # 176790. San Andrés, levantamiento del Servicio de Alumbrado Publico, se hace un recorrido en los diferentes barrios: San Andrés, Muchime, Los Encuentros, El Padmi, El Pincho, El Diamante, La Centza, La Delicia.</t>
        </is>
      </c>
      <c r="K19">
        <f>SUM((D19-C19)*1.5*24)</f>
        <v/>
      </c>
    </row>
    <row r="20" ht="18.75" customHeight="1">
      <c r="A20" s="20">
        <f>IF(B20&gt;0,PROPER(TEXT(B20,"dddd")),"")</f>
        <v/>
      </c>
      <c r="B20" s="25" t="n">
        <v>46157</v>
      </c>
      <c r="C20" s="26" t="n">
        <v>0.7527777777777778</v>
      </c>
      <c r="D20" s="27" t="n">
        <v>0.8166666666666667</v>
      </c>
      <c r="E20" s="26" t="n">
        <v/>
      </c>
      <c r="F20" s="27" t="n">
        <v/>
      </c>
      <c r="G20" s="26" t="n">
        <v/>
      </c>
      <c r="H20" s="27" t="n">
        <v/>
      </c>
      <c r="I20" s="26">
        <f>SUM(D20-C20, F20-E20, H20-G20)</f>
        <v/>
      </c>
      <c r="J20" s="28" t="inlineStr">
        <is>
          <t xml:space="preserve">OT # 176896. Barrio Sur, Medidor # 1000384818 se revisa la RBV se rehabilita el trasformador de 25 Kva SICAP 19256 en la estructura 23032; Causa: sobrecarga. Pitá, se revisa medidor 247320 se revisa conexiones y se encuentra daño interno, se aísla. Las Orugas, accidente de transito ha destruido la caja metálica de los medidores 18-213247 y 18-213248 del GAD Yantzaza, se toma fotos y se desconecta el trasformador 25067 ya que las conexiones se encuentras expuestas al publico. </t>
        </is>
      </c>
      <c r="K20">
        <f>SUM((D20-C20)*1.5*24)</f>
        <v/>
      </c>
    </row>
    <row r="21" ht="18.75" customHeight="1">
      <c r="A21" s="20">
        <f>IF(B21&gt;0,PROPER(TEXT(B21,"dddd")),"")</f>
        <v/>
      </c>
      <c r="B21" s="21" t="n">
        <v>46158</v>
      </c>
      <c r="C21" s="26" t="n">
        <v>0.3569444444444445</v>
      </c>
      <c r="D21" s="27" t="n">
        <v>0.4180555555555556</v>
      </c>
      <c r="E21" s="26" t="n">
        <v>0.7666666666666667</v>
      </c>
      <c r="F21" s="27" t="n">
        <v>0.7972222222222223</v>
      </c>
      <c r="G21" s="26" t="n">
        <v/>
      </c>
      <c r="H21" s="27" t="n">
        <v/>
      </c>
      <c r="I21" s="26">
        <f>SUM(D21-C21, F21-E21, H21-G21)</f>
        <v/>
      </c>
      <c r="J21" s="28" t="inlineStr">
        <is>
          <t>OT # 176898. Centro de Maniobras dispone revisar el AP Hospital Yantzaza, se recorre desde la sub estación Yantzaza el alimentador Hospital, en la Est 203586 se encuentra fusible quemado, se recorre hasta el Hospital, se repone tirafusible de 25A-K; Causa: posible descarga atmosférica, se espera que centro de maniobras disponga retirarse, cargas normales, Se retorna a La Agencia. OT # 176898. Chimbutza, medidor 18-230951 se encuentra breaker recalentado, se lo cambia por uno nuevo que el cliente entrega, se ajusta conexiones queda normal el servicio.</t>
        </is>
      </c>
      <c r="K21">
        <f>SUM((D21-C21)*2.0*24,(F21-E21)*2.0*24)</f>
        <v/>
      </c>
    </row>
    <row r="22" ht="18.75" customHeight="1">
      <c r="A22" s="20">
        <f>IF(B22&gt;0,PROPER(TEXT(B22,"dddd")),"")</f>
        <v/>
      </c>
      <c r="B22" s="25" t="n">
        <v>46159</v>
      </c>
      <c r="C22" s="26" t="n">
        <v>0.5805555555555556</v>
      </c>
      <c r="D22" s="27" t="n">
        <v>0.6291666666666667</v>
      </c>
      <c r="E22" s="26" t="n">
        <v/>
      </c>
      <c r="F22" s="27" t="n">
        <v/>
      </c>
      <c r="G22" s="26" t="n">
        <v/>
      </c>
      <c r="H22" s="27" t="n">
        <v/>
      </c>
      <c r="I22" s="26">
        <f>SUM(D22-C22, F22-E22, H22-G22)</f>
        <v/>
      </c>
      <c r="J22" s="28" t="inlineStr">
        <is>
          <t>OT # 177108. La Florida, se recorre LMV, en la estructura 252133 se encuentra una ave, se la retira y se cambia fusible de 12A-T en la estructura 252133.</t>
        </is>
      </c>
      <c r="K22">
        <f>SUM((D22-C22)*2.0*24)</f>
        <v/>
      </c>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2.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GRUPO LE YANTZAZA</t>
        </is>
      </c>
      <c r="I2" s="7">
        <f>SUM(K6:K36)</f>
        <v/>
      </c>
      <c r="J2" s="8" t="inlineStr">
        <is>
          <t>TOTAL</t>
        </is>
      </c>
    </row>
    <row r="3" ht="18.75" customHeight="1">
      <c r="A3" s="9" t="inlineStr">
        <is>
          <t>Cuadrilla o Agencia:</t>
        </is>
      </c>
      <c r="B3" s="9" t="n"/>
      <c r="C3" s="9" t="n"/>
      <c r="D3" s="9" t="n"/>
      <c r="E3" s="10" t="n"/>
      <c r="F3" s="10" t="n"/>
      <c r="G3" s="10" t="n"/>
      <c r="H3" s="6" t="inlineStr">
        <is>
          <t>Energizados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0.2326388888888889</v>
      </c>
      <c r="D18" s="27" t="n">
        <v>0.375</v>
      </c>
      <c r="E18" s="26" t="n">
        <v>0.7291666666666666</v>
      </c>
      <c r="F18" s="27" t="n">
        <v>0.875</v>
      </c>
      <c r="G18" s="26" t="n">
        <v/>
      </c>
      <c r="H18" s="27" t="n">
        <v/>
      </c>
      <c r="I18" s="26">
        <f>SUM(D18-C18, F18-E18, H18-G18)</f>
        <v/>
      </c>
      <c r="J18" s="28" t="inlineStr">
        <is>
          <t>OT # 176600. Agencia Yantzaza - Subestación Yantzaza - Loja OT # 176600. Loja - Subestación Yantzaza- Agencia Yantzaza.</t>
        </is>
      </c>
      <c r="K18">
        <f>SUM((D18-C18)*2.0*24,(F18-E18)*1.5*24)</f>
        <v/>
      </c>
    </row>
    <row r="19" ht="18.75" customHeight="1">
      <c r="A19" s="20">
        <f>IF(B19&gt;0,PROPER(TEXT(B19,"dddd")),"")</f>
        <v/>
      </c>
      <c r="B19" s="25" t="n">
        <v>46156</v>
      </c>
      <c r="C19" s="26" t="n">
        <v>0.7083333333333334</v>
      </c>
      <c r="D19" s="27" t="n">
        <v>0.8541666666666666</v>
      </c>
      <c r="E19" s="26" t="n">
        <v/>
      </c>
      <c r="F19" s="27" t="n">
        <v/>
      </c>
      <c r="G19" s="26" t="n">
        <v/>
      </c>
      <c r="H19" s="27" t="n">
        <v/>
      </c>
      <c r="I19" s="26">
        <f>SUM(D19-C19, F19-E19, H19-G19)</f>
        <v/>
      </c>
      <c r="J19" s="28" t="inlineStr">
        <is>
          <t>OT # 176717. Gualaquiza: Cambio de estructura chocado estructura 303736 de paso con arranque de derivación trifásica con Lineas Energizadas del Alimentador Bomboiza, Rec Las Peñas.</t>
        </is>
      </c>
      <c r="K19">
        <f>SUM((D19-C19)*1.5*24)</f>
        <v/>
      </c>
    </row>
    <row r="20" ht="18.75" customHeight="1">
      <c r="A20" s="20">
        <f>IF(B20&gt;0,PROPER(TEXT(B20,"dddd")),"")</f>
        <v/>
      </c>
      <c r="B20" s="25" t="n">
        <v>46157</v>
      </c>
      <c r="C20" s="26" t="n">
        <v>0.75</v>
      </c>
      <c r="D20" s="27" t="n">
        <v>0.8923611111111112</v>
      </c>
      <c r="E20" s="26" t="n">
        <v/>
      </c>
      <c r="F20" s="27" t="n">
        <v/>
      </c>
      <c r="G20" s="26" t="n">
        <v/>
      </c>
      <c r="H20" s="27" t="n">
        <v/>
      </c>
      <c r="I20" s="26">
        <f>SUM(D20-C20, F20-E20, H20-G20)</f>
        <v/>
      </c>
      <c r="J20" s="28" t="inlineStr">
        <is>
          <t>OT # 176792. S/E Bomboiza Transelectric se realiza termografía del Reconectador Santiago Paty desde la estructura 235756 hasta el Reconectador La Recta del Pangui. estructura 194833. Luis Agurto y Ramiro Macas. Laboran: CB, CO, CCH, SR de 08:00 a 16:00 LA, RM de 08:00 a16:00 y de 18:00 21:25. Kilometraje canasta 2-146: inicial: 3801 final: 3904</t>
        </is>
      </c>
      <c r="K20">
        <f>SUM((D20-C20)*1.5*24)</f>
        <v/>
      </c>
    </row>
    <row r="21" ht="18.75" customHeight="1">
      <c r="A21" s="20">
        <f>IF(B21&gt;0,PROPER(TEXT(B21,"dddd")),"")</f>
        <v/>
      </c>
      <c r="B21" s="21" t="n">
        <v>46158</v>
      </c>
      <c r="C21" s="26" t="n">
        <v>0.75</v>
      </c>
      <c r="D21" s="27" t="n">
        <v>0.8958333333333334</v>
      </c>
      <c r="E21" s="26" t="n">
        <v/>
      </c>
      <c r="F21" s="27" t="n">
        <v/>
      </c>
      <c r="G21" s="26" t="n">
        <v/>
      </c>
      <c r="H21" s="27" t="n">
        <v/>
      </c>
      <c r="I21" s="26">
        <f>SUM(D21-C21, F21-E21, H21-G21)</f>
        <v/>
      </c>
      <c r="J21" s="28" t="inlineStr">
        <is>
          <t>OT # 160355. Yantzaza - Playas de Cuje (Zumbi) Payas de Cuje.- Se realiza recorrido y levantamiento termográfico en parte del alimentador Yantzaza 3 entre las estructura Nro: 281443-281668 Playas de Cuje a San Pablo San Pablo.- Se realiza levantamiento termográfico en la subestación Yantzaza San Pablo.- Se realiza recorrido y levantamiento termográfico en parte del alimentador Yantzaza 3 entre las estructura Nro:180485 - 281502 San Pablo a Yantzaza Yantzaza-La FLoresta.- Se realiza recorrido y levantamiento termográfico en parte del alimentador Yantzaza 3 entre las estructura Nro:23072 hasta 281476 Personal que labora: CB y JO desde las 18H00 hasta las 21H30</t>
        </is>
      </c>
      <c r="K21">
        <f>SUM((D21-C21)*2.0*24)</f>
        <v/>
      </c>
    </row>
    <row r="22" ht="18.75" customHeight="1">
      <c r="A22" s="20">
        <f>IF(B22&gt;0,PROPER(TEXT(B22,"dddd")),"")</f>
        <v/>
      </c>
      <c r="B22" s="25" t="n">
        <v>46159</v>
      </c>
      <c r="C22" s="26" t="n">
        <v>0.75</v>
      </c>
      <c r="D22" s="27" t="n">
        <v>0.875</v>
      </c>
      <c r="E22" s="26" t="n">
        <v/>
      </c>
      <c r="F22" s="27" t="n">
        <v/>
      </c>
      <c r="G22" s="26" t="n">
        <v/>
      </c>
      <c r="H22" s="27" t="n">
        <v/>
      </c>
      <c r="I22" s="26">
        <f>SUM(D22-C22, F22-E22, H22-G22)</f>
        <v/>
      </c>
      <c r="J22" s="28" t="inlineStr">
        <is>
          <t>OT # 176869. Se elabora OT. Se coordina trabajos con centro de control para monitorear corrientes del Reconectador Amazonas. Centro de Yantzaza se realiza termografía desde el Reconectador Amazonas 232666 hasta Sector de Pita estructura 29092. Avenida Centinela Yantzaza se realiza termografía estructura 204302 hasta la estructura 23693 encontrando algunas novedades para corregir de inmediato en la red de baja tensión ya se pasa el informe. Labora: LA,CO de 18:00 a 21:00. TRABAJOS AUTORIZADOS POR ING. JORGE ZARUMA.</t>
        </is>
      </c>
      <c r="K22">
        <f>SUM((D22-C22)*2.0*24)</f>
        <v/>
      </c>
    </row>
    <row r="23" ht="18.75" customHeight="1">
      <c r="A23" s="20">
        <f>IF(B23&gt;0,PROPER(TEXT(B23,"dddd")),"")</f>
        <v/>
      </c>
      <c r="B23" s="25" t="n">
        <v>46160</v>
      </c>
      <c r="C23" s="26" t="n">
        <v>0.7083333333333334</v>
      </c>
      <c r="D23" s="27" t="n">
        <v>0.8333333333333334</v>
      </c>
      <c r="E23" s="26" t="n">
        <v/>
      </c>
      <c r="F23" s="27" t="n">
        <v/>
      </c>
      <c r="G23" s="26" t="n">
        <v/>
      </c>
      <c r="H23" s="27" t="n">
        <v/>
      </c>
      <c r="I23" s="26">
        <f>SUM(D23-C23, F23-E23, H23-G23)</f>
        <v/>
      </c>
      <c r="J23" s="28" t="inlineStr">
        <is>
          <t>OT # 176930. Zamora: estructura 266265, 27417,70363 se coloca portafusibles, se mide secuencia de fases, se cambia pararrayo en mal estado trabajos autorizados por el Ing Andreo Quezada trabajos se retrasan por lluivia ZAMORA- SUBESTACION YANTZAZA- AGENCIA YANTZAZA. LABORAN: LA, CB, RM, CO, CCH, SR de 08:00 a 20:00. Kilometraje canasta 2-146: Inicial: 3904 final: 3992 Materiales: 1 pararrayo, 1 conector ranura paralela.</t>
        </is>
      </c>
      <c r="K23">
        <f>SUM((D23-C23)*1.5*24)</f>
        <v/>
      </c>
    </row>
    <row r="24" ht="18.75" customHeight="1">
      <c r="A24" s="20">
        <f>IF(B24&gt;0,PROPER(TEXT(B24,"dddd")),"")</f>
        <v/>
      </c>
      <c r="B24" s="21" t="n">
        <v>46161</v>
      </c>
      <c r="C24" s="26" t="n">
        <v>0.7083333333333334</v>
      </c>
      <c r="D24" s="27" t="n">
        <v>0.75</v>
      </c>
      <c r="E24" s="26" t="n">
        <v/>
      </c>
      <c r="F24" s="27" t="n">
        <v/>
      </c>
      <c r="G24" s="26" t="n">
        <v/>
      </c>
      <c r="H24" s="27" t="n">
        <v/>
      </c>
      <c r="I24" s="26">
        <f>SUM(D24-C24, F24-E24, H24-G24)</f>
        <v/>
      </c>
      <c r="J24" s="28" t="inlineStr">
        <is>
          <t>OT # 177013. El Pangui - Gualaquiza. Laboran: LA, CB, RM, CO, CCH, SR de 08:00 a 18:00 TODOS PERNOTAMOS EN GUALAQUIZA. MATERIALES: 3 PARARRAYOS. Kilometraje canasta 2-146: Inicial: 3992 final: 4084</t>
        </is>
      </c>
      <c r="K24">
        <f>SUM((D24-C24)*1.5*24)</f>
        <v/>
      </c>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0.2708333333333333</v>
      </c>
      <c r="D32" s="27" t="n">
        <v>0.3333333333333333</v>
      </c>
      <c r="E32" s="26" t="n">
        <v/>
      </c>
      <c r="F32" s="27" t="n">
        <v/>
      </c>
      <c r="G32" s="26" t="n">
        <v/>
      </c>
      <c r="H32" s="27" t="n">
        <v/>
      </c>
      <c r="I32" s="26">
        <f>SUM(D32-C32, F32-E32, H32-G32)</f>
        <v/>
      </c>
      <c r="J32" s="28" t="inlineStr">
        <is>
          <t>OT # 177526. Se elabora OT. Se coordina trabajos con el jefe inmediato, se carga herramientas y equipos. Subestación Yantzaza: Se coordina trabajos con centro de control y se realiza maniobras, se instala puesta tierra seccionadores tripolares salida al Pangui.</t>
        </is>
      </c>
      <c r="K32">
        <f>SUM((D32-C32)*1.5*24)</f>
        <v/>
      </c>
    </row>
    <row r="33" ht="18.75" customHeight="1">
      <c r="A33" s="20">
        <f>IF(B33&gt;0,PROPER(TEXT(B33,"dddd")),"")</f>
        <v/>
      </c>
      <c r="B33" s="21" t="n">
        <v>46170</v>
      </c>
      <c r="C33" s="26" t="n">
        <v>0.2916666666666667</v>
      </c>
      <c r="D33" s="27" t="n">
        <v>0.3333333333333333</v>
      </c>
      <c r="E33" s="26" t="n">
        <v/>
      </c>
      <c r="F33" s="27" t="n">
        <v/>
      </c>
      <c r="G33" s="26" t="n">
        <v/>
      </c>
      <c r="H33" s="27" t="n">
        <v/>
      </c>
      <c r="I33" s="26">
        <f>SUM(D33-C33, F33-E33, H33-G33)</f>
        <v/>
      </c>
      <c r="J33" s="28" t="inlineStr">
        <is>
          <t>OT # 177611. Subestación Yantzaza: Se coordina trabajos con centro de control, se realiza maniobras se coloca puesta tierra de la salida la Linea 69KV a la Sub El Pangui.</t>
        </is>
      </c>
      <c r="K33">
        <f>SUM((D33-C33)*1.5*24)</f>
        <v/>
      </c>
    </row>
    <row r="34" ht="18.75" customHeight="1">
      <c r="A34" s="20">
        <f>IF(B34&gt;0,PROPER(TEXT(B34,"dddd")),"")</f>
        <v/>
      </c>
      <c r="B34" s="25" t="n">
        <v>46171</v>
      </c>
      <c r="C34" s="26" t="n">
        <v>0.7083333333333334</v>
      </c>
      <c r="D34" s="27" t="n">
        <v>0.8125</v>
      </c>
      <c r="E34" s="26" t="n">
        <v/>
      </c>
      <c r="F34" s="27" t="n">
        <v/>
      </c>
      <c r="G34" s="26" t="n">
        <v/>
      </c>
      <c r="H34" s="27" t="n">
        <v/>
      </c>
      <c r="I34" s="26">
        <f>SUM(D34-C34, F34-E34, H34-G34)</f>
        <v/>
      </c>
      <c r="J34" s="28" t="inlineStr">
        <is>
          <t>OT # 177706. Guayshimi: Se coordina con centro de control se realiza maniobras y se retira linea provisional estructura 094010 - 232646 y calibra fusible en la estructura 32993. Guayshimi - S/E Yantzaza - Agencia Yantzaza. Laboramos: LA, CB, RM, CO,CCH, SR de 08:00 a 19:30. Kilometraje canasta 2-146: inicial: 4564 final: 4694 Materiales: 2 seccionadores fusible tipo barra, 1 cruceta de 1.20m, 2 polímeros de 27KV, 2 varillas de retencion 2, 2 pernos pin punta de estructura, 2 aisladores de pin 56-1,1 perno ojo de 5/8 x 12. 5 conectores ranura paralela, 2 ganchos guardacabos con horquilla, 10 metros de cable 2.</t>
        </is>
      </c>
      <c r="K34">
        <f>SUM((D34-C34)*1.5*24)</f>
        <v/>
      </c>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3.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AMARI ORDONEZ JUNIOR IVAN</t>
        </is>
      </c>
      <c r="I2" s="7">
        <f>SUM(K6:K36)</f>
        <v/>
      </c>
      <c r="J2" s="8" t="inlineStr">
        <is>
          <t>TOTAL</t>
        </is>
      </c>
    </row>
    <row r="3" ht="18.75" customHeight="1">
      <c r="A3" s="9" t="inlineStr">
        <is>
          <t>Cuadrilla o Agencia:</t>
        </is>
      </c>
      <c r="B3" s="9" t="n"/>
      <c r="C3" s="9" t="n"/>
      <c r="D3" s="9" t="n"/>
      <c r="E3" s="10" t="n"/>
      <c r="F3" s="10" t="n"/>
      <c r="G3" s="10" t="n"/>
      <c r="H3" s="6" t="inlineStr">
        <is>
          <t>Cuadrilla Paquisha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0.3395833333333333</v>
      </c>
      <c r="D7" s="27" t="n">
        <v>0.5104166666666666</v>
      </c>
      <c r="E7" s="26" t="n">
        <v/>
      </c>
      <c r="F7" s="27" t="n">
        <v/>
      </c>
      <c r="G7" s="26" t="n">
        <v/>
      </c>
      <c r="H7" s="27" t="n">
        <v/>
      </c>
      <c r="I7" s="26">
        <f>SUM(D7-C7, F7-E7, H7-G7)</f>
        <v/>
      </c>
      <c r="J7" s="28" t="inlineStr">
        <is>
          <t>OT # 175898. La Pangui, Est 245647 se revisa la LMV no se encuentra ninguna novedad, se cambia tirafusible de 25 A-T. San Javier de Guayzimi, Est 214085, se revisa la LMV no se encuentra ninguna novedad, se cambia tirafusible de 6 A-T.</t>
        </is>
      </c>
      <c r="K7">
        <f>SUM((D7-C7)*2.0*24)</f>
        <v/>
      </c>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0.7083333333333334</v>
      </c>
      <c r="D12" s="27" t="n">
        <v>0.75</v>
      </c>
      <c r="E12" s="26" t="n">
        <v/>
      </c>
      <c r="F12" s="27" t="n">
        <v/>
      </c>
      <c r="G12" s="26" t="n">
        <v/>
      </c>
      <c r="H12" s="27" t="n">
        <v/>
      </c>
      <c r="I12" s="44">
        <f>SUM(D12-C12, F12-E12, H12-G12)</f>
        <v/>
      </c>
      <c r="J12" s="28" t="inlineStr">
        <is>
          <t>OT # 176236. En Conguime Alto, Est 239034 Trafo 22663 de 15KVA bloqueado se revisa y se encuentra la bajante suelta, se vuelve a conectar las bajantes y se ajustan todas las Conexiones.</t>
        </is>
      </c>
      <c r="K12">
        <f>SUM((D12-C12)*1.5*24)</f>
        <v/>
      </c>
    </row>
    <row r="13" ht="18.75" customHeight="1">
      <c r="A13" s="20">
        <f>IF(B13&gt;0,PROPER(TEXT(B13,"dddd")),"")</f>
        <v/>
      </c>
      <c r="B13" s="25" t="n">
        <v>46150</v>
      </c>
      <c r="C13" s="26" t="n">
        <v>0.7083333333333334</v>
      </c>
      <c r="D13" s="27" t="n">
        <v>0.7743055555555556</v>
      </c>
      <c r="E13" s="26" t="n">
        <v/>
      </c>
      <c r="F13" s="27" t="n">
        <v/>
      </c>
      <c r="G13" s="26" t="n">
        <v/>
      </c>
      <c r="H13" s="27" t="n">
        <v/>
      </c>
      <c r="I13" s="22">
        <f>SUM(D13-C13, F13-E13, H13-G13)</f>
        <v/>
      </c>
      <c r="J13" s="28" t="inlineStr">
        <is>
          <t>OT # 176325. Y del Dorado, estructura 215113 se cambia tirafusible de 1,3 A-SR del Trafo 24247 de 50KVA.</t>
        </is>
      </c>
      <c r="K13">
        <f>SUM((D13-C13)*1.5*24)</f>
        <v/>
      </c>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0.2916666666666667</v>
      </c>
      <c r="D18" s="27" t="n">
        <v>0.3333333333333333</v>
      </c>
      <c r="E18" s="26" t="n">
        <v/>
      </c>
      <c r="F18" s="27" t="n">
        <v/>
      </c>
      <c r="G18" s="26" t="n">
        <v/>
      </c>
      <c r="H18" s="27" t="n">
        <v/>
      </c>
      <c r="I18" s="26">
        <f>SUM(D18-C18, F18-E18, H18-G18)</f>
        <v/>
      </c>
      <c r="J18" s="28" t="inlineStr">
        <is>
          <t>OT # 176632. Conguime Alto, en la estructura 34701 se encuentra el tirafusible quemado se recorre a pie, en la estructura 63129 se repone tirafusible de 6A-K</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0.7083333333333334</v>
      </c>
      <c r="D20" s="27" t="n">
        <v>0.75</v>
      </c>
      <c r="E20" s="26" t="n">
        <v/>
      </c>
      <c r="F20" s="27" t="n">
        <v/>
      </c>
      <c r="G20" s="26" t="n">
        <v/>
      </c>
      <c r="H20" s="27" t="n">
        <v/>
      </c>
      <c r="I20" s="26">
        <f>SUM(D20-C20, F20-E20, H20-G20)</f>
        <v/>
      </c>
      <c r="J20" s="28" t="inlineStr">
        <is>
          <t>OT # 176816. Sector La Cascada, en la estructura 31725 se encuentra las acometidas de los medid 259071 y 250674 arrancadas se arreglan las acometidas, se empalman, regulan y tensan las acometidas quedando normal. Retorno a Paquisha</t>
        </is>
      </c>
      <c r="K20">
        <f>SUM((D20-C20)*1.5*24)</f>
        <v/>
      </c>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0.4090277777777778</v>
      </c>
      <c r="D22" s="27" t="n">
        <v>0.4520833333333333</v>
      </c>
      <c r="E22" s="26" t="n">
        <v/>
      </c>
      <c r="F22" s="27" t="n">
        <v/>
      </c>
      <c r="G22" s="26" t="n">
        <v/>
      </c>
      <c r="H22" s="27" t="n">
        <v/>
      </c>
      <c r="I22" s="26">
        <f>SUM(D22-C22, F22-E22, H22-G22)</f>
        <v/>
      </c>
      <c r="J22" s="28" t="inlineStr">
        <is>
          <t>OT # 176900. Paquisha, calle Pio Jaramillo y Martha Roldós, en la Est 266236 se encuentra tirafusible quemado del Trafo 21465 de 10KVA, se revisa y se encuentra ave sobre el pararrayos, se despeja la falla y se cambia tirafusible de 0.4A-SR.</t>
        </is>
      </c>
      <c r="K22">
        <f>SUM((D22-C22)*2.0*24)</f>
        <v/>
      </c>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0.7083333333333334</v>
      </c>
      <c r="D25" s="27" t="n">
        <v>0.7916666666666666</v>
      </c>
      <c r="E25" s="26" t="n">
        <v/>
      </c>
      <c r="F25" s="27" t="n">
        <v/>
      </c>
      <c r="G25" s="26" t="n">
        <v/>
      </c>
      <c r="H25" s="27" t="n">
        <v/>
      </c>
      <c r="I25" s="26">
        <f>SUM(D25-C25, F25-E25, H25-G25)</f>
        <v/>
      </c>
      <c r="J25" s="28" t="inlineStr">
        <is>
          <t xml:space="preserve">OT # 177141. Nuevo Quito, se revisa el Medidor 18-215545 y se encuentra la caja del Medidor suelta de la columna se deja colocando nuevamente y se ajustan las conexiones. El Placer, se revisa el Medidor 18-226837 y se encuentra la acometida en cortocircuito. </t>
        </is>
      </c>
      <c r="K25">
        <f>SUM((D25-C25)*1.5*24)</f>
        <v/>
      </c>
    </row>
    <row r="26" ht="18.75" customHeight="1">
      <c r="A26" s="20">
        <f>IF(B26&gt;0,PROPER(TEXT(B26,"dddd")),"")</f>
        <v/>
      </c>
      <c r="B26" s="25" t="n">
        <v>46163</v>
      </c>
      <c r="C26" s="26" t="n">
        <v>0.25</v>
      </c>
      <c r="D26" s="27" t="n">
        <v>0.3333333333333333</v>
      </c>
      <c r="E26" s="26" t="n">
        <v>0.7083333333333334</v>
      </c>
      <c r="F26" s="27" t="n">
        <v>0.7916666666666666</v>
      </c>
      <c r="G26" s="26" t="n">
        <v/>
      </c>
      <c r="H26" s="27" t="n">
        <v/>
      </c>
      <c r="I26" s="26">
        <f>SUM(D26-C26, F26-E26, H26-G26)</f>
        <v/>
      </c>
      <c r="J26" s="28" t="inlineStr">
        <is>
          <t>OT # 177184. Guayzimi, en la estructura 33062 se encuentra el reconectador monofásico abierto, se colabora a Cuadrilla de Guayzimi y se realiza maniobras para energizar una parte de esta LMV. OT # 177184. Guayzimi, en la estructura 33062 se encuentra el reconectador monofásico abierto, se colabora a Cuadrilla de Guayzimi y se realiza maniobras para energizar una parte de esta LMV.</t>
        </is>
      </c>
      <c r="K26">
        <f>SUM((D26-C26)*1.5*24,(F26-E26)*1.5*24)</f>
        <v/>
      </c>
    </row>
    <row r="27" ht="18.75" customHeight="1">
      <c r="A27" s="20">
        <f>IF(B27&gt;0,PROPER(TEXT(B27,"dddd")),"")</f>
        <v/>
      </c>
      <c r="B27" s="21" t="n">
        <v>46164</v>
      </c>
      <c r="C27" s="26" t="n">
        <v>0.2916666666666667</v>
      </c>
      <c r="D27" s="27" t="n">
        <v>0.3333333333333333</v>
      </c>
      <c r="E27" s="26" t="n">
        <v>0.7083333333333334</v>
      </c>
      <c r="F27" s="27" t="n">
        <v>0.75</v>
      </c>
      <c r="G27" s="26" t="n">
        <v/>
      </c>
      <c r="H27" s="27" t="n">
        <v/>
      </c>
      <c r="I27" s="26">
        <f>SUM(D27-C27, F27-E27, H27-G27)</f>
        <v/>
      </c>
      <c r="J27" s="28" t="inlineStr">
        <is>
          <t>OT # 177362. Sumak Yaku, se colabora a la cuadrilla de Guayzimi, se recorre la LMV derivación al Alto Nangaritza se recorre hasta Héroes del Cóndor no se encuentra ninguna novedad, queda normal el servicio eléctrico OT # 177362. El Placer, en la estructura 32451 se encuentra la acometida del Medidor 18-226837 en mal estado se cambia 80mts de acometida, se empalma y regula quedando normal el servicio.</t>
        </is>
      </c>
      <c r="K27">
        <f>SUM((D27-C27)*1.5*24,(F27-E27)*1.5*24)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0.7083333333333334</v>
      </c>
      <c r="D32" s="27" t="n">
        <v>0.75</v>
      </c>
      <c r="E32" s="26" t="n">
        <v/>
      </c>
      <c r="F32" s="27" t="n">
        <v/>
      </c>
      <c r="G32" s="26" t="n">
        <v/>
      </c>
      <c r="H32" s="27" t="n">
        <v/>
      </c>
      <c r="I32" s="26">
        <f>SUM(D32-C32, F32-E32, H32-G32)</f>
        <v/>
      </c>
      <c r="J32" s="28" t="inlineStr">
        <is>
          <t>OT # 177549. Yantzaza, se coordina trabajos y ejecuta trabajos planificados en la L/S/T 69 kV</t>
        </is>
      </c>
      <c r="K32">
        <f>SUM((D32-C32)*1.5*24)</f>
        <v/>
      </c>
    </row>
    <row r="33" ht="18.75" customHeight="1">
      <c r="A33" s="20">
        <f>IF(B33&gt;0,PROPER(TEXT(B33,"dddd")),"")</f>
        <v/>
      </c>
      <c r="B33" s="21" t="n">
        <v>46170</v>
      </c>
      <c r="C33" s="26" t="n">
        <v>0.7083333333333334</v>
      </c>
      <c r="D33" s="27" t="n">
        <v>0.75</v>
      </c>
      <c r="E33" s="26" t="n">
        <v/>
      </c>
      <c r="F33" s="27" t="n">
        <v/>
      </c>
      <c r="G33" s="26" t="n">
        <v/>
      </c>
      <c r="H33" s="27" t="n">
        <v/>
      </c>
      <c r="I33" s="26">
        <f>SUM(D33-C33, F33-E33, H33-G33)</f>
        <v/>
      </c>
      <c r="J33" s="28" t="inlineStr">
        <is>
          <t>OT # 177644. Yantzaza, se coordina trabajos y ejecuta trabajos planificados en la L/S/T 69 kV</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0.3125</v>
      </c>
      <c r="D36" s="31" t="n">
        <v>0.3958333333333333</v>
      </c>
      <c r="E36" s="30" t="n">
        <v/>
      </c>
      <c r="F36" s="31" t="n">
        <v/>
      </c>
      <c r="G36" s="30" t="n">
        <v/>
      </c>
      <c r="H36" s="31" t="n">
        <v/>
      </c>
      <c r="I36" s="30">
        <f>SUM(D36-C36, F36-E36, H36-G36)</f>
        <v/>
      </c>
      <c r="J36" s="32" t="inlineStr">
        <is>
          <t>OT # 177829. Bellavista, Cascada Velo de Ninfa, estructura 31734 se encuentra la acometida dúplex arrancada por vegetación, se despeja y se empalma.</t>
        </is>
      </c>
      <c r="K36">
        <f>SUM((D36-C36)*2.0*24)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SAMANIEGO INIGUEZ MAURO CRISTOBAL</t>
        </is>
      </c>
      <c r="I2" s="7">
        <f>SUM(K6:K36)</f>
        <v/>
      </c>
      <c r="J2" s="8" t="inlineStr">
        <is>
          <t>TOTAL</t>
        </is>
      </c>
    </row>
    <row r="3" ht="18.75" customHeight="1">
      <c r="A3" s="9" t="inlineStr">
        <is>
          <t>Cuadrilla o Agencia:</t>
        </is>
      </c>
      <c r="B3" s="9" t="n"/>
      <c r="C3" s="9" t="n"/>
      <c r="D3" s="9" t="n"/>
      <c r="E3" s="10" t="n"/>
      <c r="F3" s="10" t="n"/>
      <c r="G3" s="10" t="n"/>
      <c r="H3" s="6" t="inlineStr">
        <is>
          <t>Cuadrilla Paquisha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0.3395833333333333</v>
      </c>
      <c r="D7" s="27" t="n">
        <v>0.5104166666666666</v>
      </c>
      <c r="E7" s="26" t="n">
        <v/>
      </c>
      <c r="F7" s="27" t="n">
        <v/>
      </c>
      <c r="G7" s="26" t="n">
        <v/>
      </c>
      <c r="H7" s="27" t="n">
        <v/>
      </c>
      <c r="I7" s="26">
        <f>SUM(D7-C7, F7-E7, H7-G7)</f>
        <v/>
      </c>
      <c r="J7" s="28" t="inlineStr">
        <is>
          <t>OT # 175898. La Pangui, Est 245647 se revisa la LMV no se encuentra ninguna novedad, se cambia tirafusible de 25 A-T. San Javier de Guayzimi, Est 214085, se revisa la LMV no se encuentra ninguna novedad, se cambia tirafusible de 6 A-T.</t>
        </is>
      </c>
      <c r="K7">
        <f>SUM((D7-C7)*2.0*24)</f>
        <v/>
      </c>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0.7083333333333334</v>
      </c>
      <c r="D12" s="27" t="n">
        <v>0.75</v>
      </c>
      <c r="E12" s="26" t="n">
        <v/>
      </c>
      <c r="F12" s="27" t="n">
        <v/>
      </c>
      <c r="G12" s="26" t="n">
        <v/>
      </c>
      <c r="H12" s="27" t="n">
        <v/>
      </c>
      <c r="I12" s="44">
        <f>SUM(D12-C12, F12-E12, H12-G12)</f>
        <v/>
      </c>
      <c r="J12" s="28" t="inlineStr">
        <is>
          <t>OT # 176236. En Conguime Alto, Est 239034 Trafo 22663 de 15KVA bloqueado se revisa y se encuentra la bajante suelta, se vuelve a conectar las bajantes y se ajustan todas las Conexiones.</t>
        </is>
      </c>
      <c r="K12">
        <f>SUM((D12-C12)*1.5*24)</f>
        <v/>
      </c>
    </row>
    <row r="13" ht="18.75" customHeight="1">
      <c r="A13" s="20">
        <f>IF(B13&gt;0,PROPER(TEXT(B13,"dddd")),"")</f>
        <v/>
      </c>
      <c r="B13" s="25" t="n">
        <v>46150</v>
      </c>
      <c r="C13" s="26" t="n">
        <v>0.7083333333333334</v>
      </c>
      <c r="D13" s="27" t="n">
        <v>0.7743055555555556</v>
      </c>
      <c r="E13" s="26" t="n">
        <v/>
      </c>
      <c r="F13" s="27" t="n">
        <v/>
      </c>
      <c r="G13" s="26" t="n">
        <v/>
      </c>
      <c r="H13" s="27" t="n">
        <v/>
      </c>
      <c r="I13" s="22">
        <f>SUM(D13-C13, F13-E13, H13-G13)</f>
        <v/>
      </c>
      <c r="J13" s="28" t="inlineStr">
        <is>
          <t>OT # 176325. Y del Dorado, estructura 215113 se cambia tirafusible de 1,3 A-SR del Trafo 24247 de 50KVA.</t>
        </is>
      </c>
      <c r="K13">
        <f>SUM((D13-C13)*1.5*24)</f>
        <v/>
      </c>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0.25</v>
      </c>
      <c r="D17" s="27" t="n">
        <v>0.3333333333333333</v>
      </c>
      <c r="E17" s="26" t="n">
        <v>0.7083333333333334</v>
      </c>
      <c r="F17" s="27" t="n">
        <v>0.7645833333333333</v>
      </c>
      <c r="G17" s="26" t="n">
        <v/>
      </c>
      <c r="H17" s="27" t="n">
        <v/>
      </c>
      <c r="I17" s="26">
        <f>SUM(D17-C17, F17-E17, H17-G17)</f>
        <v/>
      </c>
      <c r="J17" s="28" t="inlineStr">
        <is>
          <t>OT # 176525. Traslado desde Paquisha hasta el Alto Nangaritza para brindar apoyo a la cuadrilla de Guayzimi en tala de árboles en proyeccion a la LMV.  OT # 176571. Soldado Rivera Alto, postes: 127604, 127605 se arregla RBV arrancada por vegetación, se empalma y se tensa, traslado de Soldado Rivera hasta El Pangui</t>
        </is>
      </c>
      <c r="K17">
        <f>SUM((D17-C17)*1.5*24,(F17-E17)*1.5*24)</f>
        <v/>
      </c>
    </row>
    <row r="18" ht="18.75" customHeight="1">
      <c r="A18" s="20">
        <f>IF(B18&gt;0,PROPER(TEXT(B18,"dddd")),"")</f>
        <v/>
      </c>
      <c r="B18" s="21" t="n">
        <v>46155</v>
      </c>
      <c r="C18" s="26" t="n">
        <v>0.2916666666666667</v>
      </c>
      <c r="D18" s="27" t="n">
        <v>0.3333333333333333</v>
      </c>
      <c r="E18" s="26" t="n">
        <v/>
      </c>
      <c r="F18" s="27" t="n">
        <v/>
      </c>
      <c r="G18" s="26" t="n">
        <v/>
      </c>
      <c r="H18" s="27" t="n">
        <v/>
      </c>
      <c r="I18" s="26">
        <f>SUM(D18-C18, F18-E18, H18-G18)</f>
        <v/>
      </c>
      <c r="J18" s="28" t="inlineStr">
        <is>
          <t>OT # 176632. Conguime Alto, en la estructura 34701 se encuentra el tirafusible quemado se recorre a pie, en la estructura 63129 se repone tirafusible de 6A-K</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0.7083333333333334</v>
      </c>
      <c r="D20" s="27" t="n">
        <v>0.75</v>
      </c>
      <c r="E20" s="26" t="n">
        <v/>
      </c>
      <c r="F20" s="27" t="n">
        <v/>
      </c>
      <c r="G20" s="26" t="n">
        <v/>
      </c>
      <c r="H20" s="27" t="n">
        <v/>
      </c>
      <c r="I20" s="26">
        <f>SUM(D20-C20, F20-E20, H20-G20)</f>
        <v/>
      </c>
      <c r="J20" s="28" t="inlineStr">
        <is>
          <t>OT # 176816. Sector La Cascada, en la estructura 31725 se encuentra las acometidas de los medid 259071 y 250674 arrancadas se arreglan las acometidas, se empalman, regulan y tensan las acometidas quedando normal. Retorno a Paquisha</t>
        </is>
      </c>
      <c r="K20">
        <f>SUM((D20-C20)*1.5*24)</f>
        <v/>
      </c>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0.4090277777777778</v>
      </c>
      <c r="D22" s="27" t="n">
        <v>0.4520833333333333</v>
      </c>
      <c r="E22" s="26" t="n">
        <v/>
      </c>
      <c r="F22" s="27" t="n">
        <v/>
      </c>
      <c r="G22" s="26" t="n">
        <v/>
      </c>
      <c r="H22" s="27" t="n">
        <v/>
      </c>
      <c r="I22" s="26">
        <f>SUM(D22-C22, F22-E22, H22-G22)</f>
        <v/>
      </c>
      <c r="J22" s="28" t="inlineStr">
        <is>
          <t>OT # 176900. Paquisha, calle Pio Jaramillo y Martha Roldós, en la Est 266236 se encuentra tirafusible quemado del Trafo 21465 de 10KVA, se revisa y se encuentra ave sobre el pararrayos, se despeja la falla y se cambia tirafusible de 0.4A-SR.</t>
        </is>
      </c>
      <c r="K22">
        <f>SUM((D22-C22)*2.0*24)</f>
        <v/>
      </c>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0.7083333333333334</v>
      </c>
      <c r="D25" s="27" t="n">
        <v>0.7916666666666666</v>
      </c>
      <c r="E25" s="26" t="n">
        <v/>
      </c>
      <c r="F25" s="27" t="n">
        <v/>
      </c>
      <c r="G25" s="26" t="n">
        <v/>
      </c>
      <c r="H25" s="27" t="n">
        <v/>
      </c>
      <c r="I25" s="26">
        <f>SUM(D25-C25, F25-E25, H25-G25)</f>
        <v/>
      </c>
      <c r="J25" s="28" t="inlineStr">
        <is>
          <t xml:space="preserve">OT # 177141. Nuevo Quito, se revisa el Medidor 18-215545 y se encuentra la caja del Medidor suelta de la columna se deja colocando nuevamente y se ajustan las conexiones. El Placer, se revisa el Medidor 18-226837 y se encuentra la acometida en cortocircuito. </t>
        </is>
      </c>
      <c r="K25">
        <f>SUM((D25-C25)*1.5*24)</f>
        <v/>
      </c>
    </row>
    <row r="26" ht="18.75" customHeight="1">
      <c r="A26" s="20">
        <f>IF(B26&gt;0,PROPER(TEXT(B26,"dddd")),"")</f>
        <v/>
      </c>
      <c r="B26" s="25" t="n">
        <v>46163</v>
      </c>
      <c r="C26" s="26" t="n">
        <v>0.25</v>
      </c>
      <c r="D26" s="27" t="n">
        <v>0.3333333333333333</v>
      </c>
      <c r="E26" s="26" t="n">
        <v>0.7083333333333334</v>
      </c>
      <c r="F26" s="27" t="n">
        <v>0.7916666666666666</v>
      </c>
      <c r="G26" s="26" t="n">
        <v/>
      </c>
      <c r="H26" s="27" t="n">
        <v/>
      </c>
      <c r="I26" s="26">
        <f>SUM(D26-C26, F26-E26, H26-G26)</f>
        <v/>
      </c>
      <c r="J26" s="28" t="inlineStr">
        <is>
          <t>OT # 177184. Guayzimi, en la estructura 33062 se encuentra el reconectador monofásico abierto, se colabora a Cuadrilla de Guayzimi y se realiza maniobras para energizar una parte de esta LMV. OT # 177184. Guayzimi, en la estructura 33062 se encuentra el reconectador monofásico abierto, se colabora a Cuadrilla de Guayzimi y se realiza maniobras para energizar una parte de esta LMV.</t>
        </is>
      </c>
      <c r="K26">
        <f>SUM((D26-C26)*1.5*24,(F26-E26)*1.5*24)</f>
        <v/>
      </c>
    </row>
    <row r="27" ht="18.75" customHeight="1">
      <c r="A27" s="20">
        <f>IF(B27&gt;0,PROPER(TEXT(B27,"dddd")),"")</f>
        <v/>
      </c>
      <c r="B27" s="21" t="n">
        <v>46164</v>
      </c>
      <c r="C27" s="26" t="n">
        <v>0.2916666666666667</v>
      </c>
      <c r="D27" s="27" t="n">
        <v>0.3333333333333333</v>
      </c>
      <c r="E27" s="26" t="n">
        <v>0.7083333333333334</v>
      </c>
      <c r="F27" s="27" t="n">
        <v>0.75</v>
      </c>
      <c r="G27" s="26" t="n">
        <v/>
      </c>
      <c r="H27" s="27" t="n">
        <v/>
      </c>
      <c r="I27" s="26">
        <f>SUM(D27-C27, F27-E27, H27-G27)</f>
        <v/>
      </c>
      <c r="J27" s="28" t="inlineStr">
        <is>
          <t>OT # 177362. Sumak Yaku, se colabora a la cuadrilla de Guayzimi, se recorre la LMV derivación al Alto Nangaritza se recorre hasta Héroes del Cóndor no se encuentra ninguna novedad, queda normal el servicio eléctrico OT # 177362. El Placer, en la estructura 32451 se encuentra la acometida del Medidor 18-226837 en mal estado se cambia 80mts de acometida, se empalma y regula quedando normal el servicio.</t>
        </is>
      </c>
      <c r="K27">
        <f>SUM((D27-C27)*1.5*24,(F27-E27)*1.5*24)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0.7083333333333334</v>
      </c>
      <c r="D32" s="27" t="n">
        <v>0.75</v>
      </c>
      <c r="E32" s="26" t="n">
        <v>0.8173611111111111</v>
      </c>
      <c r="F32" s="27" t="n">
        <v>0.8819444444444444</v>
      </c>
      <c r="G32" s="26" t="n">
        <v/>
      </c>
      <c r="H32" s="27" t="n">
        <v/>
      </c>
      <c r="I32" s="26">
        <f>SUM(D32-C32, F32-E32, H32-G32)</f>
        <v/>
      </c>
      <c r="J32" s="28" t="inlineStr">
        <is>
          <t>OT # 177549. Yantzaza, se coordina trabajos y ejecuta trabajos planificados en la L/S/T 69 kV OT # 177621. Mayaicu, se realiza limpieza de rama entre las estructura 33674 y 33711, se cambia fusible de 1.3 A tipo SR en la estructura 33674 para el transformador 26353.</t>
        </is>
      </c>
      <c r="K32">
        <f>SUM((D32-C32)*1.5*24,(F32-E32)*1.5*24)</f>
        <v/>
      </c>
    </row>
    <row r="33" ht="18.75" customHeight="1">
      <c r="A33" s="20">
        <f>IF(B33&gt;0,PROPER(TEXT(B33,"dddd")),"")</f>
        <v/>
      </c>
      <c r="B33" s="21" t="n">
        <v>46170</v>
      </c>
      <c r="C33" s="26" t="n">
        <v>0.7083333333333334</v>
      </c>
      <c r="D33" s="27" t="n">
        <v>0.75</v>
      </c>
      <c r="E33" s="26" t="n">
        <v/>
      </c>
      <c r="F33" s="27" t="n">
        <v/>
      </c>
      <c r="G33" s="26" t="n">
        <v/>
      </c>
      <c r="H33" s="27" t="n">
        <v/>
      </c>
      <c r="I33" s="26">
        <f>SUM(D33-C33, F33-E33, H33-G33)</f>
        <v/>
      </c>
      <c r="J33" s="28" t="inlineStr">
        <is>
          <t>OT # 177644. Yantzaza, se coordina trabajos y ejecuta trabajos planificados en la L/S/T 69 kV</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0.3125</v>
      </c>
      <c r="D36" s="31" t="n">
        <v>0.3958333333333333</v>
      </c>
      <c r="E36" s="30" t="n">
        <v/>
      </c>
      <c r="F36" s="31" t="n">
        <v/>
      </c>
      <c r="G36" s="30" t="n">
        <v/>
      </c>
      <c r="H36" s="31" t="n">
        <v/>
      </c>
      <c r="I36" s="30">
        <f>SUM(D36-C36, F36-E36, H36-G36)</f>
        <v/>
      </c>
      <c r="J36" s="32" t="inlineStr">
        <is>
          <t>OT # 177829. Bellavista, Cascada Velo de Ninfa, estructura 31734 se encuentra la acometida dúplex arrancada por vegetación, se despeja y se empalma.</t>
        </is>
      </c>
      <c r="K36">
        <f>SUM((D36-C36)*2.0*24)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GRANDA MORALES DANIEL ALEJANDRO</t>
        </is>
      </c>
      <c r="I2" s="7">
        <f>SUM(K6:K36)</f>
        <v/>
      </c>
      <c r="J2" s="8" t="inlineStr">
        <is>
          <t>TOTAL</t>
        </is>
      </c>
    </row>
    <row r="3" ht="18.75" customHeight="1">
      <c r="A3" s="9" t="inlineStr">
        <is>
          <t>Cuadrilla o Agencia:</t>
        </is>
      </c>
      <c r="B3" s="9" t="n"/>
      <c r="C3" s="9" t="n"/>
      <c r="D3" s="9" t="n"/>
      <c r="E3" s="10" t="n"/>
      <c r="F3" s="10" t="n"/>
      <c r="G3" s="10" t="n"/>
      <c r="H3" s="6" t="inlineStr">
        <is>
          <t>Cuadrilla Paquisha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0.7083333333333334</v>
      </c>
      <c r="D12" s="27" t="n">
        <v>0.75</v>
      </c>
      <c r="E12" s="26" t="n">
        <v/>
      </c>
      <c r="F12" s="27" t="n">
        <v/>
      </c>
      <c r="G12" s="26" t="n">
        <v/>
      </c>
      <c r="H12" s="27" t="n">
        <v/>
      </c>
      <c r="I12" s="44">
        <f>SUM(D12-C12, F12-E12, H12-G12)</f>
        <v/>
      </c>
      <c r="J12" s="28" t="inlineStr">
        <is>
          <t>OT # 176236. En Conguime Alto, Est 239034 Trafo 22663 de 15KVA bloqueado se revisa y se encuentra la bajante suelta, se vuelve a conectar las bajantes y se ajustan todas las Conexiones.</t>
        </is>
      </c>
      <c r="K12">
        <f>SUM((D12-C12)*1.5*24)</f>
        <v/>
      </c>
    </row>
    <row r="13" ht="18.75" customHeight="1">
      <c r="A13" s="20">
        <f>IF(B13&gt;0,PROPER(TEXT(B13,"dddd")),"")</f>
        <v/>
      </c>
      <c r="B13" s="25" t="n">
        <v>46150</v>
      </c>
      <c r="C13" s="26" t="n">
        <v>0.7083333333333334</v>
      </c>
      <c r="D13" s="27" t="n">
        <v>0.7743055555555556</v>
      </c>
      <c r="E13" s="26" t="n">
        <v/>
      </c>
      <c r="F13" s="27" t="n">
        <v/>
      </c>
      <c r="G13" s="26" t="n">
        <v/>
      </c>
      <c r="H13" s="27" t="n">
        <v/>
      </c>
      <c r="I13" s="22">
        <f>SUM(D13-C13, F13-E13, H13-G13)</f>
        <v/>
      </c>
      <c r="J13" s="28" t="inlineStr">
        <is>
          <t>OT # 176325. Y del Dorado, estructura 215113 se cambia tirafusible de 1,3 A-SR del Trafo 24247 de 50KVA.</t>
        </is>
      </c>
      <c r="K13">
        <f>SUM((D13-C13)*1.5*24)</f>
        <v/>
      </c>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0.6861111111111111</v>
      </c>
      <c r="D15" s="27" t="n">
        <v>0.7708333333333334</v>
      </c>
      <c r="E15" s="26" t="n">
        <v/>
      </c>
      <c r="F15" s="27" t="n">
        <v/>
      </c>
      <c r="G15" s="26" t="n">
        <v/>
      </c>
      <c r="H15" s="27" t="n">
        <v/>
      </c>
      <c r="I15" s="26">
        <f>SUM(D15-C15, F15-E15, H15-G15)</f>
        <v/>
      </c>
      <c r="J15" s="28" t="inlineStr">
        <is>
          <t>OT # 176425. San José, estructura 40649, se rehabilita transformador 14234; Causa: acometida en cortocircuito, se cambia 3m de triplex y se conecta.</t>
        </is>
      </c>
      <c r="K15">
        <f>SUM((D15-C15)*2.0*24)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0.25</v>
      </c>
      <c r="D17" s="27" t="n">
        <v>0.3333333333333333</v>
      </c>
      <c r="E17" s="26" t="n">
        <v/>
      </c>
      <c r="F17" s="27" t="n">
        <v/>
      </c>
      <c r="G17" s="26" t="n">
        <v/>
      </c>
      <c r="H17" s="27" t="n">
        <v/>
      </c>
      <c r="I17" s="26">
        <f>SUM(D17-C17, F17-E17, H17-G17)</f>
        <v/>
      </c>
      <c r="J17" s="28" t="inlineStr">
        <is>
          <t xml:space="preserve">OT # 176525. Traslado desde Paquisha hasta el Alto Nangaritza para brindar apoyo a la cuadrilla de Guayzimi en tala de árboles en proyeccion a la LMV. </t>
        </is>
      </c>
      <c r="K17">
        <f>SUM((D17-C17)*1.5*24)</f>
        <v/>
      </c>
    </row>
    <row r="18" ht="18.75" customHeight="1">
      <c r="A18" s="20">
        <f>IF(B18&gt;0,PROPER(TEXT(B18,"dddd")),"")</f>
        <v/>
      </c>
      <c r="B18" s="21" t="n">
        <v>46155</v>
      </c>
      <c r="C18" s="26" t="n">
        <v>0.2916666666666667</v>
      </c>
      <c r="D18" s="27" t="n">
        <v>0.3333333333333333</v>
      </c>
      <c r="E18" s="26" t="n">
        <v/>
      </c>
      <c r="F18" s="27" t="n">
        <v/>
      </c>
      <c r="G18" s="26" t="n">
        <v/>
      </c>
      <c r="H18" s="27" t="n">
        <v/>
      </c>
      <c r="I18" s="26">
        <f>SUM(D18-C18, F18-E18, H18-G18)</f>
        <v/>
      </c>
      <c r="J18" s="28" t="inlineStr">
        <is>
          <t>OT # 176632. Conguime Alto, en la estructura 34701 se encuentra el tirafusible quemado se recorre a pie, en la estructura 63129 se repone tirafusible de 6A-K</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0.7083333333333334</v>
      </c>
      <c r="D25" s="27" t="n">
        <v>0.7916666666666666</v>
      </c>
      <c r="E25" s="26" t="n">
        <v/>
      </c>
      <c r="F25" s="27" t="n">
        <v/>
      </c>
      <c r="G25" s="26" t="n">
        <v/>
      </c>
      <c r="H25" s="27" t="n">
        <v/>
      </c>
      <c r="I25" s="26">
        <f>SUM(D25-C25, F25-E25, H25-G25)</f>
        <v/>
      </c>
      <c r="J25" s="28" t="inlineStr">
        <is>
          <t xml:space="preserve">OT # 177141. Nuevo Quito, se revisa el Medidor 18-215545 y se encuentra la caja del Medidor suelta de la columna se deja colocando nuevamente y se ajustan las conexiones. El Placer, se revisa el Medidor 18-226837 y se encuentra la acometida en cortocircuito. </t>
        </is>
      </c>
      <c r="K25">
        <f>SUM((D25-C25)*1.5*24)</f>
        <v/>
      </c>
    </row>
    <row r="26" ht="18.75" customHeight="1">
      <c r="A26" s="20">
        <f>IF(B26&gt;0,PROPER(TEXT(B26,"dddd")),"")</f>
        <v/>
      </c>
      <c r="B26" s="25" t="n">
        <v>46163</v>
      </c>
      <c r="C26" s="26" t="n">
        <v>0.25</v>
      </c>
      <c r="D26" s="27" t="n">
        <v>0.3333333333333333</v>
      </c>
      <c r="E26" s="26" t="n">
        <v>0.7083333333333334</v>
      </c>
      <c r="F26" s="27" t="n">
        <v>0.7916666666666666</v>
      </c>
      <c r="G26" s="26" t="n">
        <v/>
      </c>
      <c r="H26" s="27" t="n">
        <v/>
      </c>
      <c r="I26" s="26">
        <f>SUM(D26-C26, F26-E26, H26-G26)</f>
        <v/>
      </c>
      <c r="J26" s="28" t="inlineStr">
        <is>
          <t>OT # 177184. Guayzimi, en la estructura 33062 se encuentra el reconectador monofásico abierto, se colabora a Cuadrilla de Guayzimi y se realiza maniobras para energizar una parte de esta LMV. OT # 177184. Guayzimi, en la estructura 33062 se encuentra el reconectador monofásico abierto, se colabora a Cuadrilla de Guayzimi y se realiza maniobras para energizar una parte de esta LMV.</t>
        </is>
      </c>
      <c r="K26">
        <f>SUM((D26-C26)*1.5*24,(F26-E26)*1.5*24)</f>
        <v/>
      </c>
    </row>
    <row r="27" ht="18.75" customHeight="1">
      <c r="A27" s="20">
        <f>IF(B27&gt;0,PROPER(TEXT(B27,"dddd")),"")</f>
        <v/>
      </c>
      <c r="B27" s="21" t="n">
        <v>46164</v>
      </c>
      <c r="C27" s="26" t="n">
        <v>0.2916666666666667</v>
      </c>
      <c r="D27" s="27" t="n">
        <v>0.3333333333333333</v>
      </c>
      <c r="E27" s="26" t="n">
        <v>0.7083333333333334</v>
      </c>
      <c r="F27" s="27" t="n">
        <v>0.75</v>
      </c>
      <c r="G27" s="26" t="n">
        <v/>
      </c>
      <c r="H27" s="27" t="n">
        <v/>
      </c>
      <c r="I27" s="26">
        <f>SUM(D27-C27, F27-E27, H27-G27)</f>
        <v/>
      </c>
      <c r="J27" s="28" t="inlineStr">
        <is>
          <t>OT # 177362. Sumak Yaku, se colabora a la cuadrilla de Guayzimi, se recorre la LMV derivación al Alto Nangaritza se recorre hasta Héroes del Cóndor no se encuentra ninguna novedad, queda normal el servicio eléctrico OT # 177362. El Placer, en la estructura 32451 se encuentra la acometida del Medidor 18-226837 en mal estado se cambia 80mts de acometida, se empalma y regula quedando normal el servicio.</t>
        </is>
      </c>
      <c r="K27">
        <f>SUM((D27-C27)*1.5*24,(F27-E27)*1.5*24)</f>
        <v/>
      </c>
    </row>
    <row r="28" ht="18.75" customHeight="1">
      <c r="A28" s="20">
        <f>IF(B28&gt;0,PROPER(TEXT(B28,"dddd")),"")</f>
        <v/>
      </c>
      <c r="B28" s="25" t="n">
        <v>46165</v>
      </c>
      <c r="C28" s="26" t="n">
        <v>0.56875</v>
      </c>
      <c r="D28" s="27" t="n">
        <v>0.7506944444444444</v>
      </c>
      <c r="E28" s="26" t="n">
        <v/>
      </c>
      <c r="F28" s="27" t="n">
        <v/>
      </c>
      <c r="G28" s="26" t="n">
        <v/>
      </c>
      <c r="H28" s="27" t="n">
        <v/>
      </c>
      <c r="I28" s="26">
        <f>SUM(D28-C28, F28-E28, H28-G28)</f>
        <v/>
      </c>
      <c r="J28" s="28" t="inlineStr">
        <is>
          <t>OT # 177324. Bellavista, estructura 31700, se rehabilita transformador 12639 Causa: desconocida. San Javier, estructura 21414, se rehabilita transformador 22386 Causa: desconocida. Zurmi, se realiza el cambio y empalme de nueva acometida para el medidor# 1000370298 se empalma 20 m de triplex y se conecta en la red</t>
        </is>
      </c>
      <c r="K28">
        <f>SUM((D28-C28)*2.0*24)</f>
        <v/>
      </c>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0.8</v>
      </c>
      <c r="D30" s="27" t="n">
        <v>0.8423611111111111</v>
      </c>
      <c r="E30" s="26" t="n">
        <v/>
      </c>
      <c r="F30" s="27" t="n">
        <v/>
      </c>
      <c r="G30" s="26" t="n">
        <v/>
      </c>
      <c r="H30" s="27" t="n">
        <v/>
      </c>
      <c r="I30" s="26">
        <f>SUM(D30-C30, F30-E30, H30-G30)</f>
        <v/>
      </c>
      <c r="J30" s="28" t="inlineStr">
        <is>
          <t>OT # 177619. DÍA FESTIVO. “Batalla de Pichincha”, Natenza, estructura 32864, se encuentra fusible quemado en derivación a San Antonio de Natenza, se revisa y encuentra sin novedad. Se repone tirafusible de 6 A-T se reestablece el servicio.</t>
        </is>
      </c>
      <c r="K30">
        <f>SUM((D30-C30)*2.0*24)</f>
        <v/>
      </c>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0.7083333333333334</v>
      </c>
      <c r="D32" s="27" t="n">
        <v>0.75</v>
      </c>
      <c r="E32" s="26" t="n">
        <v>0.8173611111111111</v>
      </c>
      <c r="F32" s="27" t="n">
        <v>0.8819444444444444</v>
      </c>
      <c r="G32" s="26" t="n">
        <v/>
      </c>
      <c r="H32" s="27" t="n">
        <v/>
      </c>
      <c r="I32" s="26">
        <f>SUM(D32-C32, F32-E32, H32-G32)</f>
        <v/>
      </c>
      <c r="J32" s="28" t="inlineStr">
        <is>
          <t>OT # 177549. Yantzaza, se coordina trabajos y ejecuta trabajos planificados en la L/S/T 69 kV OT # 177621. Mayaicu, se realiza limpieza de rama entre las estructura 33674 y 33711, se cambia fusible de 1.3 A tipo SR en la estructura 33674 para el transformador 26353.</t>
        </is>
      </c>
      <c r="K32">
        <f>SUM((D32-C32)*1.5*24,(F32-E32)*1.5*24)</f>
        <v/>
      </c>
    </row>
    <row r="33" ht="18.75" customHeight="1">
      <c r="A33" s="20">
        <f>IF(B33&gt;0,PROPER(TEXT(B33,"dddd")),"")</f>
        <v/>
      </c>
      <c r="B33" s="21" t="n">
        <v>46170</v>
      </c>
      <c r="C33" s="26" t="n">
        <v>0.7083333333333334</v>
      </c>
      <c r="D33" s="27" t="n">
        <v>0.75</v>
      </c>
      <c r="E33" s="26" t="n">
        <v/>
      </c>
      <c r="F33" s="27" t="n">
        <v/>
      </c>
      <c r="G33" s="26" t="n">
        <v/>
      </c>
      <c r="H33" s="27" t="n">
        <v/>
      </c>
      <c r="I33" s="26">
        <f>SUM(D33-C33, F33-E33, H33-G33)</f>
        <v/>
      </c>
      <c r="J33" s="28" t="inlineStr">
        <is>
          <t>OT # 177644. Yantzaza, se coordina trabajos y ejecuta trabajos planificados en la L/S/T 69 kV</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6.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JARAMILLO PINTA JORGE JOVANNY</t>
        </is>
      </c>
      <c r="I2" s="7">
        <f>SUM(K6:K36)</f>
        <v/>
      </c>
      <c r="J2" s="8" t="inlineStr">
        <is>
          <t>TOTAL</t>
        </is>
      </c>
    </row>
    <row r="3" ht="18.75" customHeight="1">
      <c r="A3" s="9" t="inlineStr">
        <is>
          <t>Cuadrilla o Agencia:</t>
        </is>
      </c>
      <c r="B3" s="9" t="n"/>
      <c r="C3" s="9" t="n"/>
      <c r="D3" s="9" t="n"/>
      <c r="E3" s="10" t="n"/>
      <c r="F3" s="10" t="n"/>
      <c r="G3" s="10" t="n"/>
      <c r="H3" s="6" t="inlineStr">
        <is>
          <t>Cuadrilla Paquisha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0.7083333333333334</v>
      </c>
      <c r="D12" s="27" t="n">
        <v>0.75</v>
      </c>
      <c r="E12" s="26" t="n">
        <v/>
      </c>
      <c r="F12" s="27" t="n">
        <v/>
      </c>
      <c r="G12" s="26" t="n">
        <v/>
      </c>
      <c r="H12" s="27" t="n">
        <v/>
      </c>
      <c r="I12" s="44">
        <f>SUM(D12-C12, F12-E12, H12-G12)</f>
        <v/>
      </c>
      <c r="J12" s="28" t="inlineStr">
        <is>
          <t>OT # 176236. En Conguime Alto, Est 239034 Trafo 22663 de 15KVA bloqueado se revisa y se encuentra la bajante suelta, se vuelve a conectar las bajantes y se ajustan todas las Conexiones.</t>
        </is>
      </c>
      <c r="K12">
        <f>SUM((D12-C12)*1.5*24)</f>
        <v/>
      </c>
    </row>
    <row r="13" ht="18.75" customHeight="1">
      <c r="A13" s="20">
        <f>IF(B13&gt;0,PROPER(TEXT(B13,"dddd")),"")</f>
        <v/>
      </c>
      <c r="B13" s="25" t="n">
        <v>46150</v>
      </c>
      <c r="C13" s="26" t="n">
        <v>0.7083333333333334</v>
      </c>
      <c r="D13" s="27" t="n">
        <v>0.7743055555555556</v>
      </c>
      <c r="E13" s="26" t="n">
        <v/>
      </c>
      <c r="F13" s="27" t="n">
        <v/>
      </c>
      <c r="G13" s="26" t="n">
        <v/>
      </c>
      <c r="H13" s="27" t="n">
        <v/>
      </c>
      <c r="I13" s="22">
        <f>SUM(D13-C13, F13-E13, H13-G13)</f>
        <v/>
      </c>
      <c r="J13" s="28" t="inlineStr">
        <is>
          <t>OT # 176325. Y del Dorado, estructura 215113 se cambia tirafusible de 1,3 A-SR del Trafo 24247 de 50KVA.</t>
        </is>
      </c>
      <c r="K13">
        <f>SUM((D13-C13)*1.5*24)</f>
        <v/>
      </c>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0.6861111111111111</v>
      </c>
      <c r="D15" s="27" t="n">
        <v>0.7708333333333334</v>
      </c>
      <c r="E15" s="26" t="n">
        <v/>
      </c>
      <c r="F15" s="27" t="n">
        <v/>
      </c>
      <c r="G15" s="26" t="n">
        <v/>
      </c>
      <c r="H15" s="27" t="n">
        <v/>
      </c>
      <c r="I15" s="26">
        <f>SUM(D15-C15, F15-E15, H15-G15)</f>
        <v/>
      </c>
      <c r="J15" s="28" t="inlineStr">
        <is>
          <t>OT # 176425. San José, estructura 40649, se rehabilita transformador 14234; Causa: acometida en cortocircuito, se cambia 3m de triplex y se conecta.</t>
        </is>
      </c>
      <c r="K15">
        <f>SUM((D15-C15)*2.0*24)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0.25</v>
      </c>
      <c r="D17" s="27" t="n">
        <v>0.3333333333333333</v>
      </c>
      <c r="E17" s="26" t="n">
        <v/>
      </c>
      <c r="F17" s="27" t="n">
        <v/>
      </c>
      <c r="G17" s="26" t="n">
        <v/>
      </c>
      <c r="H17" s="27" t="n">
        <v/>
      </c>
      <c r="I17" s="26">
        <f>SUM(D17-C17, F17-E17, H17-G17)</f>
        <v/>
      </c>
      <c r="J17" s="28" t="inlineStr">
        <is>
          <t xml:space="preserve">OT # 176525. Traslado desde Paquisha hasta el Alto Nangaritza para brindar apoyo a la cuadrilla de Guayzimi en tala de árboles en proyeccion a la LMV. </t>
        </is>
      </c>
      <c r="K17">
        <f>SUM((D17-C17)*1.5*24)</f>
        <v/>
      </c>
    </row>
    <row r="18" ht="18.75" customHeight="1">
      <c r="A18" s="20">
        <f>IF(B18&gt;0,PROPER(TEXT(B18,"dddd")),"")</f>
        <v/>
      </c>
      <c r="B18" s="21" t="n">
        <v>46155</v>
      </c>
      <c r="C18" s="26" t="n">
        <v>0.2916666666666667</v>
      </c>
      <c r="D18" s="27" t="n">
        <v>0.3333333333333333</v>
      </c>
      <c r="E18" s="26" t="n">
        <v/>
      </c>
      <c r="F18" s="27" t="n">
        <v/>
      </c>
      <c r="G18" s="26" t="n">
        <v/>
      </c>
      <c r="H18" s="27" t="n">
        <v/>
      </c>
      <c r="I18" s="26">
        <f>SUM(D18-C18, F18-E18, H18-G18)</f>
        <v/>
      </c>
      <c r="J18" s="28" t="inlineStr">
        <is>
          <t>OT # 176632. Conguime Alto, en la estructura 34701 se encuentra el tirafusible quemado se recorre a pie, en la estructura 63129 se repone tirafusible de 6A-K</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0.7083333333333334</v>
      </c>
      <c r="D20" s="27" t="n">
        <v>0.75</v>
      </c>
      <c r="E20" s="26" t="n">
        <v/>
      </c>
      <c r="F20" s="27" t="n">
        <v/>
      </c>
      <c r="G20" s="26" t="n">
        <v/>
      </c>
      <c r="H20" s="27" t="n">
        <v/>
      </c>
      <c r="I20" s="26">
        <f>SUM(D20-C20, F20-E20, H20-G20)</f>
        <v/>
      </c>
      <c r="J20" s="28" t="inlineStr">
        <is>
          <t>OT # 176816. Sector La Cascada, en la estructura 31725 se encuentra las acometidas de los medid 259071 y 250674 arrancadas se arreglan las acometidas, se empalman, regulan y tensan las acometidas quedando normal. Retorno a Paquisha</t>
        </is>
      </c>
      <c r="K20">
        <f>SUM((D20-C20)*1.5*24)</f>
        <v/>
      </c>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0.7083333333333334</v>
      </c>
      <c r="D25" s="27" t="n">
        <v>0.7916666666666666</v>
      </c>
      <c r="E25" s="26" t="n">
        <v/>
      </c>
      <c r="F25" s="27" t="n">
        <v/>
      </c>
      <c r="G25" s="26" t="n">
        <v/>
      </c>
      <c r="H25" s="27" t="n">
        <v/>
      </c>
      <c r="I25" s="26">
        <f>SUM(D25-C25, F25-E25, H25-G25)</f>
        <v/>
      </c>
      <c r="J25" s="28" t="inlineStr">
        <is>
          <t xml:space="preserve">OT # 177141. Nuevo Quito, se revisa el Medidor 18-215545 y se encuentra la caja del Medidor suelta de la columna se deja colocando nuevamente y se ajustan las conexiones. El Placer, se revisa el Medidor 18-226837 y se encuentra la acometida en cortocircuito. </t>
        </is>
      </c>
      <c r="K25">
        <f>SUM((D25-C25)*1.5*24)</f>
        <v/>
      </c>
    </row>
    <row r="26" ht="18.75" customHeight="1">
      <c r="A26" s="20">
        <f>IF(B26&gt;0,PROPER(TEXT(B26,"dddd")),"")</f>
        <v/>
      </c>
      <c r="B26" s="25" t="n">
        <v>46163</v>
      </c>
      <c r="C26" s="26" t="n">
        <v>0.25</v>
      </c>
      <c r="D26" s="27" t="n">
        <v>0.3333333333333333</v>
      </c>
      <c r="E26" s="26" t="n">
        <v>0.7083333333333334</v>
      </c>
      <c r="F26" s="27" t="n">
        <v>0.7916666666666666</v>
      </c>
      <c r="G26" s="26" t="n">
        <v/>
      </c>
      <c r="H26" s="27" t="n">
        <v/>
      </c>
      <c r="I26" s="26">
        <f>SUM(D26-C26, F26-E26, H26-G26)</f>
        <v/>
      </c>
      <c r="J26" s="28" t="inlineStr">
        <is>
          <t>OT # 177184. Guayzimi, en la estructura 33062 se encuentra el reconectador monofásico abierto, se colabora a Cuadrilla de Guayzimi y se realiza maniobras para energizar una parte de esta LMV. OT # 177184. Guayzimi, en la estructura 33062 se encuentra el reconectador monofásico abierto, se colabora a Cuadrilla de Guayzimi y se realiza maniobras para energizar una parte de esta LMV.</t>
        </is>
      </c>
      <c r="K26">
        <f>SUM((D26-C26)*1.5*24,(F26-E26)*1.5*24)</f>
        <v/>
      </c>
    </row>
    <row r="27" ht="18.75" customHeight="1">
      <c r="A27" s="20">
        <f>IF(B27&gt;0,PROPER(TEXT(B27,"dddd")),"")</f>
        <v/>
      </c>
      <c r="B27" s="21" t="n">
        <v>46164</v>
      </c>
      <c r="C27" s="26" t="n">
        <v>0.2916666666666667</v>
      </c>
      <c r="D27" s="27" t="n">
        <v>0.3333333333333333</v>
      </c>
      <c r="E27" s="26" t="n">
        <v>0.7083333333333334</v>
      </c>
      <c r="F27" s="27" t="n">
        <v>0.75</v>
      </c>
      <c r="G27" s="26" t="n">
        <v/>
      </c>
      <c r="H27" s="27" t="n">
        <v/>
      </c>
      <c r="I27" s="26">
        <f>SUM(D27-C27, F27-E27, H27-G27)</f>
        <v/>
      </c>
      <c r="J27" s="28" t="inlineStr">
        <is>
          <t>OT # 177362. Sumak Yaku, se colabora a la cuadrilla de Guayzimi, se recorre la LMV derivación al Alto Nangaritza se recorre hasta Héroes del Cóndor no se encuentra ninguna novedad, queda normal el servicio eléctrico OT # 177362. El Placer, en la estructura 32451 se encuentra la acometida del Medidor 18-226837 en mal estado se cambia 80mts de acometida, se empalma y regula quedando normal el servicio.</t>
        </is>
      </c>
      <c r="K27">
        <f>SUM((D27-C27)*1.5*24,(F27-E27)*1.5*24)</f>
        <v/>
      </c>
    </row>
    <row r="28" ht="18.75" customHeight="1">
      <c r="A28" s="20">
        <f>IF(B28&gt;0,PROPER(TEXT(B28,"dddd")),"")</f>
        <v/>
      </c>
      <c r="B28" s="25" t="n">
        <v>46165</v>
      </c>
      <c r="C28" s="26" t="n">
        <v>0.56875</v>
      </c>
      <c r="D28" s="27" t="n">
        <v>0.7506944444444444</v>
      </c>
      <c r="E28" s="26" t="n">
        <v/>
      </c>
      <c r="F28" s="27" t="n">
        <v/>
      </c>
      <c r="G28" s="26" t="n">
        <v/>
      </c>
      <c r="H28" s="27" t="n">
        <v/>
      </c>
      <c r="I28" s="26">
        <f>SUM(D28-C28, F28-E28, H28-G28)</f>
        <v/>
      </c>
      <c r="J28" s="28" t="inlineStr">
        <is>
          <t>OT # 177324. Bellavista, estructura 31700, se rehabilita transformador 12639 Causa: desconocida. San Javier, estructura 21414, se rehabilita transformador 22386 Causa: desconocida. Zurmi, se realiza el cambio y empalme de nueva acometida para el medidor# 1000370298 se empalma 20 m de triplex y se conecta en la red</t>
        </is>
      </c>
      <c r="K28">
        <f>SUM((D28-C28)*2.0*24)</f>
        <v/>
      </c>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0.8</v>
      </c>
      <c r="D30" s="27" t="n">
        <v>0.8423611111111111</v>
      </c>
      <c r="E30" s="26" t="n">
        <v/>
      </c>
      <c r="F30" s="27" t="n">
        <v/>
      </c>
      <c r="G30" s="26" t="n">
        <v/>
      </c>
      <c r="H30" s="27" t="n">
        <v/>
      </c>
      <c r="I30" s="26">
        <f>SUM(D30-C30, F30-E30, H30-G30)</f>
        <v/>
      </c>
      <c r="J30" s="28" t="inlineStr">
        <is>
          <t>OT # 177619. DÍA FESTIVO. “Batalla de Pichincha”, Natenza, estructura 32864, se encuentra fusible quemado en derivación a San Antonio de Natenza, se revisa y encuentra sin novedad. Se repone tirafusible de 6 A-T se reestablece el servicio.</t>
        </is>
      </c>
      <c r="K30">
        <f>SUM((D30-C30)*2.0*24)</f>
        <v/>
      </c>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0.7083333333333334</v>
      </c>
      <c r="D32" s="27" t="n">
        <v>0.75</v>
      </c>
      <c r="E32" s="26" t="n">
        <v/>
      </c>
      <c r="F32" s="27" t="n">
        <v/>
      </c>
      <c r="G32" s="26" t="n">
        <v/>
      </c>
      <c r="H32" s="27" t="n">
        <v/>
      </c>
      <c r="I32" s="26">
        <f>SUM(D32-C32, F32-E32, H32-G32)</f>
        <v/>
      </c>
      <c r="J32" s="28" t="inlineStr">
        <is>
          <t>OT # 177549. Yantzaza, se coordina trabajos y ejecuta trabajos planificados en la L/S/T 69 kV</t>
        </is>
      </c>
      <c r="K32">
        <f>SUM((D32-C32)*1.5*24)</f>
        <v/>
      </c>
    </row>
    <row r="33" ht="18.75" customHeight="1">
      <c r="A33" s="20">
        <f>IF(B33&gt;0,PROPER(TEXT(B33,"dddd")),"")</f>
        <v/>
      </c>
      <c r="B33" s="21" t="n">
        <v>46170</v>
      </c>
      <c r="C33" s="26" t="n">
        <v>0.7083333333333334</v>
      </c>
      <c r="D33" s="27" t="n">
        <v>0.75</v>
      </c>
      <c r="E33" s="26" t="n">
        <v/>
      </c>
      <c r="F33" s="27" t="n">
        <v/>
      </c>
      <c r="G33" s="26" t="n">
        <v/>
      </c>
      <c r="H33" s="27" t="n">
        <v/>
      </c>
      <c r="I33" s="26">
        <f>SUM(D33-C33, F33-E33, H33-G33)</f>
        <v/>
      </c>
      <c r="J33" s="28" t="inlineStr">
        <is>
          <t>OT # 177644. Yantzaza, se coordina trabajos y ejecuta trabajos planificados en la L/S/T 69 kV</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7.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QUIROGA ORDONEZ CARLOS HERNAN</t>
        </is>
      </c>
      <c r="I2" s="7">
        <f>SUM(K6:K36)</f>
        <v/>
      </c>
      <c r="J2" s="8" t="inlineStr">
        <is>
          <t>TOTAL</t>
        </is>
      </c>
    </row>
    <row r="3" ht="18.75" customHeight="1">
      <c r="A3" s="9" t="inlineStr">
        <is>
          <t>Cuadrilla o Agencia:</t>
        </is>
      </c>
      <c r="B3" s="9" t="n"/>
      <c r="C3" s="9" t="n"/>
      <c r="D3" s="9" t="n"/>
      <c r="E3" s="10" t="n"/>
      <c r="F3" s="10" t="n"/>
      <c r="G3" s="10" t="n"/>
      <c r="H3" s="6" t="inlineStr">
        <is>
          <t>Cuadrilla Guayzimi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0.8756944444444444</v>
      </c>
      <c r="D15" s="27" t="n">
        <v>0.9027777777777778</v>
      </c>
      <c r="E15" s="26" t="n">
        <v/>
      </c>
      <c r="F15" s="27" t="n">
        <v/>
      </c>
      <c r="G15" s="26" t="n">
        <v/>
      </c>
      <c r="H15" s="27" t="n">
        <v/>
      </c>
      <c r="I15" s="26">
        <f>SUM(D15-C15, F15-E15, H15-G15)</f>
        <v/>
      </c>
      <c r="J15" s="28" t="inlineStr">
        <is>
          <t>OT # 176437. Guayzimi, se revisa LMV y en la Estructura 62692 se repone tirafusible de 2.1 A SR; Causa: ave</t>
        </is>
      </c>
      <c r="K15">
        <f>SUM((D15-C15)*2.0*24)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0.2506944444444444</v>
      </c>
      <c r="D17" s="27" t="n">
        <v>0.3333333333333333</v>
      </c>
      <c r="E17" s="26" t="n">
        <v/>
      </c>
      <c r="F17" s="27" t="n">
        <v/>
      </c>
      <c r="G17" s="26" t="n">
        <v/>
      </c>
      <c r="H17" s="27" t="n">
        <v/>
      </c>
      <c r="I17" s="26">
        <f>SUM(D17-C17, F17-E17, H17-G17)</f>
        <v/>
      </c>
      <c r="J17" s="28" t="inlineStr">
        <is>
          <t>OT # 176541. El Miasi, tramo en el estructura 34417 al 34416 con el apoyo de cuadrilla Paquisha, tala de árboles de gran altura al margen de la franja de servidumbre.</t>
        </is>
      </c>
      <c r="K17">
        <f>SUM((D17-C17)*1.5*24)</f>
        <v/>
      </c>
    </row>
    <row r="18" ht="18.75" customHeight="1">
      <c r="A18" s="20">
        <f>IF(B18&gt;0,PROPER(TEXT(B18,"dddd")),"")</f>
        <v/>
      </c>
      <c r="B18" s="21" t="n">
        <v>46155</v>
      </c>
      <c r="C18" s="26" t="n">
        <v>0.7083333333333334</v>
      </c>
      <c r="D18" s="27" t="n">
        <v>0.7541666666666667</v>
      </c>
      <c r="E18" s="26" t="n">
        <v/>
      </c>
      <c r="F18" s="27" t="n">
        <v/>
      </c>
      <c r="G18" s="26" t="n">
        <v/>
      </c>
      <c r="H18" s="27" t="n">
        <v/>
      </c>
      <c r="I18" s="26">
        <f>SUM(D18-C18, F18-E18, H18-G18)</f>
        <v/>
      </c>
      <c r="J18" s="28" t="inlineStr">
        <is>
          <t>OT # 176642. Los Geranios, Est 34380 medidor 18271196 falla barra de neutro general, se corrige y sugiere al usuario rectificar instalaciones internas.</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0.54375</v>
      </c>
      <c r="D21" s="27" t="n">
        <v>0.7638888888888888</v>
      </c>
      <c r="E21" s="26" t="n">
        <v/>
      </c>
      <c r="F21" s="27" t="n">
        <v/>
      </c>
      <c r="G21" s="26" t="n">
        <v/>
      </c>
      <c r="H21" s="27" t="n">
        <v/>
      </c>
      <c r="I21" s="26">
        <f>SUM(D21-C21, F21-E21, H21-G21)</f>
        <v/>
      </c>
      <c r="J21" s="28" t="inlineStr">
        <is>
          <t>OT # 176866. Guayzimi - Yayu, estructura 500021 se rehabilita transformador # 12107. Causa: desconocida.</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0.25</v>
      </c>
      <c r="D26" s="27" t="n">
        <v>0.3333333333333333</v>
      </c>
      <c r="E26" s="26" t="n">
        <v>0.7083333333333334</v>
      </c>
      <c r="F26" s="27" t="n">
        <v>0.80625</v>
      </c>
      <c r="G26" s="26" t="n">
        <v/>
      </c>
      <c r="H26" s="27" t="n">
        <v/>
      </c>
      <c r="I26" s="26">
        <f>SUM(D26-C26, F26-E26, H26-G26)</f>
        <v/>
      </c>
      <c r="J26" s="28" t="inlineStr">
        <is>
          <t>OT # 177183. Héroes del Cóndor, con apoyo cuadrilla Paquisha, trabajos para reubicar variante MV monofásico de la estructura 502788 – 204886. OT # 177183. Guayzimi, estructura 33062 se encuentra Reconectador Monofásico aperturado, falla fortuita. Con apoyo de Cuadrilla Paquisha se recorre LMT, se cierra Reconectador hasta la estructura 34183.</t>
        </is>
      </c>
      <c r="K26">
        <f>SUM((D26-C26)*1.5*24,(F26-E26)*1.5*24)</f>
        <v/>
      </c>
    </row>
    <row r="27" ht="18.75" customHeight="1">
      <c r="A27" s="20">
        <f>IF(B27&gt;0,PROPER(TEXT(B27,"dddd")),"")</f>
        <v/>
      </c>
      <c r="B27" s="21" t="n">
        <v>46164</v>
      </c>
      <c r="C27" s="26" t="n">
        <v>0.2923611111111111</v>
      </c>
      <c r="D27" s="27" t="n">
        <v>0.3333333333333333</v>
      </c>
      <c r="E27" s="26" t="n">
        <v/>
      </c>
      <c r="F27" s="27" t="n">
        <v/>
      </c>
      <c r="G27" s="26" t="n">
        <v/>
      </c>
      <c r="H27" s="27" t="n">
        <v/>
      </c>
      <c r="I27" s="26">
        <f>SUM(D27-C27, F27-E27, H27-G27)</f>
        <v/>
      </c>
      <c r="J27" s="28" t="inlineStr">
        <is>
          <t>OT # 177258. Sumak Yaku, con apoyo de Cuadrilla Paquisha, estructura 34183 se retoman trabajos hasta llegar a Héroes del Cóndor y no se encuentra ninguna novedad; en el recorrido de LMT1 se cambia tirafusibles de acuerdo a valores del Reconectador Instalado, finalizados estos trabajos en la estructura 34183 se cierra seccionador y se energiza sin novedad.</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0.2875</v>
      </c>
      <c r="D35" s="27" t="n">
        <v>0.5430555555555555</v>
      </c>
      <c r="E35" s="26" t="n">
        <v>0.6263888888888889</v>
      </c>
      <c r="F35" s="27" t="n">
        <v>0.8409722222222222</v>
      </c>
      <c r="G35" s="26" t="n">
        <v/>
      </c>
      <c r="H35" s="27" t="n">
        <v/>
      </c>
      <c r="I35" s="26">
        <f>SUM(D35-C35, F35-E35, H35-G35)</f>
        <v/>
      </c>
      <c r="J35" s="28" t="inlineStr">
        <is>
          <t xml:space="preserve">OT # 177784. Mariposa, estructura 61956 tirafusible quemado, se recorre una parte de la Línea por falta de un bote para continuar con el recorrido se suspende trabajos retornamos al punto de arranque realiza prueba de reposición con tirafusible de 1.3A SR y restablece servicio eléctrico sin novedad. Se desconoce la causa. OT # 177784. Guayzimi, se revisa y encuentra puente eléctrico MV abierto por recalentamiento de conector en estructura 35151, se aisla la falla, se corrige, se cierra seccionador de línea sin novedad. </t>
        </is>
      </c>
      <c r="K35">
        <f>SUM((D35-C35)*2.0*24,(F35-E35)*2.0*24)</f>
        <v/>
      </c>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8.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LARA JIMENEZ JAIME PATRICIO</t>
        </is>
      </c>
      <c r="I2" s="7">
        <f>SUM(K6:K36)</f>
        <v/>
      </c>
      <c r="J2" s="8" t="inlineStr">
        <is>
          <t>TOTAL</t>
        </is>
      </c>
    </row>
    <row r="3" ht="18.75" customHeight="1">
      <c r="A3" s="9" t="inlineStr">
        <is>
          <t>Cuadrilla o Agencia:</t>
        </is>
      </c>
      <c r="B3" s="9" t="n"/>
      <c r="C3" s="9" t="n"/>
      <c r="D3" s="9" t="n"/>
      <c r="E3" s="10" t="n"/>
      <c r="F3" s="10" t="n"/>
      <c r="G3" s="10" t="n"/>
      <c r="H3" s="6" t="inlineStr">
        <is>
          <t>Cuadrilla Guayzimi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0.8756944444444444</v>
      </c>
      <c r="D15" s="27" t="n">
        <v>0.9027777777777778</v>
      </c>
      <c r="E15" s="26" t="n">
        <v/>
      </c>
      <c r="F15" s="27" t="n">
        <v/>
      </c>
      <c r="G15" s="26" t="n">
        <v/>
      </c>
      <c r="H15" s="27" t="n">
        <v/>
      </c>
      <c r="I15" s="26">
        <f>SUM(D15-C15, F15-E15, H15-G15)</f>
        <v/>
      </c>
      <c r="J15" s="28" t="inlineStr">
        <is>
          <t>OT # 176437. Guayzimi, se revisa LMV y en la Estructura 62692 se repone tirafusible de 2.1 A SR; Causa: ave</t>
        </is>
      </c>
      <c r="K15">
        <f>SUM((D15-C15)*2.0*24)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0.2506944444444444</v>
      </c>
      <c r="D17" s="27" t="n">
        <v>0.3333333333333333</v>
      </c>
      <c r="E17" s="26" t="n">
        <v/>
      </c>
      <c r="F17" s="27" t="n">
        <v/>
      </c>
      <c r="G17" s="26" t="n">
        <v/>
      </c>
      <c r="H17" s="27" t="n">
        <v/>
      </c>
      <c r="I17" s="26">
        <f>SUM(D17-C17, F17-E17, H17-G17)</f>
        <v/>
      </c>
      <c r="J17" s="28" t="inlineStr">
        <is>
          <t>OT # 176541. El Miasi, tramo en el estructura 34417 al 34416 con el apoyo de cuadrilla Paquisha, tala de árboles de gran altura al margen de la franja de servidumbre.</t>
        </is>
      </c>
      <c r="K17">
        <f>SUM((D17-C17)*1.5*24)</f>
        <v/>
      </c>
    </row>
    <row r="18" ht="18.75" customHeight="1">
      <c r="A18" s="20">
        <f>IF(B18&gt;0,PROPER(TEXT(B18,"dddd")),"")</f>
        <v/>
      </c>
      <c r="B18" s="21" t="n">
        <v>46155</v>
      </c>
      <c r="C18" s="26" t="n">
        <v>0.7083333333333334</v>
      </c>
      <c r="D18" s="27" t="n">
        <v>0.7541666666666667</v>
      </c>
      <c r="E18" s="26" t="n">
        <v/>
      </c>
      <c r="F18" s="27" t="n">
        <v/>
      </c>
      <c r="G18" s="26" t="n">
        <v/>
      </c>
      <c r="H18" s="27" t="n">
        <v/>
      </c>
      <c r="I18" s="26">
        <f>SUM(D18-C18, F18-E18, H18-G18)</f>
        <v/>
      </c>
      <c r="J18" s="28" t="inlineStr">
        <is>
          <t>OT # 176642. Los Geranios, Est 34380 medidor 18271196 falla barra de neutro general, se corrige y sugiere al usuario rectificar instalaciones internas.</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0.54375</v>
      </c>
      <c r="D21" s="27" t="n">
        <v>0.7638888888888888</v>
      </c>
      <c r="E21" s="26" t="n">
        <v/>
      </c>
      <c r="F21" s="27" t="n">
        <v/>
      </c>
      <c r="G21" s="26" t="n">
        <v/>
      </c>
      <c r="H21" s="27" t="n">
        <v/>
      </c>
      <c r="I21" s="26">
        <f>SUM(D21-C21, F21-E21, H21-G21)</f>
        <v/>
      </c>
      <c r="J21" s="28" t="inlineStr">
        <is>
          <t>OT # 176866. Guayzimi - Yayu, estructura 500021 se rehabilita transformador # 12107. Causa: desconocida.</t>
        </is>
      </c>
      <c r="K21">
        <f>SUM((D21-C21)*2.0*24)</f>
        <v/>
      </c>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0.2875</v>
      </c>
      <c r="D35" s="27" t="n">
        <v>0.5430555555555555</v>
      </c>
      <c r="E35" s="26" t="n">
        <v>0.6263888888888889</v>
      </c>
      <c r="F35" s="27" t="n">
        <v>0.8409722222222222</v>
      </c>
      <c r="G35" s="26" t="n">
        <v/>
      </c>
      <c r="H35" s="27" t="n">
        <v/>
      </c>
      <c r="I35" s="26">
        <f>SUM(D35-C35, F35-E35, H35-G35)</f>
        <v/>
      </c>
      <c r="J35" s="28" t="inlineStr">
        <is>
          <t xml:space="preserve">OT # 177784. Mariposa, estructura 61956 tirafusible quemado, se recorre una parte de la Línea por falta de un bote para continuar con el recorrido se suspende trabajos retornamos al punto de arranque realiza prueba de reposición con tirafusible de 1.3A SR y restablece servicio eléctrico sin novedad. Se desconoce la causa. OT # 177784. Guayzimi, se revisa y encuentra puente eléctrico MV abierto por recalentamiento de conector en estructura 35151, se aisla la falla, se corrige, se cierra seccionador de línea sin novedad. </t>
        </is>
      </c>
      <c r="K35">
        <f>SUM((D35-C35)*2.0*24,(F35-E35)*2.0*24)</f>
        <v/>
      </c>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29.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CACAY LUZURIAGA ASDRUBAL HUMBERTO</t>
        </is>
      </c>
      <c r="I2" s="7">
        <f>SUM(K6:K36)</f>
        <v/>
      </c>
      <c r="J2" s="8" t="inlineStr">
        <is>
          <t>TOTAL</t>
        </is>
      </c>
    </row>
    <row r="3" ht="18.75" customHeight="1">
      <c r="A3" s="9" t="inlineStr">
        <is>
          <t>Cuadrilla o Agencia:</t>
        </is>
      </c>
      <c r="B3" s="9" t="n"/>
      <c r="C3" s="9" t="n"/>
      <c r="D3" s="9" t="n"/>
      <c r="E3" s="10" t="n"/>
      <c r="F3" s="10" t="n"/>
      <c r="G3" s="10" t="n"/>
      <c r="H3" s="6" t="inlineStr">
        <is>
          <t>Cuadrilla Guayzimi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0.2506944444444444</v>
      </c>
      <c r="D17" s="27" t="n">
        <v>0.3333333333333333</v>
      </c>
      <c r="E17" s="26" t="n">
        <v/>
      </c>
      <c r="F17" s="27" t="n">
        <v/>
      </c>
      <c r="G17" s="26" t="n">
        <v/>
      </c>
      <c r="H17" s="27" t="n">
        <v/>
      </c>
      <c r="I17" s="26">
        <f>SUM(D17-C17, F17-E17, H17-G17)</f>
        <v/>
      </c>
      <c r="J17" s="28" t="inlineStr">
        <is>
          <t>OT # 176541. El Miasi, tramo en el estructura 34417 al 34416 con el apoyo de cuadrilla Paquisha, tala de árboles de gran altura al margen de la franja de servidumbre.</t>
        </is>
      </c>
      <c r="K17">
        <f>SUM((D17-C17)*1.5*24)</f>
        <v/>
      </c>
    </row>
    <row r="18" ht="18.75" customHeight="1">
      <c r="A18" s="20">
        <f>IF(B18&gt;0,PROPER(TEXT(B18,"dddd")),"")</f>
        <v/>
      </c>
      <c r="B18" s="21" t="n">
        <v>46155</v>
      </c>
      <c r="C18" s="26" t="n">
        <v>0.7083333333333334</v>
      </c>
      <c r="D18" s="27" t="n">
        <v>0.7541666666666667</v>
      </c>
      <c r="E18" s="26" t="n">
        <v/>
      </c>
      <c r="F18" s="27" t="n">
        <v/>
      </c>
      <c r="G18" s="26" t="n">
        <v/>
      </c>
      <c r="H18" s="27" t="n">
        <v/>
      </c>
      <c r="I18" s="26">
        <f>SUM(D18-C18, F18-E18, H18-G18)</f>
        <v/>
      </c>
      <c r="J18" s="28" t="inlineStr">
        <is>
          <t>OT # 176642. Los Geranios, Est 34380 medidor 18271196 falla barra de neutro general, se corrige y sugiere al usuario rectificar instalaciones internas.</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0.25</v>
      </c>
      <c r="D26" s="27" t="n">
        <v>0.3333333333333333</v>
      </c>
      <c r="E26" s="26" t="n">
        <v>0.7083333333333334</v>
      </c>
      <c r="F26" s="27" t="n">
        <v>0.80625</v>
      </c>
      <c r="G26" s="26" t="n">
        <v/>
      </c>
      <c r="H26" s="27" t="n">
        <v/>
      </c>
      <c r="I26" s="26">
        <f>SUM(D26-C26, F26-E26, H26-G26)</f>
        <v/>
      </c>
      <c r="J26" s="28" t="inlineStr">
        <is>
          <t>OT # 177183. Héroes del Cóndor, con apoyo cuadrilla Paquisha, trabajos para reubicar variante MV monofásico de la estructura 502788 – 204886. OT # 177183. Guayzimi, estructura 33062 se encuentra Reconectador Monofásico aperturado, falla fortuita. Con apoyo de Cuadrilla Paquisha se recorre LMT, se cierra Reconectador hasta la estructura 34183.</t>
        </is>
      </c>
      <c r="K26">
        <f>SUM((D26-C26)*1.5*24,(F26-E26)*1.5*24)</f>
        <v/>
      </c>
    </row>
    <row r="27" ht="18.75" customHeight="1">
      <c r="A27" s="20">
        <f>IF(B27&gt;0,PROPER(TEXT(B27,"dddd")),"")</f>
        <v/>
      </c>
      <c r="B27" s="21" t="n">
        <v>46164</v>
      </c>
      <c r="C27" s="26" t="n">
        <v>0.2923611111111111</v>
      </c>
      <c r="D27" s="27" t="n">
        <v>0.3333333333333333</v>
      </c>
      <c r="E27" s="26" t="n">
        <v/>
      </c>
      <c r="F27" s="27" t="n">
        <v/>
      </c>
      <c r="G27" s="26" t="n">
        <v/>
      </c>
      <c r="H27" s="27" t="n">
        <v/>
      </c>
      <c r="I27" s="26">
        <f>SUM(D27-C27, F27-E27, H27-G27)</f>
        <v/>
      </c>
      <c r="J27" s="28" t="inlineStr">
        <is>
          <t>OT # 177258. Sumak Yaku, con apoyo de Cuadrilla Paquisha, estructura 34183 se retoman trabajos hasta llegar a Héroes del Cóndor y no se encuentra ninguna novedad; en el recorrido de LMT1 se cambia tirafusibles de acuerdo a valores del Reconectador Instalado, finalizados estos trabajos en la estructura 34183 se cierra seccionador y se energiza sin novedad.</t>
        </is>
      </c>
      <c r="K27">
        <f>SUM((D27-C27)*1.5*24)</f>
        <v/>
      </c>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0.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VERA SANCHEZ LIVIO STALIN</t>
        </is>
      </c>
      <c r="I2" s="7">
        <f>SUM(K6:K36)</f>
        <v/>
      </c>
      <c r="J2" s="8" t="inlineStr">
        <is>
          <t>TOTAL</t>
        </is>
      </c>
    </row>
    <row r="3" ht="18.75" customHeight="1">
      <c r="A3" s="9" t="inlineStr">
        <is>
          <t>Cuadrilla o Agencia:</t>
        </is>
      </c>
      <c r="B3" s="9" t="n"/>
      <c r="C3" s="9" t="n"/>
      <c r="D3" s="9" t="n"/>
      <c r="E3" s="10" t="n"/>
      <c r="F3" s="10" t="n"/>
      <c r="G3" s="10" t="n"/>
      <c r="H3" s="6" t="inlineStr">
        <is>
          <t>Cuadrilla El Pangui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0.4256944444444444</v>
      </c>
      <c r="D6" s="23" t="n">
        <v>0.5416666666666666</v>
      </c>
      <c r="E6" s="22" t="n">
        <v>0.5833333333333334</v>
      </c>
      <c r="F6" s="23" t="n">
        <v>0.6618055555555555</v>
      </c>
      <c r="G6" s="22" t="n">
        <v>0.7909722222222222</v>
      </c>
      <c r="H6" s="23" t="n">
        <v>0.8159722222222222</v>
      </c>
      <c r="I6" s="22">
        <f>SUM(D6-C6, F6-E6, H6-G6)</f>
        <v/>
      </c>
      <c r="J6" s="24" t="inlineStr">
        <is>
          <t>OT # 175868. DIA FESTIVO. “Día del Trabajo”. Cristo Rey, estructura 203406, fuertes lluvias, se revisa la LMV Est 71503 se encuentra quemado el tirafusible derivación a Tumbayme, no se encuentra novedades, en la estructura 71503 se cambia tirafusible de 6A-T, Est 203406 se cambia el tirafusible de 20A K, entra normal queda con servicio Cristo Rey y Tumbayme; Causa: descargas atmosféricas. El Guismi, Est 254976 se encuentra un árbol seco caído sobre la LMV, se retira y se cambia el tirafusible de 1A-S.R estructura 254978. Soldado Rivera, Est 127591, se cambia tirafusible de 6A K, entra normal. OT # 175868. DIA FESTIVO. “Día del Trabajo”. Cristo Rey, estructura 203406, fuertes lluvias, se revisa la LMV Est 71503 se encuentra quemado el tirafusible derivación a Tumbayme, no se encuentra novedades, en la estructura 71503 se cambia tirafusible de 6A-T, Est 203406 se cambia el tirafusible de 20A K, entra normal queda con servicio Cristo Rey y Tumbayme; Causa: descargas atmosféricas. El Guismi, Est 254976 se encuentra un árbol seco caído sobre la LMV, se retira y se cambia el tirafusible de 1A-S.R estructura 254978. Soldado Rivera, Est 127591, se cambia tirafusible de 6A K, entra normal. OT # 175868. DIA FESTIVO. “Día del Trabajo”. El Pangui, estructura 194825 se repone tirafusible Trafo # 21165 de 50 kVA, de 2,1 A-SR, Causa, descargas atmosféricas.</t>
        </is>
      </c>
      <c r="K6">
        <f>SUM((D6-C6)*2.0*24,(F6-E6)*2.0*24,(H6-G6)*2.0*24)</f>
        <v/>
      </c>
    </row>
    <row r="7" ht="18.75" customHeight="1">
      <c r="A7" s="20">
        <f>IF(B7&gt;0,PROPER(TEXT(B7,"dddd")),"")</f>
        <v/>
      </c>
      <c r="B7" s="25" t="n">
        <v>46144</v>
      </c>
      <c r="C7" s="26" t="n">
        <v>0.4784722222222222</v>
      </c>
      <c r="D7" s="27" t="n">
        <v>0.5451388888888888</v>
      </c>
      <c r="E7" s="26" t="n">
        <v>0.8854166666666666</v>
      </c>
      <c r="F7" s="27" t="n">
        <v>0.9375</v>
      </c>
      <c r="G7" s="26" t="n">
        <v/>
      </c>
      <c r="H7" s="27" t="n">
        <v/>
      </c>
      <c r="I7" s="26">
        <f>SUM(D7-C7, F7-E7, H7-G7)</f>
        <v/>
      </c>
      <c r="J7" s="28" t="inlineStr">
        <is>
          <t>OT # 175904. San Roque, estructura 31190 se revisa la LMV, no se encuentra novedad, se cambia el tirafusible de 20 A-T. OT # 175904. Cristo Rey, estructura 185592 se arregla la acometida del Medidor 215468, en el tablero de medidores se deja directo a las barras ya que el breker general esta en mal estado se indica al cliente. Traslado a la agencia.</t>
        </is>
      </c>
      <c r="K7">
        <f>SUM((D7-C7)*2.0*24,(F7-E7)*2.0*24)</f>
        <v/>
      </c>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0.7083333333333334</v>
      </c>
      <c r="D11" s="27" t="n">
        <v>0.7791666666666667</v>
      </c>
      <c r="E11" s="26" t="n">
        <v/>
      </c>
      <c r="F11" s="27" t="n">
        <v/>
      </c>
      <c r="G11" s="26" t="n">
        <v/>
      </c>
      <c r="H11" s="27" t="n">
        <v/>
      </c>
      <c r="I11" s="43">
        <f>SUM(D11-C11, F11-E11, H11-G11)</f>
        <v/>
      </c>
      <c r="J11" s="28" t="inlineStr">
        <is>
          <t>OT # 176157. San Miguel, Est 126989 se desbroza vegetación y se arregla RBV arrancada por caída de árbol; En la Est 126991 se rehabilita el transformador 13661 de 5 kVA.</t>
        </is>
      </c>
      <c r="K11">
        <f>SUM((D11-C11)*1.5*24)</f>
        <v/>
      </c>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0.7083333333333334</v>
      </c>
      <c r="D13" s="27" t="n">
        <v>0.7715277777777778</v>
      </c>
      <c r="E13" s="26" t="n">
        <v>0.8243055555555555</v>
      </c>
      <c r="F13" s="27" t="n">
        <v>0.8819444444444444</v>
      </c>
      <c r="G13" s="26" t="n">
        <v/>
      </c>
      <c r="H13" s="27" t="n">
        <v/>
      </c>
      <c r="I13" s="22">
        <f>SUM(D13-C13, F13-E13, H13-G13)</f>
        <v/>
      </c>
      <c r="J13" s="28" t="inlineStr">
        <is>
          <t>OT # 176312. La Argelia, revisión de LMV en la Est 127415 se repone tirafusible hasta el sector de Chanzas, sin novedad; Causa: descargas atmosféricas.  OT # 176312. Pachicutza, estructura 232448 se cambia tirafusible de 20A-T, se presenta falla en la base de salida del seccionador; queda pendiente el cambio del seccionador postafusible.</t>
        </is>
      </c>
      <c r="K13">
        <f>SUM((D13-C13)*1.5*24,(F13-E13)*1.5*24)</f>
        <v/>
      </c>
    </row>
    <row r="14" ht="18.75" customHeight="1">
      <c r="A14" s="20">
        <f>IF(B14&gt;0,PROPER(TEXT(B14,"dddd")),"")</f>
        <v/>
      </c>
      <c r="B14" s="25" t="n">
        <v>46151</v>
      </c>
      <c r="C14" s="26" t="n">
        <v>0.3819444444444444</v>
      </c>
      <c r="D14" s="27" t="n">
        <v>0.5701388888888889</v>
      </c>
      <c r="E14" s="26" t="n">
        <v/>
      </c>
      <c r="F14" s="27" t="n">
        <v/>
      </c>
      <c r="G14" s="26" t="n">
        <v/>
      </c>
      <c r="H14" s="27" t="n">
        <v/>
      </c>
      <c r="I14" s="26">
        <f>SUM(D14-C14, F14-E14, H14-G14)</f>
        <v/>
      </c>
      <c r="J14" s="28" t="inlineStr">
        <is>
          <t>OT # 176411. Pachicutza, en la Est 232448 se cambia el seccionador tirafusible en mal estado. El Oasis, Est 128464 se arregla acometida del Medidor 216870, arrancada por caída de árbol. El Guismi, Med # 18-233282 se cambia el breker general, daño en los conectores terminales talón.</t>
        </is>
      </c>
      <c r="K14">
        <f>SUM((D14-C14)*2.0*24)</f>
        <v/>
      </c>
    </row>
    <row r="15" ht="18.75" customHeight="1">
      <c r="A15" s="20">
        <f>IF(B15&gt;0,PROPER(TEXT(B15,"dddd")),"")</f>
        <v/>
      </c>
      <c r="B15" s="21" t="n">
        <v>46152</v>
      </c>
      <c r="C15" s="26" t="n">
        <v>0.4069444444444444</v>
      </c>
      <c r="D15" s="27" t="n">
        <v>0.5208333333333334</v>
      </c>
      <c r="E15" s="26" t="n">
        <v>0.5416666666666666</v>
      </c>
      <c r="F15" s="27" t="n">
        <v>0.7347222222222223</v>
      </c>
      <c r="G15" s="26" t="n">
        <v/>
      </c>
      <c r="H15" s="27" t="n">
        <v/>
      </c>
      <c r="I15" s="26">
        <f>SUM(D15-C15, F15-E15, H15-G15)</f>
        <v/>
      </c>
      <c r="J15" s="28" t="inlineStr">
        <is>
          <t>OT # 176414. Chanzas, Est 173835 se encuentra el fusible normal derivación a Las Orquideas, se traslada hasta donde llega la camioneta y de ahí se traslada caminando al estructura 128293 para revisar el transformador en Chanzas Alto estructura 128292; se rehabilita el Trafo # 15092 de 5 kVA; Causa: descargas atmosféricas. OT # 176414. Traslado Chanzas - El Pangui - El Mirador, estructura 32520 se arregla el neutro de la acometida del medidor 18-267887 por maquinaria desconocida.</t>
        </is>
      </c>
      <c r="K15">
        <f>SUM((D15-C15)*2.0*24,(F15-E15)*2.0*24)</f>
        <v/>
      </c>
    </row>
    <row r="16" ht="18.75" customHeight="1">
      <c r="A16" s="20">
        <f>IF(B16&gt;0,PROPER(TEXT(B16,"dddd")),"")</f>
        <v/>
      </c>
      <c r="B16" s="25" t="n">
        <v>46153</v>
      </c>
      <c r="C16" s="26" t="n">
        <v>0.7083333333333334</v>
      </c>
      <c r="D16" s="27" t="n">
        <v>0.7638888888888888</v>
      </c>
      <c r="E16" s="26" t="n">
        <v/>
      </c>
      <c r="F16" s="27" t="n">
        <v/>
      </c>
      <c r="G16" s="26" t="n">
        <v/>
      </c>
      <c r="H16" s="27" t="n">
        <v/>
      </c>
      <c r="I16" s="26">
        <f>SUM(D16-C16, F16-E16, H16-G16)</f>
        <v/>
      </c>
      <c r="J16" s="28" t="inlineStr">
        <is>
          <t>OT # 176448. Traslado desde La Orquídeas hasta El Pangui, se revisa Medidor 32695 y falta una fase. Por fuertes lluvias se planifica el día de mañana, estructura 227938.</t>
        </is>
      </c>
      <c r="K16">
        <f>SUM((D16-C16)*1.5*24)</f>
        <v/>
      </c>
    </row>
    <row r="17" ht="18.75" customHeight="1">
      <c r="A17" s="20">
        <f>IF(B17&gt;0,PROPER(TEXT(B17,"dddd")),"")</f>
        <v/>
      </c>
      <c r="B17" s="25" t="n">
        <v>46154</v>
      </c>
      <c r="C17" s="26" t="n">
        <v>0.7083333333333334</v>
      </c>
      <c r="D17" s="27" t="n">
        <v>0.7645833333333333</v>
      </c>
      <c r="E17" s="26" t="n">
        <v/>
      </c>
      <c r="F17" s="27" t="n">
        <v/>
      </c>
      <c r="G17" s="26" t="n">
        <v/>
      </c>
      <c r="H17" s="27" t="n">
        <v/>
      </c>
      <c r="I17" s="26">
        <f>SUM(D17-C17, F17-E17, H17-G17)</f>
        <v/>
      </c>
      <c r="J17" s="28" t="inlineStr">
        <is>
          <t>OT # 176571. Soldado Rivera Alto, postes: 127604, 127605 se arregla RBV arrancada por vegetación, se empalma y se tensa, traslado de Soldado Rivera hasta El Pangui</t>
        </is>
      </c>
      <c r="K17">
        <f>SUM((D17-C17)*1.5*24)</f>
        <v/>
      </c>
    </row>
    <row r="18" ht="18.75" customHeight="1">
      <c r="A18" s="20">
        <f>IF(B18&gt;0,PROPER(TEXT(B18,"dddd")),"")</f>
        <v/>
      </c>
      <c r="B18" s="21" t="n">
        <v>46155</v>
      </c>
      <c r="C18" s="26" t="n">
        <v>0.25</v>
      </c>
      <c r="D18" s="27" t="n">
        <v>0.3333333333333333</v>
      </c>
      <c r="E18" s="26" t="n">
        <v>0.7083333333333334</v>
      </c>
      <c r="F18" s="27" t="n">
        <v>0.7763888888888889</v>
      </c>
      <c r="G18" s="26" t="n">
        <v/>
      </c>
      <c r="H18" s="27" t="n">
        <v/>
      </c>
      <c r="I18" s="26">
        <f>SUM(D18-C18, F18-E18, H18-G18)</f>
        <v/>
      </c>
      <c r="J18" s="28" t="inlineStr">
        <is>
          <t>OT # 176542. Traslado de la Agencia el Pangui a Pachicutza Traslado a pie desde Pachicutza desde donde llega la camioneta a el Cerro Pachicutza, revisión de Medidores de Emisoras de Radio por reporte de falta de energía. OT # 176542. Traslado a pie desde el Cerro Pachicutza hasta la camioneta en Pachicutza, Traslado desde Pachicutza a la agencia el Pangui.</t>
        </is>
      </c>
      <c r="K18">
        <f>SUM((D18-C18)*1.5*24,(F18-E18)*1.5*24)</f>
        <v/>
      </c>
    </row>
    <row r="19" ht="18.75" customHeight="1">
      <c r="A19" s="20">
        <f>IF(B19&gt;0,PROPER(TEXT(B19,"dddd")),"")</f>
        <v/>
      </c>
      <c r="B19" s="25" t="n">
        <v>46156</v>
      </c>
      <c r="C19" s="26" t="n">
        <v>0.7083333333333334</v>
      </c>
      <c r="D19" s="27" t="n">
        <v>0.8888888888888888</v>
      </c>
      <c r="E19" s="26" t="n">
        <v/>
      </c>
      <c r="F19" s="27" t="n">
        <v/>
      </c>
      <c r="G19" s="26" t="n">
        <v/>
      </c>
      <c r="H19" s="27" t="n">
        <v/>
      </c>
      <c r="I19" s="26">
        <f>SUM(D19-C19, F19-E19, H19-G19)</f>
        <v/>
      </c>
      <c r="J19" s="28" t="inlineStr">
        <is>
          <t>OT # 176734. Gualaquiza, estructura 303736 se apoya al grupo de Fernando Guzmán en conjunto con el grupo de Luis Agurto y la grúa de Richard Pinzón en el cambio de estructura en mal estado. Trabajos realizados con tensión el medio voltaje. Traslado desde Gualaquiza hasta la agencia El Pangui.</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0.8486111111111111</v>
      </c>
      <c r="D25" s="27" t="n">
        <v>0.8979166666666667</v>
      </c>
      <c r="E25" s="26" t="n">
        <v/>
      </c>
      <c r="F25" s="27" t="n">
        <v/>
      </c>
      <c r="G25" s="26" t="n">
        <v/>
      </c>
      <c r="H25" s="27" t="n">
        <v/>
      </c>
      <c r="I25" s="26">
        <f>SUM(D25-C25, F25-E25, H25-G25)</f>
        <v/>
      </c>
      <c r="J25" s="28" t="inlineStr">
        <is>
          <t>OT # 177175. Barrio 24 de Mayo, Est 276065 se encuentra un árbol sobre la RBV, árbol es talado por terceras personas, se retira, se despeja y rehabilita el Trafo # 26653 de 37,5 kVA.</t>
        </is>
      </c>
      <c r="K25">
        <f>SUM((D25-C25)*1.5*24)</f>
        <v/>
      </c>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1.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AMBULUDI SILVA FAUSTO JOEL</t>
        </is>
      </c>
      <c r="I2" s="7">
        <f>SUM(K6:K36)</f>
        <v/>
      </c>
      <c r="J2" s="8" t="inlineStr">
        <is>
          <t>TOTAL</t>
        </is>
      </c>
    </row>
    <row r="3" ht="18.75" customHeight="1">
      <c r="A3" s="9" t="inlineStr">
        <is>
          <t>Cuadrilla o Agencia:</t>
        </is>
      </c>
      <c r="B3" s="9" t="n"/>
      <c r="C3" s="9" t="n"/>
      <c r="D3" s="9" t="n"/>
      <c r="E3" s="10" t="n"/>
      <c r="F3" s="10" t="n"/>
      <c r="G3" s="10" t="n"/>
      <c r="H3" s="6" t="inlineStr">
        <is>
          <t>Agencia El Pangui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0.4784722222222222</v>
      </c>
      <c r="D7" s="27" t="n">
        <v>0.5451388888888888</v>
      </c>
      <c r="E7" s="26" t="n">
        <v>0.8854166666666666</v>
      </c>
      <c r="F7" s="27" t="n">
        <v>0.9375</v>
      </c>
      <c r="G7" s="26" t="n">
        <v/>
      </c>
      <c r="H7" s="27" t="n">
        <v/>
      </c>
      <c r="I7" s="26">
        <f>SUM(D7-C7, F7-E7, H7-G7)</f>
        <v/>
      </c>
      <c r="J7" s="28" t="inlineStr">
        <is>
          <t>OT # 175904. San Roque, estructura 31190 se revisa la LMV, no se encuentra novedad, se cambia el tirafusible de 20 A-T. OT # 175904. Cristo Rey, estructura 185592 se arregla la acometida del Medidor 215468, en el tablero de medidores se deja directo a las barras ya que el breker general esta en mal estado se indica al cliente. Traslado a la agencia.</t>
        </is>
      </c>
      <c r="K7">
        <f>SUM((D7-C7)*2.0*24,(F7-E7)*2.0*24)</f>
        <v/>
      </c>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0.8243055555555555</v>
      </c>
      <c r="D13" s="27" t="n">
        <v>0.8819444444444444</v>
      </c>
      <c r="E13" s="26" t="n">
        <v/>
      </c>
      <c r="F13" s="27" t="n">
        <v/>
      </c>
      <c r="G13" s="26" t="n">
        <v/>
      </c>
      <c r="H13" s="27" t="n">
        <v/>
      </c>
      <c r="I13" s="22">
        <f>SUM(D13-C13, F13-E13, H13-G13)</f>
        <v/>
      </c>
      <c r="J13" s="28" t="inlineStr">
        <is>
          <t>OT # 176312. Pachicutza, estructura 232448 se cambia tirafusible de 20A-T, se presenta falla en la base de salida del seccionador; queda pendiente el cambio del seccionador postafusible.</t>
        </is>
      </c>
      <c r="K13">
        <f>SUM((D13-C13)*1.5*24)</f>
        <v/>
      </c>
    </row>
    <row r="14" ht="18.75" customHeight="1">
      <c r="A14" s="20">
        <f>IF(B14&gt;0,PROPER(TEXT(B14,"dddd")),"")</f>
        <v/>
      </c>
      <c r="B14" s="25" t="n">
        <v>46151</v>
      </c>
      <c r="C14" s="26" t="n">
        <v>0.3819444444444444</v>
      </c>
      <c r="D14" s="27" t="n">
        <v>0.5701388888888889</v>
      </c>
      <c r="E14" s="26" t="n">
        <v/>
      </c>
      <c r="F14" s="27" t="n">
        <v/>
      </c>
      <c r="G14" s="26" t="n">
        <v/>
      </c>
      <c r="H14" s="27" t="n">
        <v/>
      </c>
      <c r="I14" s="26">
        <f>SUM(D14-C14, F14-E14, H14-G14)</f>
        <v/>
      </c>
      <c r="J14" s="28" t="inlineStr">
        <is>
          <t>OT # 176411. Pachicutza, en la Est 232448 se cambia el seccionador tirafusible en mal estado. El Oasis, Est 128464 se arregla acometida del Medidor 216870, arrancada por caída de árbol. El Guismi, Med # 18-233282 se cambia el breker general, daño en los conectores terminales talón.</t>
        </is>
      </c>
      <c r="K14">
        <f>SUM((D14-C14)*2.0*24)</f>
        <v/>
      </c>
    </row>
    <row r="15" ht="18.75" customHeight="1">
      <c r="A15" s="20">
        <f>IF(B15&gt;0,PROPER(TEXT(B15,"dddd")),"")</f>
        <v/>
      </c>
      <c r="B15" s="21" t="n">
        <v>46152</v>
      </c>
      <c r="C15" s="26" t="n">
        <v>0.4069444444444444</v>
      </c>
      <c r="D15" s="27" t="n">
        <v>0.5208333333333334</v>
      </c>
      <c r="E15" s="26" t="n">
        <v>0.5416666666666666</v>
      </c>
      <c r="F15" s="27" t="n">
        <v>0.7347222222222223</v>
      </c>
      <c r="G15" s="26" t="n">
        <v/>
      </c>
      <c r="H15" s="27" t="n">
        <v/>
      </c>
      <c r="I15" s="26">
        <f>SUM(D15-C15, F15-E15, H15-G15)</f>
        <v/>
      </c>
      <c r="J15" s="28" t="inlineStr">
        <is>
          <t>OT # 176414. Chanzas, Est 173835 se encuentra el fusible normal derivación a Las Orquideas, se traslada hasta donde llega la camioneta y de ahí se traslada caminando al estructura 128293 para revisar el transformador en Chanzas Alto estructura 128292; se rehabilita el Trafo # 15092 de 5 kVA; Causa: descargas atmosféricas. OT # 176414. Traslado Chanzas - El Pangui - El Mirador, estructura 32520 se arregla el neutro de la acometida del medidor 18-267887 por maquinaria desconocida.</t>
        </is>
      </c>
      <c r="K15">
        <f>SUM((D15-C15)*2.0*24,(F15-E15)*2.0*24)</f>
        <v/>
      </c>
    </row>
    <row r="16" ht="18.75" customHeight="1">
      <c r="A16" s="20">
        <f>IF(B16&gt;0,PROPER(TEXT(B16,"dddd")),"")</f>
        <v/>
      </c>
      <c r="B16" s="25" t="n">
        <v>46153</v>
      </c>
      <c r="C16" s="26" t="n">
        <v>0.7083333333333334</v>
      </c>
      <c r="D16" s="27" t="n">
        <v>0.76875</v>
      </c>
      <c r="E16" s="26" t="n">
        <v/>
      </c>
      <c r="F16" s="27" t="n">
        <v/>
      </c>
      <c r="G16" s="26" t="n">
        <v/>
      </c>
      <c r="H16" s="27" t="n">
        <v/>
      </c>
      <c r="I16" s="26">
        <f>SUM(D16-C16, F16-E16, H16-G16)</f>
        <v/>
      </c>
      <c r="J16" s="28" t="inlineStr">
        <is>
          <t>OT # 176458. El Mirador, medidor 206821, se arregla acometida arrancada por volqueta, se normaliza el servicio Traslado de el Mirador a el Pangui.</t>
        </is>
      </c>
      <c r="K16">
        <f>SUM((D16-C16)*1.5*24)</f>
        <v/>
      </c>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0.25</v>
      </c>
      <c r="D18" s="27" t="n">
        <v>0.3333333333333333</v>
      </c>
      <c r="E18" s="26" t="n">
        <v>0.7083333333333334</v>
      </c>
      <c r="F18" s="27" t="n">
        <v>0.7763888888888889</v>
      </c>
      <c r="G18" s="26" t="n">
        <v/>
      </c>
      <c r="H18" s="27" t="n">
        <v/>
      </c>
      <c r="I18" s="26">
        <f>SUM(D18-C18, F18-E18, H18-G18)</f>
        <v/>
      </c>
      <c r="J18" s="28" t="inlineStr">
        <is>
          <t>OT # 176542. Traslado de la Agencia el Pangui a Pachicutza Traslado a pie desde Pachicutza desde donde llega la camioneta a el Cerro Pachicutza, revisión de Medidores de Emisoras de Radio por reporte de falta de energía. OT # 176542. Traslado a pie desde el Cerro Pachicutza hasta la camioneta en Pachicutza, Traslado desde Pachicutza a la agencia el Pangui.</t>
        </is>
      </c>
      <c r="K18">
        <f>SUM((D18-C18)*1.5*24,(F18-E18)*1.5*24)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0.6256944444444444</v>
      </c>
      <c r="D30" s="27" t="n">
        <v>0.7513888888888889</v>
      </c>
      <c r="E30" s="26" t="n">
        <v/>
      </c>
      <c r="F30" s="27" t="n">
        <v/>
      </c>
      <c r="G30" s="26" t="n">
        <v/>
      </c>
      <c r="H30" s="27" t="n">
        <v/>
      </c>
      <c r="I30" s="26">
        <f>SUM(D30-C30, F30-E30, H30-G30)</f>
        <v/>
      </c>
      <c r="J30" s="28" t="inlineStr">
        <is>
          <t xml:space="preserve">OT # 177403. DIA FESTIVO. ¨Batalla de Pichincha”.  Chantzas, estructura 178735 fusible quemado en derivación a Las Orquídeas; se repone tirafusible de 1.3A-SR a las 16:30. Causa: descargas atmosféricas. </t>
        </is>
      </c>
      <c r="K30">
        <f>SUM((D30-C30)*2.0*24)</f>
        <v/>
      </c>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0.7083333333333334</v>
      </c>
      <c r="D33" s="27" t="n">
        <v>0.7868055555555555</v>
      </c>
      <c r="E33" s="26" t="n">
        <v/>
      </c>
      <c r="F33" s="27" t="n">
        <v/>
      </c>
      <c r="G33" s="26" t="n">
        <v/>
      </c>
      <c r="H33" s="27" t="n">
        <v/>
      </c>
      <c r="I33" s="26">
        <f>SUM(D33-C33, F33-E33, H33-G33)</f>
        <v/>
      </c>
      <c r="J33" s="28" t="inlineStr">
        <is>
          <t>OT # 177638. Chuchumbletza, medidor 18-216283 sin energía, se restituye acometida en mal estado (120M) arrancada por volquetas de minería, se normaliza el servicio.</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0.35</v>
      </c>
      <c r="D35" s="27" t="n">
        <v>0.4583333333333333</v>
      </c>
      <c r="E35" s="26" t="n">
        <v>0.5881944444444445</v>
      </c>
      <c r="F35" s="27" t="n">
        <v>0.6805555555555556</v>
      </c>
      <c r="G35" s="26" t="n">
        <v/>
      </c>
      <c r="H35" s="27" t="n">
        <v/>
      </c>
      <c r="I35" s="26">
        <f>SUM(D35-C35, F35-E35, H35-G35)</f>
        <v/>
      </c>
      <c r="J35" s="28" t="inlineStr">
        <is>
          <t>OT # 177806. Tundayme, estructura 271527 se encuentra la estructura de 9 Mts tipo H chocado por vehículo desconocido, se regula la RBV en la estructura 204371; en la estructura. 271528 se rehabilita el transformador 20360 de 50KVA. Queda pendiente el cambio de estructura. OT # 177806. Chuchumbletza, estructura. 68380, medidor 18-216283 se realiza desbroce de vegetación y se arregla acometida arrancada por caída de árbol.</t>
        </is>
      </c>
      <c r="K35">
        <f>SUM((D35-C35)*2.0*24,(F35-E35)*2.0*24)</f>
        <v/>
      </c>
    </row>
    <row r="36" ht="18.75" customHeight="1">
      <c r="A36" s="29">
        <f>IF(B36&gt;0,PROPER(TEXT(B36,"dddd")),"")</f>
        <v/>
      </c>
      <c r="B36" s="21" t="n">
        <v>46173</v>
      </c>
      <c r="C36" s="30" t="n">
        <v>0.3520833333333334</v>
      </c>
      <c r="D36" s="31" t="n">
        <v>0.5333333333333333</v>
      </c>
      <c r="E36" s="30" t="n">
        <v/>
      </c>
      <c r="F36" s="31" t="n">
        <v/>
      </c>
      <c r="G36" s="30" t="n">
        <v/>
      </c>
      <c r="H36" s="31" t="n">
        <v/>
      </c>
      <c r="I36" s="30">
        <f>SUM(D36-C36, F36-E36, H36-G36)</f>
        <v/>
      </c>
      <c r="J36" s="32" t="inlineStr">
        <is>
          <t xml:space="preserve">OT # 177814. El Oasis, estructura 21288 se revisa la LMV y en la estructura 33417 se encuentra el estructura de 11 Mts tipo R quebrado; El transformador 10745 de 5 KVA caído del estructura y a media estructura enredado en las acometidas por causa de choque de vehículo desconocido. Se vuelve a instalar el transformador y queda provisional hasta poder cambiar la estructura. </t>
        </is>
      </c>
      <c r="K36">
        <f>SUM((D36-C36)*2.0*24)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2.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MENDIETA MENDIETA HENRRY ALEXANDER</t>
        </is>
      </c>
      <c r="I2" s="7">
        <f>SUM(K6:K36)</f>
        <v/>
      </c>
      <c r="J2" s="8" t="inlineStr">
        <is>
          <t>TOTAL</t>
        </is>
      </c>
    </row>
    <row r="3" ht="18.75" customHeight="1">
      <c r="A3" s="9" t="inlineStr">
        <is>
          <t>Cuadrilla o Agencia:</t>
        </is>
      </c>
      <c r="B3" s="9" t="n"/>
      <c r="C3" s="9" t="n"/>
      <c r="D3" s="9" t="n"/>
      <c r="E3" s="10" t="n"/>
      <c r="F3" s="10" t="n"/>
      <c r="G3" s="10" t="n"/>
      <c r="H3" s="6" t="inlineStr">
        <is>
          <t>Cuadrilla El Pangui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0.7083333333333334</v>
      </c>
      <c r="D11" s="27" t="n">
        <v>0.7791666666666667</v>
      </c>
      <c r="E11" s="26" t="n">
        <v/>
      </c>
      <c r="F11" s="27" t="n">
        <v/>
      </c>
      <c r="G11" s="26" t="n">
        <v/>
      </c>
      <c r="H11" s="27" t="n">
        <v/>
      </c>
      <c r="I11" s="43">
        <f>SUM(D11-C11, F11-E11, H11-G11)</f>
        <v/>
      </c>
      <c r="J11" s="28" t="inlineStr">
        <is>
          <t>OT # 176157. San Miguel, Est 126989 se desbroza vegetación y se arregla RBV arrancada por caída de árbol; En la Est 126991 se rehabilita el transformador 13661 de 5 kVA.</t>
        </is>
      </c>
      <c r="K11">
        <f>SUM((D11-C11)*1.5*24)</f>
        <v/>
      </c>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0.7083333333333334</v>
      </c>
      <c r="D16" s="27" t="n">
        <v>0.7638888888888888</v>
      </c>
      <c r="E16" s="26" t="n">
        <v/>
      </c>
      <c r="F16" s="27" t="n">
        <v/>
      </c>
      <c r="G16" s="26" t="n">
        <v/>
      </c>
      <c r="H16" s="27" t="n">
        <v/>
      </c>
      <c r="I16" s="26">
        <f>SUM(D16-C16, F16-E16, H16-G16)</f>
        <v/>
      </c>
      <c r="J16" s="28" t="inlineStr">
        <is>
          <t>OT # 176448. Traslado desde La Orquídeas hasta El Pangui, se revisa Medidor 32695 y falta una fase. Por fuertes lluvias se planifica el día de mañana, estructura 227938.</t>
        </is>
      </c>
      <c r="K16">
        <f>SUM((D16-C16)*1.5*24)</f>
        <v/>
      </c>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0.7083333333333334</v>
      </c>
      <c r="D18" s="27" t="n">
        <v>0.8173611111111111</v>
      </c>
      <c r="E18" s="26" t="n">
        <v/>
      </c>
      <c r="F18" s="27" t="n">
        <v/>
      </c>
      <c r="G18" s="26" t="n">
        <v/>
      </c>
      <c r="H18" s="27" t="n">
        <v/>
      </c>
      <c r="I18" s="26">
        <f>SUM(D18-C18, F18-E18, H18-G18)</f>
        <v/>
      </c>
      <c r="J18" s="28" t="inlineStr">
        <is>
          <t>OT # 176655. Y del Guismi, se realiza excavación de un hueco para intercalar una estructura de LMT entre las estructura. 28482 y 28483. La Argelia, sector Flor de los Andes sin energía, estructura 127460 fusible quemado, se repone tirafusible de 6A-K a las (18:30). Causa: descargas atmosféricas.</t>
        </is>
      </c>
      <c r="K18">
        <f>SUM((D18-C18)*1.5*24)</f>
        <v/>
      </c>
    </row>
    <row r="19" ht="18.75" customHeight="1">
      <c r="A19" s="20">
        <f>IF(B19&gt;0,PROPER(TEXT(B19,"dddd")),"")</f>
        <v/>
      </c>
      <c r="B19" s="25" t="n">
        <v>46156</v>
      </c>
      <c r="C19" s="26" t="n">
        <v>0.7083333333333334</v>
      </c>
      <c r="D19" s="27" t="n">
        <v>0.8888888888888888</v>
      </c>
      <c r="E19" s="26" t="n">
        <v/>
      </c>
      <c r="F19" s="27" t="n">
        <v/>
      </c>
      <c r="G19" s="26" t="n">
        <v/>
      </c>
      <c r="H19" s="27" t="n">
        <v/>
      </c>
      <c r="I19" s="26">
        <f>SUM(D19-C19, F19-E19, H19-G19)</f>
        <v/>
      </c>
      <c r="J19" s="28" t="inlineStr">
        <is>
          <t>OT # 176734. Gualaquiza, estructura 303736 se apoya al grupo de Fernando Guzmán en conjunto con el grupo de Luis Agurto y la grúa de Richard Pinzón en el cambio de estructura en mal estado. Trabajos realizados con tensión el medio voltaje. Traslado desde Gualaquiza hasta la agencia El Pangui.</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0.4444444444444444</v>
      </c>
      <c r="D22" s="27" t="n">
        <v>0.4944444444444445</v>
      </c>
      <c r="E22" s="26" t="n">
        <v/>
      </c>
      <c r="F22" s="27" t="n">
        <v/>
      </c>
      <c r="G22" s="26" t="n">
        <v/>
      </c>
      <c r="H22" s="27" t="n">
        <v/>
      </c>
      <c r="I22" s="26">
        <f>SUM(D22-C22, F22-E22, H22-G22)</f>
        <v/>
      </c>
      <c r="J22" s="28" t="inlineStr">
        <is>
          <t>OT # 176899. Barrio Jesús del Gran Poder, Est # 276260, medidor 268074, se arregla acometida arrancada por maquinaria.</t>
        </is>
      </c>
      <c r="K22">
        <f>SUM((D22-C22)*2.0*24)</f>
        <v/>
      </c>
    </row>
    <row r="23" ht="18.75" customHeight="1">
      <c r="A23" s="20">
        <f>IF(B23&gt;0,PROPER(TEXT(B23,"dddd")),"")</f>
        <v/>
      </c>
      <c r="B23" s="25" t="n">
        <v>46160</v>
      </c>
      <c r="C23" s="26" t="n">
        <v>0.7645833333333333</v>
      </c>
      <c r="D23" s="27" t="n">
        <v>0.7902777777777777</v>
      </c>
      <c r="E23" s="26" t="n">
        <v/>
      </c>
      <c r="F23" s="27" t="n">
        <v/>
      </c>
      <c r="G23" s="26" t="n">
        <v/>
      </c>
      <c r="H23" s="27" t="n">
        <v/>
      </c>
      <c r="I23" s="26">
        <f>SUM(D23-C23, F23-E23, H23-G23)</f>
        <v/>
      </c>
      <c r="J23" s="28" t="inlineStr">
        <is>
          <t xml:space="preserve">OT # 176945. El Pangui, estructura 276065 se rehabilita el transformador 26653 de 37.5 KVA; Causa: caída de rama en la RBV estructura 276033. </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0.6256944444444444</v>
      </c>
      <c r="D30" s="27" t="n">
        <v>0.7513888888888889</v>
      </c>
      <c r="E30" s="26" t="n">
        <v/>
      </c>
      <c r="F30" s="27" t="n">
        <v/>
      </c>
      <c r="G30" s="26" t="n">
        <v/>
      </c>
      <c r="H30" s="27" t="n">
        <v/>
      </c>
      <c r="I30" s="26">
        <f>SUM(D30-C30, F30-E30, H30-G30)</f>
        <v/>
      </c>
      <c r="J30" s="28" t="inlineStr">
        <is>
          <t xml:space="preserve">OT # 177403. DIA FESTIVO. ¨Batalla de Pichincha”.  Chantzas, estructura 178735 fusible quemado en derivación a Las Orquídeas; se repone tirafusible de 1.3A-SR a las 16:30. Causa: descargas atmosféricas. </t>
        </is>
      </c>
      <c r="K30">
        <f>SUM((D30-C30)*2.0*24)</f>
        <v/>
      </c>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0.2916666666666667</v>
      </c>
      <c r="D32" s="27" t="n">
        <v>0.3333333333333333</v>
      </c>
      <c r="E32" s="26" t="n">
        <v/>
      </c>
      <c r="F32" s="27" t="n">
        <v/>
      </c>
      <c r="G32" s="26" t="n">
        <v/>
      </c>
      <c r="H32" s="27" t="n">
        <v/>
      </c>
      <c r="I32" s="26">
        <f>SUM(D32-C32, F32-E32, H32-G32)</f>
        <v/>
      </c>
      <c r="J32" s="28" t="inlineStr">
        <is>
          <t>OT # 177540. La Recta, estructura impactada en una obra reciente, estructura 291787, se informa para que el ingeniero contratista realice el arreglo. Se cierra el Reconectador La Recta según SP 11031014789.</t>
        </is>
      </c>
      <c r="K32">
        <f>SUM((D32-C32)*1.5*24)</f>
        <v/>
      </c>
    </row>
    <row r="33" ht="18.75" customHeight="1">
      <c r="A33" s="20">
        <f>IF(B33&gt;0,PROPER(TEXT(B33,"dddd")),"")</f>
        <v/>
      </c>
      <c r="B33" s="21" t="n">
        <v>46170</v>
      </c>
      <c r="C33" s="26" t="n">
        <v>0.2916666666666667</v>
      </c>
      <c r="D33" s="27" t="n">
        <v>0.3333333333333333</v>
      </c>
      <c r="E33" s="26" t="n">
        <v/>
      </c>
      <c r="F33" s="27" t="n">
        <v/>
      </c>
      <c r="G33" s="26" t="n">
        <v/>
      </c>
      <c r="H33" s="27" t="n">
        <v/>
      </c>
      <c r="I33" s="26">
        <f>SUM(D33-C33, F33-E33, H33-G33)</f>
        <v/>
      </c>
      <c r="J33" s="28" t="inlineStr">
        <is>
          <t xml:space="preserve">OT # 177636. La Recta, maniobras en coordinación con cel Centro de Control según SP 11031014789. </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0.35</v>
      </c>
      <c r="D35" s="27" t="n">
        <v>0.4583333333333333</v>
      </c>
      <c r="E35" s="26" t="n">
        <v>0.5881944444444445</v>
      </c>
      <c r="F35" s="27" t="n">
        <v>0.6805555555555556</v>
      </c>
      <c r="G35" s="26" t="n">
        <v/>
      </c>
      <c r="H35" s="27" t="n">
        <v/>
      </c>
      <c r="I35" s="26">
        <f>SUM(D35-C35, F35-E35, H35-G35)</f>
        <v/>
      </c>
      <c r="J35" s="28" t="inlineStr">
        <is>
          <t>OT # 177806. Tundayme, estructura 271527 se encuentra la estructura de 9 Mts tipo H chocado por vehículo desconocido, se regula la RBV en la estructura 204371; en la estructura. 271528 se rehabilita el transformador 20360 de 50KVA. Queda pendiente el cambio de estructura. OT # 177806. Chuchumbletza, estructura. 68380, medidor 18-216283 se realiza desbroce de vegetación y se arregla acometida arrancada por caída de árbol.</t>
        </is>
      </c>
      <c r="K35">
        <f>SUM((D35-C35)*2.0*24,(F35-E35)*2.0*24)</f>
        <v/>
      </c>
    </row>
    <row r="36" ht="18.75" customHeight="1">
      <c r="A36" s="29">
        <f>IF(B36&gt;0,PROPER(TEXT(B36,"dddd")),"")</f>
        <v/>
      </c>
      <c r="B36" s="21" t="n">
        <v>46173</v>
      </c>
      <c r="C36" s="30" t="n">
        <v>0.3520833333333334</v>
      </c>
      <c r="D36" s="31" t="n">
        <v>0.5333333333333333</v>
      </c>
      <c r="E36" s="30" t="n">
        <v/>
      </c>
      <c r="F36" s="31" t="n">
        <v/>
      </c>
      <c r="G36" s="30" t="n">
        <v/>
      </c>
      <c r="H36" s="31" t="n">
        <v/>
      </c>
      <c r="I36" s="30">
        <f>SUM(D36-C36, F36-E36, H36-G36)</f>
        <v/>
      </c>
      <c r="J36" s="32" t="inlineStr">
        <is>
          <t xml:space="preserve">OT # 177814. El Oasis, estructura 21288 se revisa la LMV y en la estructura 33417 se encuentra el estructura de 11 Mts tipo R quebrado; El transformador 10745 de 5 KVA caído del estructura y a media estructura enredado en las acometidas por causa de choque de vehículo desconocido. Se vuelve a instalar el transformador y queda provisional hasta poder cambiar la estructura. </t>
        </is>
      </c>
      <c r="K36">
        <f>SUM((D36-C36)*2.0*24)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3.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DIAS CURAY ANDRES XAVIER</t>
        </is>
      </c>
      <c r="I2" s="7">
        <f>SUM(K6:K36)</f>
        <v/>
      </c>
      <c r="J2" s="8" t="inlineStr">
        <is>
          <t>TOTAL</t>
        </is>
      </c>
    </row>
    <row r="3" ht="18.75" customHeight="1">
      <c r="A3" s="9" t="inlineStr">
        <is>
          <t>Cuadrilla o Agencia:</t>
        </is>
      </c>
      <c r="B3" s="9" t="n"/>
      <c r="C3" s="9" t="n"/>
      <c r="D3" s="9" t="n"/>
      <c r="E3" s="10" t="n"/>
      <c r="F3" s="10" t="n"/>
      <c r="G3" s="10" t="n"/>
      <c r="H3" s="6" t="inlineStr">
        <is>
          <t>Cuadrilla El Pangui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0.7083333333333334</v>
      </c>
      <c r="D11" s="27" t="n">
        <v>0.7791666666666667</v>
      </c>
      <c r="E11" s="26" t="n">
        <v/>
      </c>
      <c r="F11" s="27" t="n">
        <v/>
      </c>
      <c r="G11" s="26" t="n">
        <v/>
      </c>
      <c r="H11" s="27" t="n">
        <v/>
      </c>
      <c r="I11" s="43">
        <f>SUM(D11-C11, F11-E11, H11-G11)</f>
        <v/>
      </c>
      <c r="J11" s="28" t="inlineStr">
        <is>
          <t>OT # 176157. San Miguel, Est 126989 se desbroza vegetación y se arregla RBV arrancada por caída de árbol; En la Est 126991 se rehabilita el transformador 13661 de 5 kVA.</t>
        </is>
      </c>
      <c r="K11">
        <f>SUM((D11-C11)*1.5*24)</f>
        <v/>
      </c>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0.7083333333333334</v>
      </c>
      <c r="D13" s="27" t="n">
        <v>0.7715277777777778</v>
      </c>
      <c r="E13" s="26" t="n">
        <v/>
      </c>
      <c r="F13" s="27" t="n">
        <v/>
      </c>
      <c r="G13" s="26" t="n">
        <v/>
      </c>
      <c r="H13" s="27" t="n">
        <v/>
      </c>
      <c r="I13" s="22">
        <f>SUM(D13-C13, F13-E13, H13-G13)</f>
        <v/>
      </c>
      <c r="J13" s="28" t="inlineStr">
        <is>
          <t xml:space="preserve">OT # 176312. La Argelia, revisión de LMV en la Est 127415 se repone tirafusible hasta el sector de Chanzas, sin novedad; Causa: descargas atmosféricas. </t>
        </is>
      </c>
      <c r="K13">
        <f>SUM((D13-C13)*1.5*24)</f>
        <v/>
      </c>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0.7083333333333334</v>
      </c>
      <c r="D17" s="27" t="n">
        <v>0.7645833333333333</v>
      </c>
      <c r="E17" s="26" t="n">
        <v/>
      </c>
      <c r="F17" s="27" t="n">
        <v/>
      </c>
      <c r="G17" s="26" t="n">
        <v/>
      </c>
      <c r="H17" s="27" t="n">
        <v/>
      </c>
      <c r="I17" s="26">
        <f>SUM(D17-C17, F17-E17, H17-G17)</f>
        <v/>
      </c>
      <c r="J17" s="28" t="inlineStr">
        <is>
          <t>OT # 176571. Soldado Rivera Alto, postes: 127604, 127605 se arregla RBV arrancada por vegetación, se empalma y se tensa, traslado de Soldado Rivera hasta El Pangui</t>
        </is>
      </c>
      <c r="K17">
        <f>SUM((D17-C17)*1.5*24)</f>
        <v/>
      </c>
    </row>
    <row r="18" ht="18.75" customHeight="1">
      <c r="A18" s="20">
        <f>IF(B18&gt;0,PROPER(TEXT(B18,"dddd")),"")</f>
        <v/>
      </c>
      <c r="B18" s="21" t="n">
        <v>46155</v>
      </c>
      <c r="C18" s="26" t="n">
        <v>0.7083333333333334</v>
      </c>
      <c r="D18" s="27" t="n">
        <v>0.8173611111111111</v>
      </c>
      <c r="E18" s="26" t="n">
        <v/>
      </c>
      <c r="F18" s="27" t="n">
        <v/>
      </c>
      <c r="G18" s="26" t="n">
        <v/>
      </c>
      <c r="H18" s="27" t="n">
        <v/>
      </c>
      <c r="I18" s="26">
        <f>SUM(D18-C18, F18-E18, H18-G18)</f>
        <v/>
      </c>
      <c r="J18" s="28" t="inlineStr">
        <is>
          <t>OT # 176655. Y del Guismi, se realiza excavación de un hueco para intercalar una estructura de LMT entre las estructura. 28482 y 28483. La Argelia, sector Flor de los Andes sin energía, estructura 127460 fusible quemado, se repone tirafusible de 6A-K a las (18:30). Causa: descargas atmosféricas.</t>
        </is>
      </c>
      <c r="K18">
        <f>SUM((D18-C18)*1.5*24)</f>
        <v/>
      </c>
    </row>
    <row r="19" ht="18.75" customHeight="1">
      <c r="A19" s="20">
        <f>IF(B19&gt;0,PROPER(TEXT(B19,"dddd")),"")</f>
        <v/>
      </c>
      <c r="B19" s="25" t="n">
        <v>46156</v>
      </c>
      <c r="C19" s="26" t="n">
        <v>0.7083333333333334</v>
      </c>
      <c r="D19" s="27" t="n">
        <v>0.8888888888888888</v>
      </c>
      <c r="E19" s="26" t="n">
        <v/>
      </c>
      <c r="F19" s="27" t="n">
        <v/>
      </c>
      <c r="G19" s="26" t="n">
        <v/>
      </c>
      <c r="H19" s="27" t="n">
        <v/>
      </c>
      <c r="I19" s="26">
        <f>SUM(D19-C19, F19-E19, H19-G19)</f>
        <v/>
      </c>
      <c r="J19" s="28" t="inlineStr">
        <is>
          <t>OT # 176734. Gualaquiza, estructura 303736 se apoya al grupo de Fernando Guzmán en conjunto con el grupo de Luis Agurto y la grúa de Richard Pinzón en el cambio de estructura en mal estado. Trabajos realizados con tensión el medio voltaje. Traslado desde Gualaquiza hasta la agencia El Pangui.</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0.7645833333333333</v>
      </c>
      <c r="D23" s="27" t="n">
        <v>0.7902777777777777</v>
      </c>
      <c r="E23" s="26" t="n">
        <v/>
      </c>
      <c r="F23" s="27" t="n">
        <v/>
      </c>
      <c r="G23" s="26" t="n">
        <v/>
      </c>
      <c r="H23" s="27" t="n">
        <v/>
      </c>
      <c r="I23" s="26">
        <f>SUM(D23-C23, F23-E23, H23-G23)</f>
        <v/>
      </c>
      <c r="J23" s="28" t="inlineStr">
        <is>
          <t xml:space="preserve">OT # 176945. El Pangui, estructura 276065 se rehabilita el transformador 26653 de 37.5 KVA; Causa: caída de rama en la RBV estructura 276033. </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0.8486111111111111</v>
      </c>
      <c r="D25" s="27" t="n">
        <v>0.8979166666666667</v>
      </c>
      <c r="E25" s="26" t="n">
        <v/>
      </c>
      <c r="F25" s="27" t="n">
        <v/>
      </c>
      <c r="G25" s="26" t="n">
        <v/>
      </c>
      <c r="H25" s="27" t="n">
        <v/>
      </c>
      <c r="I25" s="26">
        <f>SUM(D25-C25, F25-E25, H25-G25)</f>
        <v/>
      </c>
      <c r="J25" s="28" t="inlineStr">
        <is>
          <t>OT # 177175. Barrio 24 de Mayo, Est 276065 se encuentra un árbol sobre la RBV, árbol es talado por terceras personas, se retira, se despeja y rehabilita el Trafo # 26653 de 37,5 kVA.</t>
        </is>
      </c>
      <c r="K25">
        <f>SUM((D25-C25)*1.5*24)</f>
        <v/>
      </c>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0.2916666666666667</v>
      </c>
      <c r="D32" s="27" t="n">
        <v>0.3333333333333333</v>
      </c>
      <c r="E32" s="26" t="n">
        <v/>
      </c>
      <c r="F32" s="27" t="n">
        <v/>
      </c>
      <c r="G32" s="26" t="n">
        <v/>
      </c>
      <c r="H32" s="27" t="n">
        <v/>
      </c>
      <c r="I32" s="26">
        <f>SUM(D32-C32, F32-E32, H32-G32)</f>
        <v/>
      </c>
      <c r="J32" s="28" t="inlineStr">
        <is>
          <t>OT # 177540. La Recta, estructura impactada en una obra reciente, estructura 291787, se informa para que el ingeniero contratista realice el arreglo. Se cierra el Reconectador La Recta según SP 11031014789.</t>
        </is>
      </c>
      <c r="K32">
        <f>SUM((D32-C32)*1.5*24)</f>
        <v/>
      </c>
    </row>
    <row r="33" ht="18.75" customHeight="1">
      <c r="A33" s="20">
        <f>IF(B33&gt;0,PROPER(TEXT(B33,"dddd")),"")</f>
        <v/>
      </c>
      <c r="B33" s="21" t="n">
        <v>46170</v>
      </c>
      <c r="C33" s="26" t="n">
        <v>0.2916666666666667</v>
      </c>
      <c r="D33" s="27" t="n">
        <v>0.3333333333333333</v>
      </c>
      <c r="E33" s="26" t="n">
        <v/>
      </c>
      <c r="F33" s="27" t="n">
        <v/>
      </c>
      <c r="G33" s="26" t="n">
        <v/>
      </c>
      <c r="H33" s="27" t="n">
        <v/>
      </c>
      <c r="I33" s="26">
        <f>SUM(D33-C33, F33-E33, H33-G33)</f>
        <v/>
      </c>
      <c r="J33" s="28" t="inlineStr">
        <is>
          <t xml:space="preserve">OT # 177636. La Recta, maniobras en coordinación con cel Centro de Control según SP 11031014789. </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SALDAÑA PRIETO ANTHONY MICHAEL</t>
        </is>
      </c>
      <c r="I2" s="7">
        <f>SUM(K6:K36)</f>
        <v/>
      </c>
      <c r="J2" s="8" t="inlineStr">
        <is>
          <t>TOTAL</t>
        </is>
      </c>
    </row>
    <row r="3" ht="18.75" customHeight="1">
      <c r="A3" s="9" t="inlineStr">
        <is>
          <t>Cuadrilla o Agencia:</t>
        </is>
      </c>
      <c r="B3" s="9" t="n"/>
      <c r="C3" s="9" t="n"/>
      <c r="D3" s="9" t="n"/>
      <c r="E3" s="10" t="n"/>
      <c r="F3" s="10" t="n"/>
      <c r="G3" s="10" t="n"/>
      <c r="H3" s="6" t="inlineStr">
        <is>
          <t>Agencia El Pangui</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0.7083333333333334</v>
      </c>
      <c r="D16" s="27" t="n">
        <v>0.76875</v>
      </c>
      <c r="E16" s="26" t="n">
        <v/>
      </c>
      <c r="F16" s="27" t="n">
        <v/>
      </c>
      <c r="G16" s="26" t="n">
        <v/>
      </c>
      <c r="H16" s="27" t="n">
        <v/>
      </c>
      <c r="I16" s="26">
        <f>SUM(D16-C16, F16-E16, H16-G16)</f>
        <v/>
      </c>
      <c r="J16" s="28" t="inlineStr">
        <is>
          <t>OT # 176458. El Mirador, medidor 206821, se arregla acometida arrancada por volqueta, se normaliza el servicio Traslado de el Mirador a el Pangui.</t>
        </is>
      </c>
      <c r="K16">
        <f>SUM((D16-C16)*1.5*24)</f>
        <v/>
      </c>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0.7083333333333334</v>
      </c>
      <c r="D18" s="27" t="n">
        <v>0.8173611111111111</v>
      </c>
      <c r="E18" s="26" t="n">
        <v/>
      </c>
      <c r="F18" s="27" t="n">
        <v/>
      </c>
      <c r="G18" s="26" t="n">
        <v/>
      </c>
      <c r="H18" s="27" t="n">
        <v/>
      </c>
      <c r="I18" s="26">
        <f>SUM(D18-C18, F18-E18, H18-G18)</f>
        <v/>
      </c>
      <c r="J18" s="28" t="inlineStr">
        <is>
          <t>OT # 176655. Y del Guismi, se realiza excavación de un hueco para intercalar una estructura de LMT entre las estructura. 28482 y 28483. La Argelia, sector Flor de los Andes sin energía, estructura 127460 fusible quemado, se repone tirafusible de 6A-K a las (18:30). Causa: descargas atmosféricas.</t>
        </is>
      </c>
      <c r="K18">
        <f>SUM((D18-C18)*1.5*24)</f>
        <v/>
      </c>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0.4444444444444444</v>
      </c>
      <c r="D22" s="27" t="n">
        <v>0.4944444444444445</v>
      </c>
      <c r="E22" s="26" t="n">
        <v/>
      </c>
      <c r="F22" s="27" t="n">
        <v/>
      </c>
      <c r="G22" s="26" t="n">
        <v/>
      </c>
      <c r="H22" s="27" t="n">
        <v/>
      </c>
      <c r="I22" s="26">
        <f>SUM(D22-C22, F22-E22, H22-G22)</f>
        <v/>
      </c>
      <c r="J22" s="28" t="inlineStr">
        <is>
          <t>OT # 176899. Barrio Jesús del Gran Poder, Est # 276260, medidor 268074, se arregla acometida arrancada por maquinaria.</t>
        </is>
      </c>
      <c r="K22">
        <f>SUM((D22-C22)*2.0*24)</f>
        <v/>
      </c>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0.7083333333333334</v>
      </c>
      <c r="D33" s="27" t="n">
        <v>0.7868055555555555</v>
      </c>
      <c r="E33" s="26" t="n">
        <v/>
      </c>
      <c r="F33" s="27" t="n">
        <v/>
      </c>
      <c r="G33" s="26" t="n">
        <v/>
      </c>
      <c r="H33" s="27" t="n">
        <v/>
      </c>
      <c r="I33" s="26">
        <f>SUM(D33-C33, F33-E33, H33-G33)</f>
        <v/>
      </c>
      <c r="J33" s="28" t="inlineStr">
        <is>
          <t>OT # 177638. Chuchumbletza, medidor 18-216283 sin energía, se restituye acometida en mal estado (120M) arrancada por volquetas de minería, se normaliza el servicio.</t>
        </is>
      </c>
      <c r="K33">
        <f>SUM((D33-C33)*1.5*24)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LOJAN PAZ CARLOS DIEGO</t>
        </is>
      </c>
      <c r="I2" s="7">
        <f>SUM(K6:K36)</f>
        <v/>
      </c>
      <c r="J2" s="8" t="inlineStr">
        <is>
          <t>TOTAL</t>
        </is>
      </c>
    </row>
    <row r="3" ht="18.75" customHeight="1">
      <c r="A3" s="9" t="inlineStr">
        <is>
          <t>Cuadrilla o Agencia:</t>
        </is>
      </c>
      <c r="B3" s="9" t="n"/>
      <c r="C3" s="9" t="n"/>
      <c r="D3" s="9" t="n"/>
      <c r="E3" s="10" t="n"/>
      <c r="F3" s="10" t="n"/>
      <c r="G3" s="10" t="n"/>
      <c r="H3" s="6" t="inlineStr">
        <is>
          <t>Cuadrilla Gualaquiza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0.7486111111111111</v>
      </c>
      <c r="D6" s="23" t="n">
        <v>0.9125</v>
      </c>
      <c r="E6" s="22" t="n">
        <v/>
      </c>
      <c r="F6" s="23" t="n">
        <v/>
      </c>
      <c r="G6" s="22" t="n">
        <v/>
      </c>
      <c r="H6" s="23" t="n">
        <v/>
      </c>
      <c r="I6" s="22">
        <f>SUM(D6-C6, F6-E6, H6-G6)</f>
        <v/>
      </c>
      <c r="J6" s="24" t="inlineStr">
        <is>
          <t xml:space="preserve">OT # 176062. DIA FESTIVO. “Día del Trabajo”. Yumasa, se recorre RBV, se retira caña guadua, se resetea Trafo # 169991 en la Est 02807. La Gruta, acometida en cortocircuito, se retira parte en ml estado,se empalma y se tensa en la Est 127964. La Gruta – El Pangui, se arregla a cometida sobrecalentada, se reajusta borneras en el Medidor 1000377229. </t>
        </is>
      </c>
      <c r="K6">
        <f>SUM((D6-C6)*2.0*24)</f>
        <v/>
      </c>
    </row>
    <row r="7" ht="18.75" customHeight="1">
      <c r="A7" s="20">
        <f>IF(B7&gt;0,PROPER(TEXT(B7,"dddd")),"")</f>
        <v/>
      </c>
      <c r="B7" s="25" t="n">
        <v>46144</v>
      </c>
      <c r="C7" s="26" t="n">
        <v>0.7222222222222222</v>
      </c>
      <c r="D7" s="27" t="n">
        <v>0.8972222222222223</v>
      </c>
      <c r="E7" s="26" t="n">
        <v/>
      </c>
      <c r="F7" s="27" t="n">
        <v/>
      </c>
      <c r="G7" s="26" t="n">
        <v/>
      </c>
      <c r="H7" s="27" t="n">
        <v/>
      </c>
      <c r="I7" s="26">
        <f>SUM(D7-C7, F7-E7, H7-G7)</f>
        <v/>
      </c>
      <c r="J7" s="28" t="inlineStr">
        <is>
          <t>OT # 176214. Gualaquiza, RBV arrancada por corto circuito; se recupera conductor en buen estado, empalme, se construyen conexion de cruces, se resetea Trafo # 10608 de 37,5 kVA en la Est 40701. Guabi, se revisa LMV, se revisa trafo # 24402 de 5 kva en la Est 62968, se cambia tirafusible de 20-A-K en la Est 62996.</t>
        </is>
      </c>
      <c r="K7">
        <f>SUM((D7-C7)*2.0*24)</f>
        <v/>
      </c>
    </row>
    <row r="8" ht="18.75" customHeight="1">
      <c r="A8" s="20">
        <f>IF(B8&gt;0,PROPER(TEXT(B8,"dddd")),"")</f>
        <v/>
      </c>
      <c r="B8" s="25" t="n">
        <v>46145</v>
      </c>
      <c r="C8" s="26" t="n">
        <v>0.6548611111111111</v>
      </c>
      <c r="D8" s="27" t="n">
        <v>0.7381944444444445</v>
      </c>
      <c r="E8" s="26" t="n">
        <v/>
      </c>
      <c r="F8" s="27" t="n">
        <v/>
      </c>
      <c r="G8" s="26" t="n">
        <v/>
      </c>
      <c r="H8" s="27" t="n">
        <v/>
      </c>
      <c r="I8" s="26">
        <f>SUM(D8-C8, F8-E8, H8-G8)</f>
        <v/>
      </c>
      <c r="J8" s="28" t="inlineStr">
        <is>
          <t>OT # 176597. Tunduli, se recorre RBV, se mide cargas se identifica vano con falla, se abre puentes en la estructura 280168, se resetea y transformador, 107805 de 10 kVA, se deja abierto puentes, condiciones climatológicas no permiten continuar.</t>
        </is>
      </c>
      <c r="K8">
        <f>SUM((D8-C8)*2.0*24)</f>
        <v/>
      </c>
    </row>
    <row r="9" ht="18.75" customHeight="1">
      <c r="A9" s="20">
        <f>IF(B9&gt;0,PROPER(TEXT(B9,"dddd")),"")</f>
        <v/>
      </c>
      <c r="B9" s="21" t="n">
        <v>46146</v>
      </c>
      <c r="C9" s="26" t="n">
        <v>0.7083333333333334</v>
      </c>
      <c r="D9" s="27" t="n">
        <v>0.7875</v>
      </c>
      <c r="E9" s="26" t="n">
        <v>0.7881944444444444</v>
      </c>
      <c r="F9" s="27" t="n">
        <v>0.8333333333333334</v>
      </c>
      <c r="G9" s="26" t="n">
        <v/>
      </c>
      <c r="H9" s="27" t="n">
        <v/>
      </c>
      <c r="I9" s="26">
        <f>SUM(D9-C9, F9-E9, H9-G9)</f>
        <v/>
      </c>
      <c r="J9" s="28" t="inlineStr">
        <is>
          <t>OT # 175998. En Barrio Eloy Alfaro, en la Est # 303882 cambio de transformador Laureles se realiza cambio de transformador Nro 26217.  Nueva Zaruma, Med 1262980 estructura 127839, se revisa LMV, se cambia fusible de 6A-T Est 127829.</t>
        </is>
      </c>
      <c r="K9">
        <f>SUM((D9-C9)*1.5*24,(F9-E9)*1.5*24)</f>
        <v/>
      </c>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0.7930555555555555</v>
      </c>
      <c r="D23" s="27" t="n">
        <v>0.9180555555555555</v>
      </c>
      <c r="E23" s="26" t="n">
        <v/>
      </c>
      <c r="F23" s="27" t="n">
        <v/>
      </c>
      <c r="G23" s="26" t="n">
        <v/>
      </c>
      <c r="H23" s="27" t="n">
        <v/>
      </c>
      <c r="I23" s="26">
        <f>SUM(D23-C23, F23-E23, H23-G23)</f>
        <v/>
      </c>
      <c r="J23" s="28" t="inlineStr">
        <is>
          <t>OT # 177194. El Ideal, recorrido de alumrado pulico en el sector El Ideal y Nuevo Zaruma. En Belen, se cambia tirafusible de 10 A-T en la Est 127807. Naichap, se rehabilita Trafo # 21390 de 37.5 kVA. Las peñas, recorrido de alumbrado publico.</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0.1416666666666667</v>
      </c>
      <c r="D27" s="27" t="n">
        <v>0.2256944444444444</v>
      </c>
      <c r="E27" s="26" t="n">
        <v/>
      </c>
      <c r="F27" s="27" t="n">
        <v/>
      </c>
      <c r="G27" s="26" t="n">
        <v/>
      </c>
      <c r="H27" s="27" t="n">
        <v/>
      </c>
      <c r="I27" s="26">
        <f>SUM(D27-C27, F27-E27, H27-G27)</f>
        <v/>
      </c>
      <c r="J27" s="28" t="inlineStr">
        <is>
          <t xml:space="preserve">OT # 177309. Las Peñas, por falla del Reconectador, recorrido de AP Bomboiza, se localiza Fase B en la Est 303773 suelta, perno de ojo fundido. Se ejecutan maniobras para normalizar el servicio en Coordinación con Centro de Control. </t>
        </is>
      </c>
      <c r="K27">
        <f>SUM((D27-C27)*2.0*24)</f>
        <v/>
      </c>
    </row>
    <row r="28" ht="18.75" customHeight="1">
      <c r="A28" s="20">
        <f>IF(B28&gt;0,PROPER(TEXT(B28,"dddd")),"")</f>
        <v/>
      </c>
      <c r="B28" s="25" t="n">
        <v>46165</v>
      </c>
      <c r="C28" s="26" t="n">
        <v>0.3305555555555555</v>
      </c>
      <c r="D28" s="27" t="n">
        <v>0.5416666666666666</v>
      </c>
      <c r="E28" s="26" t="n">
        <v>0.5875</v>
      </c>
      <c r="F28" s="27" t="n">
        <v>0.6486111111111111</v>
      </c>
      <c r="G28" s="26" t="n">
        <v>0.7416666666666667</v>
      </c>
      <c r="H28" s="27" t="n">
        <v>0.8673611111111111</v>
      </c>
      <c r="I28" s="26">
        <f>SUM(D28-C28, F28-E28, H28-G28)</f>
        <v/>
      </c>
      <c r="J28" s="28" t="inlineStr">
        <is>
          <t xml:space="preserve">OT # 177353. Sector Condor, Se apertura Trafo 19152 de 25 kVA, en la Est 128741, a causa de Conexiónes Directas provocan la roptura de la línea, la cual continúa energizada. Se procede a recuperar y empalmar conductor acsr 4. Se realiza desbroce de vegetación en proyección. Se recupera conductor en la estructura 128740.  OT # 177353. San Martin, se limpia borneras de bajante de transformador 10591 de 5Kva y se cambia tirafusible de 1.3 A-SR en la estructura 33077. OT # 177353. Nayamak, se cambia acometida del medidor 18-232128 desde la Est 31263. Las Peñas, se cambia tirafusible de 0.4 A-SR del Trafo # 6315 estructura 194204. Zapotillo, se arregla acometida en cortocircuito del Medidor 1269167. </t>
        </is>
      </c>
      <c r="K28">
        <f>SUM((D28-C28)*2.0*24,(F28-E28)*2.0*24,(H28-G28)*2.0*24)</f>
        <v/>
      </c>
    </row>
    <row r="29" ht="18.75" customHeight="1">
      <c r="A29" s="20">
        <f>IF(B29&gt;0,PROPER(TEXT(B29,"dddd")),"")</f>
        <v/>
      </c>
      <c r="B29" s="25" t="n">
        <v>46166</v>
      </c>
      <c r="C29" s="26" t="n">
        <v>0.3652777777777778</v>
      </c>
      <c r="D29" s="27" t="n">
        <v>0.4930555555555556</v>
      </c>
      <c r="E29" s="26" t="n">
        <v>0.6027777777777777</v>
      </c>
      <c r="F29" s="27" t="n">
        <v>0.6875</v>
      </c>
      <c r="G29" s="26" t="n">
        <v/>
      </c>
      <c r="H29" s="27" t="n">
        <v/>
      </c>
      <c r="I29" s="26">
        <f>SUM(D29-C29, F29-E29, H29-G29)</f>
        <v/>
      </c>
      <c r="J29" s="28" t="inlineStr">
        <is>
          <t>OT # 177614. Cuchipamba, se retira rama sobre la LMV, se cambia Tirafusible de 6 A-T en la estructura 128336. Zapotillo, Se retira acometida sobre calentada en varios puntos, se tensa en la estructura 244720, se conecta en medidor 18-220527. OT # 177614. Gualaquiza Agencia - Belen Belen, Se despega fase uno de neutro. Y se procede a tensar neutro. En la estructura 127807. Se resetea transformador 6822 de 10kva. Se restablece servicio normal. Belen - Gualaquiza Agencia</t>
        </is>
      </c>
      <c r="K29">
        <f>SUM((D29-C29)*2.0*24,(F29-E29)*2.0*24)</f>
        <v/>
      </c>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0.7083333333333334</v>
      </c>
      <c r="D31" s="27" t="n">
        <v>0.7541666666666667</v>
      </c>
      <c r="E31" s="26" t="n">
        <v/>
      </c>
      <c r="F31" s="27" t="n">
        <v/>
      </c>
      <c r="G31" s="26" t="n">
        <v/>
      </c>
      <c r="H31" s="27" t="n">
        <v/>
      </c>
      <c r="I31" s="26">
        <f>SUM(D31-C31, F31-E31, H31-G31)</f>
        <v/>
      </c>
      <c r="J31" s="28" t="inlineStr">
        <is>
          <t>OT # 177471. El Ideal, se revisa RBV y se encuentra rota acometida de la Escuela por vehiculo desconocido, se empalma la acometida, se tensa y se conecta en el medidor Traslado a Gualaquiza, se descarga herramientas.</t>
        </is>
      </c>
      <c r="K31">
        <f>SUM((D31-C31)*1.5*24)</f>
        <v/>
      </c>
    </row>
    <row r="32" ht="18.75" customHeight="1">
      <c r="A32" s="20">
        <f>IF(B32&gt;0,PROPER(TEXT(B32,"dddd")),"")</f>
        <v/>
      </c>
      <c r="B32" s="25" t="n">
        <v>46169</v>
      </c>
      <c r="C32" s="26" t="n">
        <v>0.7083333333333334</v>
      </c>
      <c r="D32" s="27" t="n">
        <v>0.75</v>
      </c>
      <c r="E32" s="26" t="n">
        <v/>
      </c>
      <c r="F32" s="27" t="n">
        <v/>
      </c>
      <c r="G32" s="26" t="n">
        <v/>
      </c>
      <c r="H32" s="27" t="n">
        <v/>
      </c>
      <c r="I32" s="26">
        <f>SUM(D32-C32, F32-E32, H32-G32)</f>
        <v/>
      </c>
      <c r="J32" s="28" t="inlineStr">
        <is>
          <t>OT # 177544. El Pangui, se apoya mantenimiento de la red de LST 69 KV. Estructura 221826. Chuchumbletza, en la estructura 64242 se encuentra unas guaduas por hacer contacto con la red de M/T, se procede a cortar. Traslado a Gualaquiza</t>
        </is>
      </c>
      <c r="K32">
        <f>SUM((D32-C32)*1.5*24)</f>
        <v/>
      </c>
    </row>
    <row r="33" ht="18.75" customHeight="1">
      <c r="A33" s="20">
        <f>IF(B33&gt;0,PROPER(TEXT(B33,"dddd")),"")</f>
        <v/>
      </c>
      <c r="B33" s="21" t="n">
        <v>46170</v>
      </c>
      <c r="C33" s="26" t="n">
        <v>0.2916666666666667</v>
      </c>
      <c r="D33" s="27" t="n">
        <v>0.3298611111111111</v>
      </c>
      <c r="E33" s="26" t="n">
        <v>0.7083333333333334</v>
      </c>
      <c r="F33" s="27" t="n">
        <v>0.7972222222222223</v>
      </c>
      <c r="G33" s="26" t="n">
        <v/>
      </c>
      <c r="H33" s="27" t="n">
        <v/>
      </c>
      <c r="I33" s="26">
        <f>SUM(D33-C33, F33-E33, H33-G33)</f>
        <v/>
      </c>
      <c r="J33" s="28" t="inlineStr">
        <is>
          <t>OT # 177637. En El Pangui, se realiza trabajos programados en LST 69 kV OT # 177637. Pangui se apoya en coordinacion con SCADA para realizar maniobras y normalizar el alimentador Los Encuentros y Reconectador La Recta. La Mision, medidor 1475673, se revisa RBV transformador 26552 de 15 Kva estructura 274075, queda normal el servicio. La Pradera, Medidor 225297 estructura 127742 se revisa LMV, se encuentra quemado el fusible, se revisa y se repone fusible de 0,7 A-SR en la estructura 127739.</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6.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ALMEIDA ENCALADA MANUEL AGUSTIN</t>
        </is>
      </c>
      <c r="I2" s="7">
        <f>SUM(K6:K36)</f>
        <v/>
      </c>
      <c r="J2" s="8" t="inlineStr">
        <is>
          <t>TOTAL</t>
        </is>
      </c>
    </row>
    <row r="3" ht="18.75" customHeight="1">
      <c r="A3" s="9" t="inlineStr">
        <is>
          <t>Cuadrilla o Agencia:</t>
        </is>
      </c>
      <c r="B3" s="9" t="n"/>
      <c r="C3" s="9" t="n"/>
      <c r="D3" s="9" t="n"/>
      <c r="E3" s="10" t="n"/>
      <c r="F3" s="10" t="n"/>
      <c r="G3" s="10" t="n"/>
      <c r="H3" s="6" t="inlineStr">
        <is>
          <t>Cuadrilla Gualaquiza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0.7486111111111111</v>
      </c>
      <c r="D6" s="23" t="n">
        <v>0.9125</v>
      </c>
      <c r="E6" s="22" t="n">
        <v/>
      </c>
      <c r="F6" s="23" t="n">
        <v/>
      </c>
      <c r="G6" s="22" t="n">
        <v/>
      </c>
      <c r="H6" s="23" t="n">
        <v/>
      </c>
      <c r="I6" s="22">
        <f>SUM(D6-C6, F6-E6, H6-G6)</f>
        <v/>
      </c>
      <c r="J6" s="24" t="inlineStr">
        <is>
          <t xml:space="preserve">OT # 176062. DIA FESTIVO. “Día del Trabajo”. Yumasa, se recorre RBV, se retira caña guadua, se resetea Trafo # 169991 en la Est 02807. La Gruta, acometida en cortocircuito, se retira parte en ml estado,se empalma y se tensa en la Est 127964. La Gruta – El Pangui, se arregla a cometida sobrecalentada, se reajusta borneras en el Medidor 1000377229. </t>
        </is>
      </c>
      <c r="K6">
        <f>SUM((D6-C6)*2.0*24)</f>
        <v/>
      </c>
    </row>
    <row r="7" ht="18.75" customHeight="1">
      <c r="A7" s="20">
        <f>IF(B7&gt;0,PROPER(TEXT(B7,"dddd")),"")</f>
        <v/>
      </c>
      <c r="B7" s="25" t="n">
        <v>46144</v>
      </c>
      <c r="C7" s="26" t="n">
        <v>0.7222222222222222</v>
      </c>
      <c r="D7" s="27" t="n">
        <v>0.8972222222222223</v>
      </c>
      <c r="E7" s="26" t="n">
        <v/>
      </c>
      <c r="F7" s="27" t="n">
        <v/>
      </c>
      <c r="G7" s="26" t="n">
        <v/>
      </c>
      <c r="H7" s="27" t="n">
        <v/>
      </c>
      <c r="I7" s="26">
        <f>SUM(D7-C7, F7-E7, H7-G7)</f>
        <v/>
      </c>
      <c r="J7" s="28" t="inlineStr">
        <is>
          <t>OT # 176214. Gualaquiza, RBV arrancada por corto circuito; se recupera conductor en buen estado, empalme, se construyen conexion de cruces, se resetea Trafo # 10608 de 37,5 kVA en la Est 40701. Guabi, se revisa LMV, se revisa trafo # 24402 de 5 kva en la Est 62968, se cambia tirafusible de 20-A-K en la Est 62996.</t>
        </is>
      </c>
      <c r="K7">
        <f>SUM((D7-C7)*2.0*24)</f>
        <v/>
      </c>
    </row>
    <row r="8" ht="18.75" customHeight="1">
      <c r="A8" s="20">
        <f>IF(B8&gt;0,PROPER(TEXT(B8,"dddd")),"")</f>
        <v/>
      </c>
      <c r="B8" s="25" t="n">
        <v>46145</v>
      </c>
      <c r="C8" s="26" t="n">
        <v>0.6548611111111111</v>
      </c>
      <c r="D8" s="27" t="n">
        <v>0.7381944444444445</v>
      </c>
      <c r="E8" s="26" t="n">
        <v/>
      </c>
      <c r="F8" s="27" t="n">
        <v/>
      </c>
      <c r="G8" s="26" t="n">
        <v/>
      </c>
      <c r="H8" s="27" t="n">
        <v/>
      </c>
      <c r="I8" s="26">
        <f>SUM(D8-C8, F8-E8, H8-G8)</f>
        <v/>
      </c>
      <c r="J8" s="28" t="inlineStr">
        <is>
          <t>OT # 176597. Tunduli, se recorre RBV, se mide cargas se identifica vano con falla, se abre puentes en la estructura 280168, se resetea y transformador, 107805 de 10 kVA, se deja abierto puentes, condiciones climatológicas no permiten continuar.</t>
        </is>
      </c>
      <c r="K8">
        <f>SUM((D8-C8)*2.0*24)</f>
        <v/>
      </c>
    </row>
    <row r="9" ht="18.75" customHeight="1">
      <c r="A9" s="20">
        <f>IF(B9&gt;0,PROPER(TEXT(B9,"dddd")),"")</f>
        <v/>
      </c>
      <c r="B9" s="21" t="n">
        <v>46146</v>
      </c>
      <c r="C9" s="26" t="n">
        <v>0.7083333333333334</v>
      </c>
      <c r="D9" s="27" t="n">
        <v>0.7875</v>
      </c>
      <c r="E9" s="26" t="n">
        <v/>
      </c>
      <c r="F9" s="27" t="n">
        <v/>
      </c>
      <c r="G9" s="26" t="n">
        <v/>
      </c>
      <c r="H9" s="27" t="n">
        <v/>
      </c>
      <c r="I9" s="26">
        <f>SUM(D9-C9, F9-E9, H9-G9)</f>
        <v/>
      </c>
      <c r="J9" s="28" t="inlineStr">
        <is>
          <t xml:space="preserve">OT # 175998. En Barrio Eloy Alfaro, en la Est # 303882 cambio de transformador Laureles se realiza cambio de transformador Nro 26217. </t>
        </is>
      </c>
      <c r="K9">
        <f>SUM((D9-C9)*1.5*24)</f>
        <v/>
      </c>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0.8576388888888888</v>
      </c>
      <c r="D13" s="27" t="n">
        <v>0.9145833333333333</v>
      </c>
      <c r="E13" s="26" t="n">
        <v/>
      </c>
      <c r="F13" s="27" t="n">
        <v/>
      </c>
      <c r="G13" s="26" t="n">
        <v/>
      </c>
      <c r="H13" s="27" t="n">
        <v/>
      </c>
      <c r="I13" s="22">
        <f>SUM(D13-C13, F13-E13, H13-G13)</f>
        <v/>
      </c>
      <c r="J13" s="28" t="inlineStr">
        <is>
          <t>OT # 176319. Nayamak, en la Est 29300 se revisa medidor encontrando dañado el breaker, se informa a cliente. Chuchumbletza, se revisa fusible en arranque de linea encontrando normal, por la distancia y el acceso queda para atender el dia de mañana. Traslado a Gualaquiza</t>
        </is>
      </c>
      <c r="K13">
        <f>SUM((D13-C13)*1.5*24)</f>
        <v/>
      </c>
    </row>
    <row r="14" ht="18.75" customHeight="1">
      <c r="A14" s="20">
        <f>IF(B14&gt;0,PROPER(TEXT(B14,"dddd")),"")</f>
        <v/>
      </c>
      <c r="B14" s="25" t="n">
        <v>46151</v>
      </c>
      <c r="C14" s="26" t="n">
        <v>0.3659722222222222</v>
      </c>
      <c r="D14" s="27" t="n">
        <v>0.5875</v>
      </c>
      <c r="E14" s="26" t="n">
        <v/>
      </c>
      <c r="F14" s="27" t="n">
        <v/>
      </c>
      <c r="G14" s="26" t="n">
        <v/>
      </c>
      <c r="H14" s="27" t="n">
        <v/>
      </c>
      <c r="I14" s="26">
        <f>SUM(D14-C14, F14-E14, H14-G14)</f>
        <v/>
      </c>
      <c r="J14" s="28" t="inlineStr">
        <is>
          <t>OT # 176407. Narvaez, medidor 1213753 estructura 128745, se revisa RBV y se rehabilita el Trafo 12039 de 5 kVA; Causa: Conexiones directas (Hurto). Traslao a La Pradera, se revisa LMV, sin novedad, se cambia fusible de 10 A-T Est 127827; Causa: descargas electricas. Nayamak Est # 29300 se cambia breaker por encontrarse dañado por falla interna. Traslado a la agencia.</t>
        </is>
      </c>
      <c r="K14">
        <f>SUM((D14-C14)*2.0*24)</f>
        <v/>
      </c>
    </row>
    <row r="15" ht="18.75" customHeight="1">
      <c r="A15" s="20">
        <f>IF(B15&gt;0,PROPER(TEXT(B15,"dddd")),"")</f>
        <v/>
      </c>
      <c r="B15" s="21" t="n">
        <v>46152</v>
      </c>
      <c r="C15" s="26" t="n">
        <v>0.3520833333333334</v>
      </c>
      <c r="D15" s="27" t="n">
        <v>0.4576388888888889</v>
      </c>
      <c r="E15" s="26" t="n">
        <v/>
      </c>
      <c r="F15" s="27" t="n">
        <v/>
      </c>
      <c r="G15" s="26" t="n">
        <v/>
      </c>
      <c r="H15" s="27" t="n">
        <v/>
      </c>
      <c r="I15" s="26">
        <f>SUM(D15-C15, F15-E15, H15-G15)</f>
        <v/>
      </c>
      <c r="J15" s="28" t="inlineStr">
        <is>
          <t>OT # 176434. La Mision, se revisa RBV y se encuentra arrancada en Est 37287, se empalma la linea y se tensa, se conecta acometidas; se cierra puente en la estructura 37287, se verifica que todo este Normal</t>
        </is>
      </c>
      <c r="K15">
        <f>SUM((D15-C15)*2.0*24)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0.7083333333333334</v>
      </c>
      <c r="D19" s="27" t="n">
        <v>0.8986111111111111</v>
      </c>
      <c r="E19" s="26" t="n">
        <v/>
      </c>
      <c r="F19" s="27" t="n">
        <v/>
      </c>
      <c r="G19" s="26" t="n">
        <v/>
      </c>
      <c r="H19" s="27" t="n">
        <v/>
      </c>
      <c r="I19" s="26">
        <f>SUM(D19-C19, F19-E19, H19-G19)</f>
        <v/>
      </c>
      <c r="J19" s="28" t="inlineStr">
        <is>
          <t>OT # 176718. Av. Sixto Duran, Est 303736 Grupo de energizados cambio de estructura, armado de acesorios y montaje de red de B/T.</t>
        </is>
      </c>
      <c r="K19">
        <f>SUM((D19-C19)*1.5*24)</f>
        <v/>
      </c>
    </row>
    <row r="20" ht="18.75" customHeight="1">
      <c r="A20" s="20">
        <f>IF(B20&gt;0,PROPER(TEXT(B20,"dddd")),"")</f>
        <v/>
      </c>
      <c r="B20" s="25" t="n">
        <v>46157</v>
      </c>
      <c r="C20" s="26" t="n">
        <v>0.7083333333333334</v>
      </c>
      <c r="D20" s="27" t="n">
        <v>0.7930555555555555</v>
      </c>
      <c r="E20" s="26" t="n">
        <v/>
      </c>
      <c r="F20" s="27" t="n">
        <v/>
      </c>
      <c r="G20" s="26" t="n">
        <v/>
      </c>
      <c r="H20" s="27" t="n">
        <v/>
      </c>
      <c r="I20" s="26">
        <f>SUM(D20-C20, F20-E20, H20-G20)</f>
        <v/>
      </c>
      <c r="J20" s="28" t="inlineStr">
        <is>
          <t>OT # 176802. Yawints, medidor 1263332 estructura 33281 se revisa y en la Est 33257 se repone fusible de 6 A-T, se verifica que normal servicio; Causa: Descargas atmosféricas.</t>
        </is>
      </c>
      <c r="K20">
        <f>SUM((D20-C20)*1.5*24)</f>
        <v/>
      </c>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0.3993055555555556</v>
      </c>
      <c r="D22" s="27" t="n">
        <v>0.5659722222222222</v>
      </c>
      <c r="E22" s="26" t="n">
        <v>0.8222222222222222</v>
      </c>
      <c r="F22" s="27" t="n">
        <v>0.9215277777777777</v>
      </c>
      <c r="G22" s="26" t="n">
        <v/>
      </c>
      <c r="H22" s="27" t="n">
        <v/>
      </c>
      <c r="I22" s="26">
        <f>SUM(D22-C22, F22-E22, H22-G22)</f>
        <v/>
      </c>
      <c r="J22" s="28" t="inlineStr">
        <is>
          <t>OT # 177056. El Portón, en la estructura 303867 se repone fusible de 12 A-T, en la estructura 128433 se encuentra enredaderas, desbroce de vegetación. San José de Piunts, se arregla acometida en corto circuito, se rehabilita Trafo # 11984 de 3kva en la Est 500281 y se normaliza el servicio. OT # 177056. Traslado de Ag. Gualaquiza a Chorro Negro Se revisa que RBT se encuentra en la estructuranro69974 enredaderas haciendo contacto con la Bornera de media tensión, se retira vegetación, se repone fusible de 2.1 SR, del transformador 21199 de 10kva Traslado de Chorro Negro a Ag. Gualaquiza</t>
        </is>
      </c>
      <c r="K22">
        <f>SUM((D22-C22)*2.0*24,(F22-E22)*2.0*24)</f>
        <v/>
      </c>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0.9131944444444444</v>
      </c>
      <c r="D30" s="27" t="n">
        <v>0.9569444444444445</v>
      </c>
      <c r="E30" s="26" t="n">
        <v/>
      </c>
      <c r="F30" s="27" t="n">
        <v/>
      </c>
      <c r="G30" s="26" t="n">
        <v/>
      </c>
      <c r="H30" s="27" t="n">
        <v/>
      </c>
      <c r="I30" s="26">
        <f>SUM(D30-C30, F30-E30, H30-G30)</f>
        <v/>
      </c>
      <c r="J30" s="28" t="inlineStr">
        <is>
          <t>OT # 177458. DIA FESTIVO. ¨Batalla de Pichincha”.  Santa Cruz, se revisa RBV, no se encuentra novedad, se encuentra lampara con conexion sulfatada, se limpia sulfato queda normal; Causa: lámpara sulfatada.</t>
        </is>
      </c>
      <c r="K30">
        <f>SUM((D30-C30)*2.0*24)</f>
        <v/>
      </c>
    </row>
    <row r="31" ht="18.75" customHeight="1">
      <c r="A31" s="20">
        <f>IF(B31&gt;0,PROPER(TEXT(B31,"dddd")),"")</f>
        <v/>
      </c>
      <c r="B31" s="25" t="n">
        <v>46168</v>
      </c>
      <c r="C31" s="26" t="n">
        <v>0.7083333333333334</v>
      </c>
      <c r="D31" s="27" t="n">
        <v>0.7541666666666667</v>
      </c>
      <c r="E31" s="26" t="n">
        <v>0.8708333333333333</v>
      </c>
      <c r="F31" s="27" t="n">
        <v>0.9708333333333333</v>
      </c>
      <c r="G31" s="26" t="n">
        <v/>
      </c>
      <c r="H31" s="27" t="n">
        <v/>
      </c>
      <c r="I31" s="26">
        <f>SUM(D31-C31, F31-E31, H31-G31)</f>
        <v/>
      </c>
      <c r="J31" s="28" t="inlineStr">
        <is>
          <t>OT # 177471. El Ideal, se revisa RBV y se encuentra rota acometida de la Escuela por vehiculo desconocido, se empalma la acometida, se tensa y se conecta en el medidor Traslado a Gualaquiza, se descarga herramientas. OT # 177471. Yumaza, medidor 1000411605 estructura 62793, se revisa y se arregla acometidas rotas por volqueta que realiza trabajos por el sector, queda pendiente de arreglar tubos para alzar acometidas. Traslado a la Agencia</t>
        </is>
      </c>
      <c r="K31">
        <f>SUM((D31-C31)*1.5*24,(F31-E31)*1.5*24)</f>
        <v/>
      </c>
    </row>
    <row r="32" ht="18.75" customHeight="1">
      <c r="A32" s="20">
        <f>IF(B32&gt;0,PROPER(TEXT(B32,"dddd")),"")</f>
        <v/>
      </c>
      <c r="B32" s="25" t="n">
        <v>46169</v>
      </c>
      <c r="C32" s="26" t="n">
        <v>0.7083333333333334</v>
      </c>
      <c r="D32" s="27" t="n">
        <v>0.75</v>
      </c>
      <c r="E32" s="26" t="n">
        <v/>
      </c>
      <c r="F32" s="27" t="n">
        <v/>
      </c>
      <c r="G32" s="26" t="n">
        <v/>
      </c>
      <c r="H32" s="27" t="n">
        <v/>
      </c>
      <c r="I32" s="26">
        <f>SUM(D32-C32, F32-E32, H32-G32)</f>
        <v/>
      </c>
      <c r="J32" s="28" t="inlineStr">
        <is>
          <t>OT # 177544. El Pangui, se apoya mantenimiento de la red de LST 69 KV. Estructura 221826. Chuchumbletza, en la estructura 64242 se encuentra unas guaduas por hacer contacto con la red de M/T, se procede a cortar. Traslado a Gualaquiza</t>
        </is>
      </c>
      <c r="K32">
        <f>SUM((D32-C32)*1.5*24)</f>
        <v/>
      </c>
    </row>
    <row r="33" ht="18.75" customHeight="1">
      <c r="A33" s="20">
        <f>IF(B33&gt;0,PROPER(TEXT(B33,"dddd")),"")</f>
        <v/>
      </c>
      <c r="B33" s="21" t="n">
        <v>46170</v>
      </c>
      <c r="C33" s="26" t="n">
        <v>0.2916666666666667</v>
      </c>
      <c r="D33" s="27" t="n">
        <v>0.3298611111111111</v>
      </c>
      <c r="E33" s="26" t="n">
        <v>0.7083333333333334</v>
      </c>
      <c r="F33" s="27" t="n">
        <v>0.7972222222222223</v>
      </c>
      <c r="G33" s="26" t="n">
        <v/>
      </c>
      <c r="H33" s="27" t="n">
        <v/>
      </c>
      <c r="I33" s="26">
        <f>SUM(D33-C33, F33-E33, H33-G33)</f>
        <v/>
      </c>
      <c r="J33" s="28" t="inlineStr">
        <is>
          <t>OT # 177637. En El Pangui, se realiza trabajos programados en LST 69 kV OT # 177637. Pangui se apoya en coordinacion con SCADA para realizar maniobras y normalizar el alimentador Los Encuentros y Reconectador La Recta. La Mision, medidor 1475673, se revisa RBV transformador 26552 de 15 Kva estructura 274075, queda normal el servicio. La Pradera, Medidor 225297 estructura 127742 se revisa LMV, se encuentra quemado el fusible, se revisa y se repone fusible de 0,7 A-SR en la estructura 127739.</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0.3555555555555556</v>
      </c>
      <c r="D36" s="31" t="n">
        <v>0.5416666666666666</v>
      </c>
      <c r="E36" s="30" t="n">
        <v>0.5833333333333334</v>
      </c>
      <c r="F36" s="31" t="n">
        <v>0.6270833333333333</v>
      </c>
      <c r="G36" s="30" t="n">
        <v>0.8486111111111111</v>
      </c>
      <c r="H36" s="31" t="n">
        <v>0.9451388888888889</v>
      </c>
      <c r="I36" s="30">
        <f>SUM(D36-C36, F36-E36, H36-G36)</f>
        <v/>
      </c>
      <c r="J36" s="32" t="inlineStr">
        <is>
          <t>OT # 177846. San Isidro, Med 224650 estructura 500279 se revisa LMV se encuentra quemado el fusible en La Pradera, se repone fusible de 10 A-T estructura 127827, se revisa derivaciones que este normal el servicio.  OT # 177846. Ayantas, Med 1252502, estructura 161098 se revisa RBV sin novedad, se rehabilita el transformador 12041 de 10 kva estructura 61096. CAUSA: sobrecarga eventual. OT # 177846. Tambo Viejo, Med 18-258115 estructura 31232 se encuentra rota RBV, se aregla y se resetea trafo 8140 de 10 Kva estructura 31226. Yankur, Med 263706 estructura 178912 se revisa LMV, se repone fusible de 2,1 A-SR en la estructura 178917.</t>
        </is>
      </c>
      <c r="K36">
        <f>SUM((D36-C36)*2.0*24,(F36-E36)*2.0*24,(H36-G36)*2.0*24)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7.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GUZMAN BARROS MARCO FERNANDO</t>
        </is>
      </c>
      <c r="I2" s="7">
        <f>SUM(K6:K36)</f>
        <v/>
      </c>
      <c r="J2" s="8" t="inlineStr">
        <is>
          <t>TOTAL</t>
        </is>
      </c>
    </row>
    <row r="3" ht="18.75" customHeight="1">
      <c r="A3" s="9" t="inlineStr">
        <is>
          <t>Cuadrilla o Agencia:</t>
        </is>
      </c>
      <c r="B3" s="9" t="n"/>
      <c r="C3" s="9" t="n"/>
      <c r="D3" s="9" t="n"/>
      <c r="E3" s="10" t="n"/>
      <c r="F3" s="10" t="n"/>
      <c r="G3" s="10" t="n"/>
      <c r="H3" s="6" t="inlineStr">
        <is>
          <t>Cuadrilla Gualaquiza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0.7083333333333334</v>
      </c>
      <c r="D9" s="27" t="n">
        <v>0.7875</v>
      </c>
      <c r="E9" s="26" t="n">
        <v>0.7881944444444444</v>
      </c>
      <c r="F9" s="27" t="n">
        <v>0.8333333333333334</v>
      </c>
      <c r="G9" s="26" t="n">
        <v/>
      </c>
      <c r="H9" s="27" t="n">
        <v/>
      </c>
      <c r="I9" s="26">
        <f>SUM(D9-C9, F9-E9, H9-G9)</f>
        <v/>
      </c>
      <c r="J9" s="28" t="inlineStr">
        <is>
          <t>OT # 175998. En Barrio Eloy Alfaro, en la Est # 303882 cambio de transformador Laureles se realiza cambio de transformador Nro 26217.  Nueva Zaruma, Med 1262980 estructura 127839, se revisa LMV, se cambia fusible de 6A-T Est 127829.</t>
        </is>
      </c>
      <c r="K9">
        <f>SUM((D9-C9)*1.5*24,(F9-E9)*1.5*24)</f>
        <v/>
      </c>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0.8576388888888888</v>
      </c>
      <c r="D13" s="27" t="n">
        <v>0.9145833333333333</v>
      </c>
      <c r="E13" s="26" t="n">
        <v/>
      </c>
      <c r="F13" s="27" t="n">
        <v/>
      </c>
      <c r="G13" s="26" t="n">
        <v/>
      </c>
      <c r="H13" s="27" t="n">
        <v/>
      </c>
      <c r="I13" s="22">
        <f>SUM(D13-C13, F13-E13, H13-G13)</f>
        <v/>
      </c>
      <c r="J13" s="28" t="inlineStr">
        <is>
          <t>OT # 176319. Nayamak, en la Est 29300 se revisa medidor encontrando dañado el breaker, se informa a cliente. Chuchumbletza, se revisa fusible en arranque de linea encontrando normal, por la distancia y el acceso queda para atender el dia de mañana. Traslado a Gualaquiza</t>
        </is>
      </c>
      <c r="K13">
        <f>SUM((D13-C13)*1.5*24)</f>
        <v/>
      </c>
    </row>
    <row r="14" ht="18.75" customHeight="1">
      <c r="A14" s="20">
        <f>IF(B14&gt;0,PROPER(TEXT(B14,"dddd")),"")</f>
        <v/>
      </c>
      <c r="B14" s="25" t="n">
        <v>46151</v>
      </c>
      <c r="C14" s="26" t="n">
        <v>0.3659722222222222</v>
      </c>
      <c r="D14" s="27" t="n">
        <v>0.5875</v>
      </c>
      <c r="E14" s="26" t="n">
        <v/>
      </c>
      <c r="F14" s="27" t="n">
        <v/>
      </c>
      <c r="G14" s="26" t="n">
        <v/>
      </c>
      <c r="H14" s="27" t="n">
        <v/>
      </c>
      <c r="I14" s="26">
        <f>SUM(D14-C14, F14-E14, H14-G14)</f>
        <v/>
      </c>
      <c r="J14" s="28" t="inlineStr">
        <is>
          <t>OT # 176407. Narvaez, medidor 1213753 estructura 128745, se revisa RBV y se rehabilita el Trafo 12039 de 5 kVA; Causa: Conexiones directas (Hurto). Traslao a La Pradera, se revisa LMV, sin novedad, se cambia fusible de 10 A-T Est 127827; Causa: descargas electricas. Nayamak Est # 29300 se cambia breaker por encontrarse dañado por falla interna. Traslado a la agencia.</t>
        </is>
      </c>
      <c r="K14">
        <f>SUM((D14-C14)*2.0*24)</f>
        <v/>
      </c>
    </row>
    <row r="15" ht="18.75" customHeight="1">
      <c r="A15" s="20">
        <f>IF(B15&gt;0,PROPER(TEXT(B15,"dddd")),"")</f>
        <v/>
      </c>
      <c r="B15" s="21" t="n">
        <v>46152</v>
      </c>
      <c r="C15" s="26" t="n">
        <v>0.3520833333333334</v>
      </c>
      <c r="D15" s="27" t="n">
        <v>0.4576388888888889</v>
      </c>
      <c r="E15" s="26" t="n">
        <v/>
      </c>
      <c r="F15" s="27" t="n">
        <v/>
      </c>
      <c r="G15" s="26" t="n">
        <v/>
      </c>
      <c r="H15" s="27" t="n">
        <v/>
      </c>
      <c r="I15" s="26">
        <f>SUM(D15-C15, F15-E15, H15-G15)</f>
        <v/>
      </c>
      <c r="J15" s="28" t="inlineStr">
        <is>
          <t>OT # 176434. La Mision, se revisa RBV y se encuentra arrancada en Est 37287, se empalma la linea y se tensa, se conecta acometidas; se cierra puente en la estructura 37287, se verifica que todo este Normal</t>
        </is>
      </c>
      <c r="K15">
        <f>SUM((D15-C15)*2.0*24)</f>
        <v/>
      </c>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0.7083333333333334</v>
      </c>
      <c r="D19" s="27" t="n">
        <v>0.8986111111111111</v>
      </c>
      <c r="E19" s="26" t="n">
        <v/>
      </c>
      <c r="F19" s="27" t="n">
        <v/>
      </c>
      <c r="G19" s="26" t="n">
        <v/>
      </c>
      <c r="H19" s="27" t="n">
        <v/>
      </c>
      <c r="I19" s="26">
        <f>SUM(D19-C19, F19-E19, H19-G19)</f>
        <v/>
      </c>
      <c r="J19" s="28" t="inlineStr">
        <is>
          <t>OT # 176718. Av. Sixto Duran, Est 303736 Grupo de energizados cambio de estructura, armado de acesorios y montaje de red de B/T.</t>
        </is>
      </c>
      <c r="K19">
        <f>SUM((D19-C19)*1.5*24)</f>
        <v/>
      </c>
    </row>
    <row r="20" ht="18.75" customHeight="1">
      <c r="A20" s="20">
        <f>IF(B20&gt;0,PROPER(TEXT(B20,"dddd")),"")</f>
        <v/>
      </c>
      <c r="B20" s="25" t="n">
        <v>46157</v>
      </c>
      <c r="C20" s="26" t="n">
        <v>0.7083333333333334</v>
      </c>
      <c r="D20" s="27" t="n">
        <v>0.7930555555555555</v>
      </c>
      <c r="E20" s="26" t="n">
        <v/>
      </c>
      <c r="F20" s="27" t="n">
        <v/>
      </c>
      <c r="G20" s="26" t="n">
        <v/>
      </c>
      <c r="H20" s="27" t="n">
        <v/>
      </c>
      <c r="I20" s="26">
        <f>SUM(D20-C20, F20-E20, H20-G20)</f>
        <v/>
      </c>
      <c r="J20" s="28" t="inlineStr">
        <is>
          <t>OT # 176802. Yawints, medidor 1263332 estructura 33281 se revisa y en la Est 33257 se repone fusible de 6 A-T, se verifica que normal servicio; Causa: Descargas atmosféricas.</t>
        </is>
      </c>
      <c r="K20">
        <f>SUM((D20-C20)*1.5*24)</f>
        <v/>
      </c>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
      </c>
      <c r="D26" s="27" t="n">
        <v/>
      </c>
      <c r="E26" s="26" t="n">
        <v/>
      </c>
      <c r="F26" s="27" t="n">
        <v/>
      </c>
      <c r="G26" s="26" t="n">
        <v/>
      </c>
      <c r="H26" s="27" t="n">
        <v/>
      </c>
      <c r="I26" s="26">
        <f>SUM(D26-C26, F26-E26, H26-G26)</f>
        <v/>
      </c>
      <c r="J26" s="28" t="n">
        <v/>
      </c>
      <c r="K26" t="inlineStr"/>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0.9131944444444444</v>
      </c>
      <c r="D30" s="27" t="n">
        <v>0.9569444444444445</v>
      </c>
      <c r="E30" s="26" t="n">
        <v/>
      </c>
      <c r="F30" s="27" t="n">
        <v/>
      </c>
      <c r="G30" s="26" t="n">
        <v/>
      </c>
      <c r="H30" s="27" t="n">
        <v/>
      </c>
      <c r="I30" s="26">
        <f>SUM(D30-C30, F30-E30, H30-G30)</f>
        <v/>
      </c>
      <c r="J30" s="28" t="inlineStr">
        <is>
          <t>OT # 177458. DIA FESTIVO. ¨Batalla de Pichincha”.  Santa Cruz, se revisa RBV, no se encuentra novedad, se encuentra lampara con conexion sulfatada, se limpia sulfato queda normal; Causa: lámpara sulfatada.</t>
        </is>
      </c>
      <c r="K30">
        <f>SUM((D30-C30)*2.0*24)</f>
        <v/>
      </c>
    </row>
    <row r="31" ht="18.75" customHeight="1">
      <c r="A31" s="20">
        <f>IF(B31&gt;0,PROPER(TEXT(B31,"dddd")),"")</f>
        <v/>
      </c>
      <c r="B31" s="25" t="n">
        <v>46168</v>
      </c>
      <c r="C31" s="26" t="n">
        <v>0.7083333333333334</v>
      </c>
      <c r="D31" s="27" t="n">
        <v>0.7541666666666667</v>
      </c>
      <c r="E31" s="26" t="n">
        <v>0.8708333333333333</v>
      </c>
      <c r="F31" s="27" t="n">
        <v>0.9708333333333333</v>
      </c>
      <c r="G31" s="26" t="n">
        <v/>
      </c>
      <c r="H31" s="27" t="n">
        <v/>
      </c>
      <c r="I31" s="26">
        <f>SUM(D31-C31, F31-E31, H31-G31)</f>
        <v/>
      </c>
      <c r="J31" s="28" t="inlineStr">
        <is>
          <t>OT # 177471. El Ideal, se revisa RBV y se encuentra rota acometida de la Escuela por vehiculo desconocido, se empalma la acometida, se tensa y se conecta en el medidor Traslado a Gualaquiza, se descarga herramientas. OT # 177471. Yumaza, medidor 1000411605 estructura 62793, se revisa y se arregla acometidas rotas por volqueta que realiza trabajos por el sector, queda pendiente de arreglar tubos para alzar acometidas. Traslado a la Agencia</t>
        </is>
      </c>
      <c r="K31">
        <f>SUM((D31-C31)*1.5*24,(F31-E31)*1.5*24)</f>
        <v/>
      </c>
    </row>
    <row r="32" ht="18.75" customHeight="1">
      <c r="A32" s="20">
        <f>IF(B32&gt;0,PROPER(TEXT(B32,"dddd")),"")</f>
        <v/>
      </c>
      <c r="B32" s="25" t="n">
        <v>46169</v>
      </c>
      <c r="C32" s="26" t="n">
        <v>0.7083333333333334</v>
      </c>
      <c r="D32" s="27" t="n">
        <v>0.75</v>
      </c>
      <c r="E32" s="26" t="n">
        <v/>
      </c>
      <c r="F32" s="27" t="n">
        <v/>
      </c>
      <c r="G32" s="26" t="n">
        <v/>
      </c>
      <c r="H32" s="27" t="n">
        <v/>
      </c>
      <c r="I32" s="26">
        <f>SUM(D32-C32, F32-E32, H32-G32)</f>
        <v/>
      </c>
      <c r="J32" s="28" t="inlineStr">
        <is>
          <t>OT # 177544. El Pangui, se apoya mantenimiento de la red de LST 69 KV. Estructura 221826. Chuchumbletza, en la estructura 64242 se encuentra unas guaduas por hacer contacto con la red de M/T, se procede a cortar. Traslado a Gualaquiza</t>
        </is>
      </c>
      <c r="K32">
        <f>SUM((D32-C32)*1.5*24)</f>
        <v/>
      </c>
    </row>
    <row r="33" ht="18.75" customHeight="1">
      <c r="A33" s="20">
        <f>IF(B33&gt;0,PROPER(TEXT(B33,"dddd")),"")</f>
        <v/>
      </c>
      <c r="B33" s="21" t="n">
        <v>46170</v>
      </c>
      <c r="C33" s="26" t="n">
        <v>0.2916666666666667</v>
      </c>
      <c r="D33" s="27" t="n">
        <v>0.3298611111111111</v>
      </c>
      <c r="E33" s="26" t="n">
        <v>0.7083333333333334</v>
      </c>
      <c r="F33" s="27" t="n">
        <v>0.7972222222222223</v>
      </c>
      <c r="G33" s="26" t="n">
        <v/>
      </c>
      <c r="H33" s="27" t="n">
        <v/>
      </c>
      <c r="I33" s="26">
        <f>SUM(D33-C33, F33-E33, H33-G33)</f>
        <v/>
      </c>
      <c r="J33" s="28" t="inlineStr">
        <is>
          <t>OT # 177637. En El Pangui, se realiza trabajos programados en LST 69 kV OT # 177637. Pangui se apoya en coordinacion con SCADA para realizar maniobras y normalizar el alimentador Los Encuentros y Reconectador La Recta. La Mision, medidor 1475673, se revisa RBV transformador 26552 de 15 Kva estructura 274075, queda normal el servicio. La Pradera, Medidor 225297 estructura 127742 se revisa LMV, se encuentra quemado el fusible, se revisa y se repone fusible de 0,7 A-SR en la estructura 127739.</t>
        </is>
      </c>
      <c r="K33">
        <f>SUM((D33-C33)*1.5*24,(F33-E33)*1.5*24)</f>
        <v/>
      </c>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0.3555555555555556</v>
      </c>
      <c r="D36" s="31" t="n">
        <v>0.5416666666666666</v>
      </c>
      <c r="E36" s="30" t="n">
        <v>0.5833333333333334</v>
      </c>
      <c r="F36" s="31" t="n">
        <v>0.6270833333333333</v>
      </c>
      <c r="G36" s="30" t="n">
        <v>0.8486111111111111</v>
      </c>
      <c r="H36" s="31" t="n">
        <v>0.9451388888888889</v>
      </c>
      <c r="I36" s="30">
        <f>SUM(D36-C36, F36-E36, H36-G36)</f>
        <v/>
      </c>
      <c r="J36" s="32" t="inlineStr">
        <is>
          <t>OT # 177846. San Isidro, Med 224650 estructura 500279 se revisa LMV se encuentra quemado el fusible en La Pradera, se repone fusible de 10 A-T estructura 127827, se revisa derivaciones que este normal el servicio.  OT # 177846. Ayantas, Med 1252502, estructura 161098 se revisa RBV sin novedad, se rehabilita el transformador 12041 de 10 kva estructura 61096. CAUSA: sobrecarga eventual. OT # 177846. Tambo Viejo, Med 18-258115 estructura 31232 se encuentra rota RBV, se aregla y se resetea trafo 8140 de 10 Kva estructura 31226. Yankur, Med 263706 estructura 178912 se revisa LMV, se repone fusible de 2,1 A-SR en la estructura 178917.</t>
        </is>
      </c>
      <c r="K36">
        <f>SUM((D36-C36)*2.0*24,(F36-E36)*2.0*24,(H36-G36)*2.0*24)</f>
        <v/>
      </c>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8.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CARTUCHE SILVA GERARDO PATRICIO</t>
        </is>
      </c>
      <c r="I2" s="7">
        <f>SUM(K6:K36)</f>
        <v/>
      </c>
      <c r="J2" s="8" t="inlineStr">
        <is>
          <t>TOTAL</t>
        </is>
      </c>
    </row>
    <row r="3" ht="18.75" customHeight="1">
      <c r="A3" s="9" t="inlineStr">
        <is>
          <t>Cuadrilla o Agencia:</t>
        </is>
      </c>
      <c r="B3" s="9" t="n"/>
      <c r="C3" s="9" t="n"/>
      <c r="D3" s="9" t="n"/>
      <c r="E3" s="10" t="n"/>
      <c r="F3" s="10" t="n"/>
      <c r="G3" s="10" t="n"/>
      <c r="H3" s="6" t="inlineStr">
        <is>
          <t>Agencia Gualaquiza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0.7083333333333334</v>
      </c>
      <c r="D9" s="27" t="n">
        <v>0.7875</v>
      </c>
      <c r="E9" s="26" t="n">
        <v>0.7881944444444444</v>
      </c>
      <c r="F9" s="27" t="n">
        <v>0.8333333333333334</v>
      </c>
      <c r="G9" s="26" t="n">
        <v/>
      </c>
      <c r="H9" s="27" t="n">
        <v/>
      </c>
      <c r="I9" s="26">
        <f>SUM(D9-C9, F9-E9, H9-G9)</f>
        <v/>
      </c>
      <c r="J9" s="28" t="inlineStr">
        <is>
          <t>OT # 175998. En Barrio Eloy Alfaro, en la Est # 303882 cambio de transformador Laureles se realiza cambio de transformador Nro 26217.  Nueva Zaruma, Med 1262980 estructura 127839, se revisa LMV, se cambia fusible de 6A-T Est 127829.</t>
        </is>
      </c>
      <c r="K9">
        <f>SUM((D9-C9)*1.5*24,(F9-E9)*1.5*24)</f>
        <v/>
      </c>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0.7083333333333334</v>
      </c>
      <c r="D19" s="27" t="n">
        <v>0.7645833333333333</v>
      </c>
      <c r="E19" s="26" t="n">
        <v/>
      </c>
      <c r="F19" s="27" t="n">
        <v/>
      </c>
      <c r="G19" s="26" t="n">
        <v/>
      </c>
      <c r="H19" s="27" t="n">
        <v/>
      </c>
      <c r="I19" s="26">
        <f>SUM(D19-C19, F19-E19, H19-G19)</f>
        <v/>
      </c>
      <c r="J19" s="28" t="inlineStr">
        <is>
          <t>OT # 176752. Santa Rosa, Est 290115, arreglo acometida medidor 236636, arrancada por vehiculo.</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0.3993055555555556</v>
      </c>
      <c r="D22" s="27" t="n">
        <v>0.5659722222222222</v>
      </c>
      <c r="E22" s="26" t="n">
        <v>0.8222222222222222</v>
      </c>
      <c r="F22" s="27" t="n">
        <v>0.9215277777777777</v>
      </c>
      <c r="G22" s="26" t="n">
        <v/>
      </c>
      <c r="H22" s="27" t="n">
        <v/>
      </c>
      <c r="I22" s="26">
        <f>SUM(D22-C22, F22-E22, H22-G22)</f>
        <v/>
      </c>
      <c r="J22" s="28" t="inlineStr">
        <is>
          <t>OT # 177056. El Portón, en la estructura 303867 se repone fusible de 12 A-T, en la estructura 128433 se encuentra enredaderas, desbroce de vegetación. San José de Piunts, se arregla acometida en corto circuito, se rehabilita Trafo # 11984 de 3kva en la Est 500281 y se normaliza el servicio. OT # 177056. Traslado de Ag. Gualaquiza a Chorro Negro Se revisa que RBT se encuentra en la estructuranro69974 enredaderas haciendo contacto con la Bornera de media tensión, se retira vegetación, se repone fusible de 2.1 SR, del transformador 21199 de 10kva Traslado de Chorro Negro a Ag. Gualaquiza</t>
        </is>
      </c>
      <c r="K22">
        <f>SUM((D22-C22)*2.0*24,(F22-E22)*2.0*24)</f>
        <v/>
      </c>
    </row>
    <row r="23" ht="18.75" customHeight="1">
      <c r="A23" s="20">
        <f>IF(B23&gt;0,PROPER(TEXT(B23,"dddd")),"")</f>
        <v/>
      </c>
      <c r="B23" s="25" t="n">
        <v>46160</v>
      </c>
      <c r="C23" s="26" t="n">
        <v>0.7930555555555555</v>
      </c>
      <c r="D23" s="27" t="n">
        <v>0.9180555555555555</v>
      </c>
      <c r="E23" s="26" t="n">
        <v/>
      </c>
      <c r="F23" s="27" t="n">
        <v/>
      </c>
      <c r="G23" s="26" t="n">
        <v/>
      </c>
      <c r="H23" s="27" t="n">
        <v/>
      </c>
      <c r="I23" s="26">
        <f>SUM(D23-C23, F23-E23, H23-G23)</f>
        <v/>
      </c>
      <c r="J23" s="28" t="inlineStr">
        <is>
          <t>OT # 177194. El Ideal, recorrido de alumrado pulico en el sector El Ideal y Nuevo Zaruma. En Belen, se cambia tirafusible de 10 A-T en la Est 127807. Naichap, se rehabilita Trafo # 21390 de 37.5 kVA. Las peñas, recorrido de alumbrado publico.</t>
        </is>
      </c>
      <c r="K23">
        <f>SUM((D23-C23)*1.5*24)</f>
        <v/>
      </c>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0.7083333333333334</v>
      </c>
      <c r="D26" s="27" t="n">
        <v>0.8611111111111112</v>
      </c>
      <c r="E26" s="26" t="n">
        <v/>
      </c>
      <c r="F26" s="27" t="n">
        <v/>
      </c>
      <c r="G26" s="26" t="n">
        <v/>
      </c>
      <c r="H26" s="27" t="n">
        <v/>
      </c>
      <c r="I26" s="26">
        <f>SUM(D26-C26, F26-E26, H26-G26)</f>
        <v/>
      </c>
      <c r="J26" s="28" t="inlineStr">
        <is>
          <t>OT # 177205. Traslado Ideal, estructura 029360 conexión de Oficina Movil EERSSA, Atencion de Clientes, Reunion. En El Ideal, estructura 037334, revision y arreglo acometida medidor 1000407528, neutro sulfato red por disposicion Ing Peña Silvana. El Ideal, Estructura 029360, retiro acometida Oficina Movil EERSSA, finalización de programa. Retorno a Gualaquiza.</t>
        </is>
      </c>
      <c r="K26">
        <f>SUM((D26-C26)*1.5*24)</f>
        <v/>
      </c>
    </row>
    <row r="27" ht="18.75" customHeight="1">
      <c r="A27" s="20">
        <f>IF(B27&gt;0,PROPER(TEXT(B27,"dddd")),"")</f>
        <v/>
      </c>
      <c r="B27" s="21" t="n">
        <v>46164</v>
      </c>
      <c r="C27" s="26" t="n">
        <v>0.1416666666666667</v>
      </c>
      <c r="D27" s="27" t="n">
        <v>0.2256944444444444</v>
      </c>
      <c r="E27" s="26" t="n">
        <v/>
      </c>
      <c r="F27" s="27" t="n">
        <v/>
      </c>
      <c r="G27" s="26" t="n">
        <v/>
      </c>
      <c r="H27" s="27" t="n">
        <v/>
      </c>
      <c r="I27" s="26">
        <f>SUM(D27-C27, F27-E27, H27-G27)</f>
        <v/>
      </c>
      <c r="J27" s="28" t="inlineStr">
        <is>
          <t xml:space="preserve">OT # 177309. Las Peñas, por falla del Reconectador, recorrido de AP Bomboiza, se localiza Fase B en la Est 303773 suelta, perno de ojo fundido. Se ejecutan maniobras para normalizar el servicio en Coordinación con Centro de Control. </t>
        </is>
      </c>
      <c r="K27">
        <f>SUM((D27-C27)*2.0*24)</f>
        <v/>
      </c>
    </row>
    <row r="28" ht="18.75" customHeight="1">
      <c r="A28" s="20">
        <f>IF(B28&gt;0,PROPER(TEXT(B28,"dddd")),"")</f>
        <v/>
      </c>
      <c r="B28" s="25" t="n">
        <v>46165</v>
      </c>
      <c r="C28" s="26" t="n">
        <v>0.3305555555555555</v>
      </c>
      <c r="D28" s="27" t="n">
        <v>0.5416666666666666</v>
      </c>
      <c r="E28" s="26" t="n">
        <v>0.5875</v>
      </c>
      <c r="F28" s="27" t="n">
        <v>0.6486111111111111</v>
      </c>
      <c r="G28" s="26" t="n">
        <v>0.7416666666666667</v>
      </c>
      <c r="H28" s="27" t="n">
        <v>0.8673611111111111</v>
      </c>
      <c r="I28" s="26">
        <f>SUM(D28-C28, F28-E28, H28-G28)</f>
        <v/>
      </c>
      <c r="J28" s="28" t="inlineStr">
        <is>
          <t xml:space="preserve">OT # 177353. Sector Condor, Se apertura Trafo 19152 de 25 kVA, en la Est 128741, a causa de Conexiónes Directas provocan la roptura de la línea, la cual continúa energizada. Se procede a recuperar y empalmar conductor acsr 4. Se realiza desbroce de vegetación en proyección. Se recupera conductor en la estructura 128740.  OT # 177353. San Martin, se limpia borneras de bajante de transformador 10591 de 5Kva y se cambia tirafusible de 1.3 A-SR en la estructura 33077. OT # 177353. Nayamak, se cambia acometida del medidor 18-232128 desde la Est 31263. Las Peñas, se cambia tirafusible de 0.4 A-SR del Trafo # 6315 estructura 194204. Zapotillo, se arregla acometida en cortocircuito del Medidor 1269167. </t>
        </is>
      </c>
      <c r="K28">
        <f>SUM((D28-C28)*2.0*24,(F28-E28)*2.0*24,(H28-G28)*2.0*24)</f>
        <v/>
      </c>
    </row>
    <row r="29" ht="18.75" customHeight="1">
      <c r="A29" s="20">
        <f>IF(B29&gt;0,PROPER(TEXT(B29,"dddd")),"")</f>
        <v/>
      </c>
      <c r="B29" s="25" t="n">
        <v>46166</v>
      </c>
      <c r="C29" s="26" t="n">
        <v>0.3652777777777778</v>
      </c>
      <c r="D29" s="27" t="n">
        <v>0.4930555555555556</v>
      </c>
      <c r="E29" s="26" t="n">
        <v>0.6027777777777777</v>
      </c>
      <c r="F29" s="27" t="n">
        <v>0.6875</v>
      </c>
      <c r="G29" s="26" t="n">
        <v/>
      </c>
      <c r="H29" s="27" t="n">
        <v/>
      </c>
      <c r="I29" s="26">
        <f>SUM(D29-C29, F29-E29, H29-G29)</f>
        <v/>
      </c>
      <c r="J29" s="28" t="inlineStr">
        <is>
          <t>OT # 177614. Cuchipamba, se retira rama sobre la LMV, se cambia Tirafusible de 6 A-T en la estructura 128336. Zapotillo, Se retira acometida sobre calentada en varios puntos, se tensa en la estructura 244720, se conecta en medidor 18-220527. OT # 177614. Gualaquiza Agencia - Belen Belen, Se despega fase uno de neutro. Y se procede a tensar neutro. En la estructura 127807. Se resetea transformador 6822 de 10kva. Se restablece servicio normal. Belen - Gualaquiza Agencia</t>
        </is>
      </c>
      <c r="K29">
        <f>SUM((D29-C29)*2.0*24,(F29-E29)*2.0*24)</f>
        <v/>
      </c>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39.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CHAMBA CANGO PEDRO ROSALINO</t>
        </is>
      </c>
      <c r="I2" s="7">
        <f>SUM(K6:K36)</f>
        <v/>
      </c>
      <c r="J2" s="8" t="inlineStr">
        <is>
          <t>TOTAL</t>
        </is>
      </c>
    </row>
    <row r="3" ht="18.75" customHeight="1">
      <c r="A3" s="9" t="inlineStr">
        <is>
          <t>Cuadrilla o Agencia:</t>
        </is>
      </c>
      <c r="B3" s="9" t="n"/>
      <c r="C3" s="9" t="n"/>
      <c r="D3" s="9" t="n"/>
      <c r="E3" s="10" t="n"/>
      <c r="F3" s="10" t="n"/>
      <c r="G3" s="10" t="n"/>
      <c r="H3" s="6" t="inlineStr">
        <is>
          <t>Agencia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0.2916666666666667</v>
      </c>
      <c r="D6" s="23" t="n">
        <v>0.6041666666666666</v>
      </c>
      <c r="E6" s="22" t="n">
        <v>0.6770833333333334</v>
      </c>
      <c r="F6" s="23" t="n">
        <v>0.84375</v>
      </c>
      <c r="G6" s="22" t="n">
        <v/>
      </c>
      <c r="H6" s="23" t="n">
        <v/>
      </c>
      <c r="I6" s="22">
        <f>SUM(D6-C6, F6-E6, H6-G6)</f>
        <v/>
      </c>
      <c r="J6" s="24" t="inlineStr">
        <is>
          <t>OT # 175879. DIA FESTIVO. “Dia del Trabajo”. Traslado hasta San Antonio del Zarza, se encuentra acometida arrancada del medidor 1299786, se arregla acometida, retorno a Yantzaza. OT # 175879. DIA FESTIVO. “Dia del Trabajo”. Mutintza, Est 30482, se encuentra LBV arrancada, causa de máquinaria desconocida, se empalma, se regula y se tensa. Est Nro. 30482, se rehabilita Trafo # 9916; Además, medidor 231752 se encuentra caído, a causa de la máquina, se fija en columna, y se resetea el breaker del medidor. San Sebastián, se encuentra acometida arrancada del medidor 234327; se empalma, tenza, regula se normaliza.</t>
        </is>
      </c>
      <c r="K6">
        <f>SUM((D6-C6)*2.0*24,(F6-E6)*2.0*24)</f>
        <v/>
      </c>
    </row>
    <row r="7" ht="18.75" customHeight="1">
      <c r="A7" s="20">
        <f>IF(B7&gt;0,PROPER(TEXT(B7,"dddd")),"")</f>
        <v/>
      </c>
      <c r="B7" s="25" t="n">
        <v>46144</v>
      </c>
      <c r="C7" s="26" t="n">
        <v>0.5854166666666667</v>
      </c>
      <c r="D7" s="27" t="n">
        <v>0.7013888888888888</v>
      </c>
      <c r="E7" s="26" t="n">
        <v>0.7486111111111111</v>
      </c>
      <c r="F7" s="27" t="n">
        <v>0.7625</v>
      </c>
      <c r="G7" s="26" t="n">
        <v/>
      </c>
      <c r="H7" s="27" t="n">
        <v/>
      </c>
      <c r="I7" s="26">
        <f>SUM(D7-C7, F7-E7, H7-G7)</f>
        <v/>
      </c>
      <c r="J7" s="28" t="inlineStr">
        <is>
          <t>OT # 175971. Pita Alto, medidor 18-250308, se encuentran breaker y borneras quemadas, se cambia breaker; además, se conecta varilla de puesta a tierra al tablero. Chicaña, en la “Y” de Chicaña, Est 21561-258861, se encuentra fusible quemado en derivación a la Parroquia Chicaña, se recorre la LMV hasta San Vicente; en la Est 280310, se cortan enredaderas, se repone 2 tirafusibles de 25 A-K, se reestablece el servicio. OT # 175971. Centro de Yantzaza, Medidor 1000384818, se ajusta conexiones y resetea breaker, se normaliza el servicio.</t>
        </is>
      </c>
      <c r="K7">
        <f>SUM((D7-C7)*2.0*24,(F7-E7)*2.0*24)</f>
        <v/>
      </c>
    </row>
    <row r="8" ht="18.75" customHeight="1">
      <c r="A8" s="20">
        <f>IF(B8&gt;0,PROPER(TEXT(B8,"dddd")),"")</f>
        <v/>
      </c>
      <c r="B8" s="25" t="n">
        <v>46145</v>
      </c>
      <c r="C8" s="26" t="n">
        <v>0.375</v>
      </c>
      <c r="D8" s="27" t="n">
        <v>0.6145833333333334</v>
      </c>
      <c r="E8" s="26" t="n">
        <v/>
      </c>
      <c r="F8" s="27" t="n">
        <v/>
      </c>
      <c r="G8" s="26" t="n">
        <v/>
      </c>
      <c r="H8" s="27" t="n">
        <v/>
      </c>
      <c r="I8" s="26">
        <f>SUM(D8-C8, F8-E8, H8-G8)</f>
        <v/>
      </c>
      <c r="J8" s="28" t="inlineStr">
        <is>
          <t>OT # 176142. “Y” de Chicaña, Est 258861, se recorre la LMV, se encuentran nidos de aves en la estructura: 281074 y en la estructura: 28077 enredadera, se retiran, se repone tirafusible de 25 A-T, se reestablece el servicio. La Centza, estructura 33909, cable tensor arrancado y estructura inclinado, por máquina desconocida, trabajo en la vía a El Zarza, se repone el tensor; se aploma el estructura 33909; se resetea breaker del Trafo 6680 de 10 kVA.</t>
        </is>
      </c>
      <c r="K8">
        <f>SUM((D8-C8)*2.0*24)</f>
        <v/>
      </c>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0.7993055555555556</v>
      </c>
      <c r="D23" s="27" t="n">
        <v>0.8868055555555555</v>
      </c>
      <c r="E23" s="26" t="n">
        <v/>
      </c>
      <c r="F23" s="27" t="n">
        <v/>
      </c>
      <c r="G23" s="26" t="n">
        <v/>
      </c>
      <c r="H23" s="27" t="n">
        <v/>
      </c>
      <c r="I23" s="26">
        <f>SUM(D23-C23, F23-E23, H23-G23)</f>
        <v/>
      </c>
      <c r="J23" s="28" t="inlineStr">
        <is>
          <t>OT # 177014. Achunts medidor 297374, se encuentran breaker y bornera quemadas, se cambia breaker; además, se hace limpieza de sulfatos en la salida del cable interno.</t>
        </is>
      </c>
      <c r="K23">
        <f>SUM((D23-C23)*1.5*24)</f>
        <v/>
      </c>
    </row>
    <row r="24" ht="18.75" customHeight="1">
      <c r="A24" s="20">
        <f>IF(B24&gt;0,PROPER(TEXT(B24,"dddd")),"")</f>
        <v/>
      </c>
      <c r="B24" s="21" t="n">
        <v>46161</v>
      </c>
      <c r="C24" s="26" t="n">
        <v>0.7083333333333334</v>
      </c>
      <c r="D24" s="27" t="n">
        <v>0.7847222222222222</v>
      </c>
      <c r="E24" s="26" t="n">
        <v>0.8611111111111112</v>
      </c>
      <c r="F24" s="27" t="n">
        <v>0.8888888888888888</v>
      </c>
      <c r="G24" s="26" t="n">
        <v/>
      </c>
      <c r="H24" s="27" t="n">
        <v/>
      </c>
      <c r="I24" s="26">
        <f>SUM(D24-C24, F24-E24, H24-G24)</f>
        <v/>
      </c>
      <c r="J24" s="28" t="inlineStr">
        <is>
          <t xml:space="preserve">OT # 177101. Arreglo de daños reportados por el Centro de Control. Preparación de materiales, herramientas, EPP, elaboración del permiso de trabajo. DAÑO REPORTADO POR CENTRO DE CONTROL, mediante (Mensaje de Whats App). Nos trasladamos de la agencia Yantzaza hasta Muchimi, informan domicilio sin servicio. En el Barrio Muchimi, se encuentra acometida sulfatada del medidor 1000425870, se empalma acometida, y se tensa al tubo; además, se resetea el breaker, se normaliza. Nos trasladamos de Muchimi a Yantzaza. OT # 177101. Barrio Norte, estructura 274030, Trafo # 26294 de 75 kVA se encuentra punto caliente en caja de conexión de acometidas en BV, se reestablece el servicio. </t>
        </is>
      </c>
      <c r="K24">
        <f>SUM((D24-C24)*1.5*24,(F24-E24)*1.5*24)</f>
        <v/>
      </c>
    </row>
    <row r="25" ht="18.75" customHeight="1">
      <c r="A25" s="20">
        <f>IF(B25&gt;0,PROPER(TEXT(B25,"dddd")),"")</f>
        <v/>
      </c>
      <c r="B25" s="25" t="n">
        <v>46162</v>
      </c>
      <c r="C25" s="26" t="n">
        <v>0.8430555555555556</v>
      </c>
      <c r="D25" s="27" t="n">
        <v>0.8819444444444444</v>
      </c>
      <c r="E25" s="26" t="n">
        <v/>
      </c>
      <c r="F25" s="27" t="n">
        <v/>
      </c>
      <c r="G25" s="26" t="n">
        <v/>
      </c>
      <c r="H25" s="27" t="n">
        <v/>
      </c>
      <c r="I25" s="26">
        <f>SUM(D25-C25, F25-E25, H25-G25)</f>
        <v/>
      </c>
      <c r="J25" s="28" t="inlineStr">
        <is>
          <t xml:space="preserve">OT # 177177. Barrio Norte, estructura 274030, Trafo # 26294 de 75 kVA punto caliente en caja de conexión de acometidas en BV, se reestablece el servicio. </t>
        </is>
      </c>
      <c r="K25">
        <f>SUM((D25-C25)*1.5*24)</f>
        <v/>
      </c>
    </row>
    <row r="26" ht="18.75" customHeight="1">
      <c r="A26" s="20">
        <f>IF(B26&gt;0,PROPER(TEXT(B26,"dddd")),"")</f>
        <v/>
      </c>
      <c r="B26" s="25" t="n">
        <v>46163</v>
      </c>
      <c r="C26" s="26" t="n">
        <v>0.8208333333333333</v>
      </c>
      <c r="D26" s="27" t="n">
        <v>0.9993055555555556</v>
      </c>
      <c r="E26" s="26" t="n">
        <v/>
      </c>
      <c r="F26" s="27" t="n">
        <v/>
      </c>
      <c r="G26" s="26" t="n">
        <v/>
      </c>
      <c r="H26" s="27" t="n">
        <v/>
      </c>
      <c r="I26" s="26">
        <f>SUM(D26-C26, F26-E26, H26-G26)</f>
        <v/>
      </c>
      <c r="J26" s="28" t="inlineStr">
        <is>
          <t>OT # 177255. El Oso, medidor 202220570888, se encuentra breaker bloqueado; causa: conector sulfatado, se cambian y ajustan conectores. El Pincho, medidor 251453, se encuentra breaker bloqueado; causa: mal ajustado. Reconectador El Zarza, se recorre revisando la LMV, en las estructura 33029 y 33831 se encuentra LMV arrancada.</t>
        </is>
      </c>
      <c r="K26">
        <f>SUM((D26-C26)*1.5*24)</f>
        <v/>
      </c>
    </row>
    <row r="27" ht="18.75" customHeight="1">
      <c r="A27" s="20">
        <f>IF(B27&gt;0,PROPER(TEXT(B27,"dddd")),"")</f>
        <v/>
      </c>
      <c r="B27" s="21" t="n">
        <v>46164</v>
      </c>
      <c r="C27" s="26" t="n">
        <v>0</v>
      </c>
      <c r="D27" s="27" t="n">
        <v>0.0625</v>
      </c>
      <c r="E27" s="26" t="n">
        <v>0.7083333333333334</v>
      </c>
      <c r="F27" s="27" t="n">
        <v>0.7534722222222222</v>
      </c>
      <c r="G27" s="26" t="n">
        <v/>
      </c>
      <c r="H27" s="27" t="n">
        <v/>
      </c>
      <c r="I27" s="26">
        <f>SUM(D27-C27, F27-E27, H27-G27)</f>
        <v/>
      </c>
      <c r="J27" s="28" t="inlineStr">
        <is>
          <t>OT # 177285. Se continúa en la actividad anterior, en coordinación del Centro de Control. Queda el arreglo pendiente, por motivo de falta de visibilidad, se informa al Jefe de Cuadrilla. OT # 177285. Centro de Yantzaza, Av. Iván Riofrío, Medidor 1000384819, se encuentra conector talón y cable del neutro recalentado, se cambia talón, y ajuste de borneras, se resetea breaker.</t>
        </is>
      </c>
      <c r="K27">
        <f>SUM((D27-C27)*2.0*24,(F27-E27)*1.5*24)</f>
        <v/>
      </c>
    </row>
    <row r="28" ht="18.75" customHeight="1">
      <c r="A28" s="20">
        <f>IF(B28&gt;0,PROPER(TEXT(B28,"dddd")),"")</f>
        <v/>
      </c>
      <c r="B28" s="25" t="n">
        <v>46165</v>
      </c>
      <c r="C28" s="26" t="n">
        <v>0.6284722222222222</v>
      </c>
      <c r="D28" s="27" t="n">
        <v>0.6701388888888888</v>
      </c>
      <c r="E28" s="26" t="n">
        <v/>
      </c>
      <c r="F28" s="27" t="n">
        <v/>
      </c>
      <c r="G28" s="26" t="n">
        <v/>
      </c>
      <c r="H28" s="27" t="n">
        <v/>
      </c>
      <c r="I28" s="26">
        <f>SUM(D28-C28, F28-E28, H28-G28)</f>
        <v/>
      </c>
      <c r="J28" s="28" t="inlineStr">
        <is>
          <t>OT # 177368. San Antonio, estructura: 248326, se repone tirafusible de 1.3 A-SR, se resetea breaker del trafo 25067 de 25 kVA, se reestablece el servicio.</t>
        </is>
      </c>
      <c r="K28">
        <f>SUM((D28-C28)*2.0*24)</f>
        <v/>
      </c>
    </row>
    <row r="29" ht="18.75" customHeight="1">
      <c r="A29" s="20">
        <f>IF(B29&gt;0,PROPER(TEXT(B29,"dddd")),"")</f>
        <v/>
      </c>
      <c r="B29" s="25" t="n">
        <v>46166</v>
      </c>
      <c r="C29" s="26" t="n">
        <v>0.4180555555555556</v>
      </c>
      <c r="D29" s="27" t="n">
        <v>0.5222222222222223</v>
      </c>
      <c r="E29" s="26" t="n">
        <v/>
      </c>
      <c r="F29" s="27" t="n">
        <v/>
      </c>
      <c r="G29" s="26" t="n">
        <v/>
      </c>
      <c r="H29" s="27" t="n">
        <v/>
      </c>
      <c r="I29" s="26">
        <f>SUM(D29-C29, F29-E29, H29-G29)</f>
        <v/>
      </c>
      <c r="J29" s="28" t="inlineStr">
        <is>
          <t>OT # 177373. Barrio Leonidas Proaño, estructura 29096, se encuentra fusible quemado en derivación a Los Ángeles, a causa de enredaderas en la estructura: 212118, se repone tirafusible de 25A tipo K. En Zumbi, estructura 268520, se cambian conectores sulfatados del TTU, ademas se encuentran borneras y cable quemadas del medidor 1000430408, se cambia el medidor 18-279437, se resetea el breaker caja moldeada que alimenta tablero de medidores, se normaliza el servicio.</t>
        </is>
      </c>
      <c r="K29">
        <f>SUM((D29-C29)*2.0*24)</f>
        <v/>
      </c>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0.7083333333333334</v>
      </c>
      <c r="D34" s="27" t="n">
        <v>0.7986111111111112</v>
      </c>
      <c r="E34" s="26" t="n">
        <v/>
      </c>
      <c r="F34" s="27" t="n">
        <v/>
      </c>
      <c r="G34" s="26" t="n">
        <v/>
      </c>
      <c r="H34" s="27" t="n">
        <v/>
      </c>
      <c r="I34" s="26">
        <f>SUM(D34-C34, F34-E34, H34-G34)</f>
        <v/>
      </c>
      <c r="J34" s="28" t="inlineStr">
        <is>
          <t>OT # 177742. La Cenza, estructura 33650, se instala servicio ocasional, sector la Escuela, para las festividades del Barrio.</t>
        </is>
      </c>
      <c r="K34">
        <f>SUM((D34-C34)*1.5*24)</f>
        <v/>
      </c>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40.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CUADRADO LEON RAUL EFREN</t>
        </is>
      </c>
      <c r="I2" s="7">
        <f>SUM(K6:K36)</f>
        <v/>
      </c>
      <c r="J2" s="8" t="inlineStr">
        <is>
          <t>TOTAL</t>
        </is>
      </c>
    </row>
    <row r="3" ht="18.75" customHeight="1">
      <c r="A3" s="9" t="inlineStr">
        <is>
          <t>Cuadrilla o Agencia:</t>
        </is>
      </c>
      <c r="B3" s="9" t="n"/>
      <c r="C3" s="9" t="n"/>
      <c r="D3" s="9" t="n"/>
      <c r="E3" s="10" t="n"/>
      <c r="F3" s="10" t="n"/>
      <c r="G3" s="10" t="n"/>
      <c r="H3" s="6" t="inlineStr">
        <is>
          <t>Agencia Yantzaza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
      </c>
      <c r="D19" s="27" t="n">
        <v/>
      </c>
      <c r="E19" s="26" t="n">
        <v/>
      </c>
      <c r="F19" s="27" t="n">
        <v/>
      </c>
      <c r="G19" s="26" t="n">
        <v/>
      </c>
      <c r="H19" s="27" t="n">
        <v/>
      </c>
      <c r="I19" s="26">
        <f>SUM(D19-C19, F19-E19, H19-G19)</f>
        <v/>
      </c>
      <c r="J19" s="28" t="n">
        <v/>
      </c>
      <c r="K19" t="inlineStr"/>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0.7993055555555556</v>
      </c>
      <c r="D23" s="27" t="n">
        <v>0.8868055555555555</v>
      </c>
      <c r="E23" s="26" t="n">
        <v/>
      </c>
      <c r="F23" s="27" t="n">
        <v/>
      </c>
      <c r="G23" s="26" t="n">
        <v/>
      </c>
      <c r="H23" s="27" t="n">
        <v/>
      </c>
      <c r="I23" s="26">
        <f>SUM(D23-C23, F23-E23, H23-G23)</f>
        <v/>
      </c>
      <c r="J23" s="28" t="inlineStr">
        <is>
          <t>OT # 177014. Achunts medidor 297374, se encuentran breaker y bornera quemadas, se cambia breaker; además, se hace limpieza de sulfatos en la salida del cable interno.</t>
        </is>
      </c>
      <c r="K23">
        <f>SUM((D23-C23)*1.5*24)</f>
        <v/>
      </c>
    </row>
    <row r="24" ht="18.75" customHeight="1">
      <c r="A24" s="20">
        <f>IF(B24&gt;0,PROPER(TEXT(B24,"dddd")),"")</f>
        <v/>
      </c>
      <c r="B24" s="21" t="n">
        <v>46161</v>
      </c>
      <c r="C24" s="26" t="n">
        <v>0.7083333333333334</v>
      </c>
      <c r="D24" s="27" t="n">
        <v>0.7847222222222222</v>
      </c>
      <c r="E24" s="26" t="n">
        <v>0.8611111111111112</v>
      </c>
      <c r="F24" s="27" t="n">
        <v>0.8888888888888888</v>
      </c>
      <c r="G24" s="26" t="n">
        <v/>
      </c>
      <c r="H24" s="27" t="n">
        <v/>
      </c>
      <c r="I24" s="26">
        <f>SUM(D24-C24, F24-E24, H24-G24)</f>
        <v/>
      </c>
      <c r="J24" s="28" t="inlineStr">
        <is>
          <t xml:space="preserve">OT # 177101. Arreglo de daños reportados por el Centro de Control. Preparación de materiales, herramientas, EPP, elaboración del permiso de trabajo. DAÑO REPORTADO POR CENTRO DE CONTROL, mediante (Mensaje de Whats App). Nos trasladamos de la agencia Yantzaza hasta Muchimi, informan domicilio sin servicio. En el Barrio Muchimi, se encuentra acometida sulfatada del medidor 1000425870, se empalma acometida, y se tensa al tubo; además, se resetea el breaker, se normaliza. Nos trasladamos de Muchimi a Yantzaza. OT # 177101. Barrio Norte, estructura 274030, Trafo # 26294 de 75 kVA se encuentra punto caliente en caja de conexión de acometidas en BV, se reestablece el servicio. </t>
        </is>
      </c>
      <c r="K24">
        <f>SUM((D24-C24)*1.5*24,(F24-E24)*1.5*24)</f>
        <v/>
      </c>
    </row>
    <row r="25" ht="18.75" customHeight="1">
      <c r="A25" s="20">
        <f>IF(B25&gt;0,PROPER(TEXT(B25,"dddd")),"")</f>
        <v/>
      </c>
      <c r="B25" s="25" t="n">
        <v>46162</v>
      </c>
      <c r="C25" s="26" t="n">
        <v>0.8430555555555556</v>
      </c>
      <c r="D25" s="27" t="n">
        <v>0.8819444444444444</v>
      </c>
      <c r="E25" s="26" t="n">
        <v/>
      </c>
      <c r="F25" s="27" t="n">
        <v/>
      </c>
      <c r="G25" s="26" t="n">
        <v/>
      </c>
      <c r="H25" s="27" t="n">
        <v/>
      </c>
      <c r="I25" s="26">
        <f>SUM(D25-C25, F25-E25, H25-G25)</f>
        <v/>
      </c>
      <c r="J25" s="28" t="inlineStr">
        <is>
          <t xml:space="preserve">OT # 177177. Barrio Norte, estructura 274030, Trafo # 26294 de 75 kVA punto caliente en caja de conexión de acometidas en BV, se reestablece el servicio. </t>
        </is>
      </c>
      <c r="K25">
        <f>SUM((D25-C25)*1.5*24)</f>
        <v/>
      </c>
    </row>
    <row r="26" ht="18.75" customHeight="1">
      <c r="A26" s="20">
        <f>IF(B26&gt;0,PROPER(TEXT(B26,"dddd")),"")</f>
        <v/>
      </c>
      <c r="B26" s="25" t="n">
        <v>46163</v>
      </c>
      <c r="C26" s="26" t="n">
        <v>0.8208333333333333</v>
      </c>
      <c r="D26" s="27" t="n">
        <v>0.9993055555555556</v>
      </c>
      <c r="E26" s="26" t="n">
        <v/>
      </c>
      <c r="F26" s="27" t="n">
        <v/>
      </c>
      <c r="G26" s="26" t="n">
        <v/>
      </c>
      <c r="H26" s="27" t="n">
        <v/>
      </c>
      <c r="I26" s="26">
        <f>SUM(D26-C26, F26-E26, H26-G26)</f>
        <v/>
      </c>
      <c r="J26" s="28" t="inlineStr">
        <is>
          <t>OT # 177255. El Oso, medidor 202220570888, se encuentra breaker bloqueado; causa: conector sulfatado, se cambian y ajustan conectores. El Pincho, medidor 251453, se encuentra breaker bloqueado; causa: mal ajustado. Reconectador El Zarza, se recorre revisando la LMV, en las estructura 33029 y 33831 se encuentra LMV arrancada.</t>
        </is>
      </c>
      <c r="K26">
        <f>SUM((D26-C26)*1.5*24)</f>
        <v/>
      </c>
    </row>
    <row r="27" ht="18.75" customHeight="1">
      <c r="A27" s="20">
        <f>IF(B27&gt;0,PROPER(TEXT(B27,"dddd")),"")</f>
        <v/>
      </c>
      <c r="B27" s="21" t="n">
        <v>46164</v>
      </c>
      <c r="C27" s="26" t="n">
        <v>0</v>
      </c>
      <c r="D27" s="27" t="n">
        <v>0.0625</v>
      </c>
      <c r="E27" s="26" t="n">
        <v>0.7083333333333334</v>
      </c>
      <c r="F27" s="27" t="n">
        <v>0.7534722222222222</v>
      </c>
      <c r="G27" s="26" t="n">
        <v/>
      </c>
      <c r="H27" s="27" t="n">
        <v/>
      </c>
      <c r="I27" s="26">
        <f>SUM(D27-C27, F27-E27, H27-G27)</f>
        <v/>
      </c>
      <c r="J27" s="28" t="inlineStr">
        <is>
          <t>OT # 177285. Se continúa en la actividad anterior, en coordinación del Centro de Control. Queda el arreglo pendiente, por motivo de falta de visibilidad, se informa al Jefe de Cuadrilla. OT # 177285. Centro de Yantzaza, Av. Iván Riofrío, Medidor 1000384819, se encuentra conector talón y cable del neutro recalentado, se cambia talón, y ajuste de borneras, se resetea breaker.</t>
        </is>
      </c>
      <c r="K27">
        <f>SUM((D27-C27)*2.0*24,(F27-E27)*1.5*24)</f>
        <v/>
      </c>
    </row>
    <row r="28" ht="18.75" customHeight="1">
      <c r="A28" s="20">
        <f>IF(B28&gt;0,PROPER(TEXT(B28,"dddd")),"")</f>
        <v/>
      </c>
      <c r="B28" s="25" t="n">
        <v>46165</v>
      </c>
      <c r="C28" s="26" t="n">
        <v>0.6284722222222222</v>
      </c>
      <c r="D28" s="27" t="n">
        <v>0.6701388888888888</v>
      </c>
      <c r="E28" s="26" t="n">
        <v/>
      </c>
      <c r="F28" s="27" t="n">
        <v/>
      </c>
      <c r="G28" s="26" t="n">
        <v/>
      </c>
      <c r="H28" s="27" t="n">
        <v/>
      </c>
      <c r="I28" s="26">
        <f>SUM(D28-C28, F28-E28, H28-G28)</f>
        <v/>
      </c>
      <c r="J28" s="28" t="inlineStr">
        <is>
          <t>OT # 177368. San Antonio, estructura: 248326, se repone tirafusible de 1.3 A-SR, se resetea breaker del trafo 25067 de 25 kVA, se reestablece el servicio.</t>
        </is>
      </c>
      <c r="K28">
        <f>SUM((D28-C28)*2.0*24)</f>
        <v/>
      </c>
    </row>
    <row r="29" ht="18.75" customHeight="1">
      <c r="A29" s="20">
        <f>IF(B29&gt;0,PROPER(TEXT(B29,"dddd")),"")</f>
        <v/>
      </c>
      <c r="B29" s="25" t="n">
        <v>46166</v>
      </c>
      <c r="C29" s="26" t="n">
        <v>0.4180555555555556</v>
      </c>
      <c r="D29" s="27" t="n">
        <v>0.5222222222222223</v>
      </c>
      <c r="E29" s="26" t="n">
        <v/>
      </c>
      <c r="F29" s="27" t="n">
        <v/>
      </c>
      <c r="G29" s="26" t="n">
        <v/>
      </c>
      <c r="H29" s="27" t="n">
        <v/>
      </c>
      <c r="I29" s="26">
        <f>SUM(D29-C29, F29-E29, H29-G29)</f>
        <v/>
      </c>
      <c r="J29" s="28" t="inlineStr">
        <is>
          <t>OT # 177373. Barrio Leonidas Proaño, estructura 29096, se encuentra fusible quemado en derivación a Los Ángeles, a causa de enredaderas en la estructura: 212118, se repone tirafusible de 25A tipo K. En Zumbi, estructura 268520, se cambian conectores sulfatados del TTU, ademas se encuentran borneras y cable quemadas del medidor 1000430408, se cambia el medidor 18-279437, se resetea el breaker caja moldeada que alimenta tablero de medidores, se normaliza el servicio.</t>
        </is>
      </c>
      <c r="K29">
        <f>SUM((D29-C29)*2.0*24)</f>
        <v/>
      </c>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0.7083333333333334</v>
      </c>
      <c r="D34" s="27" t="n">
        <v>0.7986111111111112</v>
      </c>
      <c r="E34" s="26" t="n">
        <v/>
      </c>
      <c r="F34" s="27" t="n">
        <v/>
      </c>
      <c r="G34" s="26" t="n">
        <v/>
      </c>
      <c r="H34" s="27" t="n">
        <v/>
      </c>
      <c r="I34" s="26">
        <f>SUM(D34-C34, F34-E34, H34-G34)</f>
        <v/>
      </c>
      <c r="J34" s="28" t="inlineStr">
        <is>
          <t>OT # 177742. La Cenza, estructura 33650, se instala servicio ocasional, sector la Escuela, para las festividades del Barrio.</t>
        </is>
      </c>
      <c r="K34">
        <f>SUM((D34-C34)*1.5*24)</f>
        <v/>
      </c>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xl/worksheets/sheet41.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10" defaultColWidth="8.8984375" defaultRowHeight="15.75"/>
  <cols>
    <col width="9.296875" customWidth="1" min="1" max="1"/>
    <col width="11.796875" customWidth="1" min="2" max="2"/>
    <col width="7" customWidth="1" min="3" max="8"/>
    <col width="9.8984375" customWidth="1" style="2" min="9" max="9"/>
    <col width="88.09765625" customWidth="1" min="10" max="10"/>
    <col hidden="1" width="7.8984375" customWidth="1" min="11" max="11"/>
    <col width="8.59765625" customWidth="1" min="12" max="12"/>
    <col width="12.19921875" customWidth="1" min="13" max="13"/>
    <col width="3.296875" customWidth="1" min="14" max="14"/>
  </cols>
  <sheetData>
    <row r="1" ht="84.75" customHeight="1">
      <c r="A1" s="1" t="inlineStr">
        <is>
          <t xml:space="preserve">GERENCIA DE OPERACIÓN Y MANTENIMIENTO
SUPERINTENDENCIA DE OPERACIÓN Y MANTENIMIENTO ZONA 1
Reporte Horas Extraordinarias
</t>
        </is>
      </c>
    </row>
    <row r="2" ht="21.75" customHeight="1">
      <c r="A2" s="3" t="inlineStr">
        <is>
          <t xml:space="preserve">Nombre del trabajador: </t>
        </is>
      </c>
      <c r="B2" s="3" t="n"/>
      <c r="C2" s="3" t="n"/>
      <c r="D2" s="3" t="n"/>
      <c r="E2" s="4" t="n"/>
      <c r="F2" s="4" t="n"/>
      <c r="G2" s="5" t="n"/>
      <c r="H2" s="6" t="inlineStr">
        <is>
          <t>BUELE UYAGUARI CESAR CRISTIAN</t>
        </is>
      </c>
      <c r="I2" s="7">
        <f>SUM(K6:K36)</f>
        <v/>
      </c>
      <c r="J2" s="8" t="inlineStr">
        <is>
          <t>TOTAL</t>
        </is>
      </c>
    </row>
    <row r="3" ht="18.75" customHeight="1">
      <c r="A3" s="9" t="inlineStr">
        <is>
          <t>Cuadrilla o Agencia:</t>
        </is>
      </c>
      <c r="B3" s="9" t="n"/>
      <c r="C3" s="9" t="n"/>
      <c r="D3" s="9" t="n"/>
      <c r="E3" s="10" t="n"/>
      <c r="F3" s="10" t="n"/>
      <c r="G3" s="10" t="n"/>
      <c r="H3" s="6" t="inlineStr">
        <is>
          <t>Agencia Gualaquiza</t>
        </is>
      </c>
      <c r="I3" s="45">
        <f>SUM(I6:I36)</f>
        <v/>
      </c>
      <c r="J3" s="11" t="inlineStr">
        <is>
          <t>(horas reloj)</t>
        </is>
      </c>
      <c r="K3" s="12" t="n"/>
      <c r="L3" s="12" t="n"/>
      <c r="M3" s="12" t="n"/>
      <c r="N3" s="12" t="n"/>
    </row>
    <row r="4" ht="22.5" customFormat="1" customHeight="1" s="19">
      <c r="A4" s="13" t="inlineStr">
        <is>
          <t>Parte:</t>
        </is>
      </c>
      <c r="B4" s="13" t="n"/>
      <c r="C4" s="13" t="n"/>
      <c r="D4" s="13" t="n"/>
      <c r="E4" s="14" t="n"/>
      <c r="F4" s="14" t="n"/>
      <c r="G4" s="14" t="n"/>
      <c r="H4" s="15">
        <f>UPPER(TEXT(B6, "mmmm aaaa"))</f>
        <v/>
      </c>
      <c r="I4" s="16" t="n"/>
      <c r="J4" s="17" t="inlineStr">
        <is>
          <t xml:space="preserve">                      Trabajador                                                         Jefe Zonal                                                          Ingeniero 1                            </t>
        </is>
      </c>
      <c r="K4" s="18" t="n"/>
      <c r="L4" s="18" t="n"/>
      <c r="M4" s="18" t="n"/>
      <c r="N4" s="18" t="n"/>
    </row>
    <row r="5" customFormat="1" s="42">
      <c r="A5" s="37" t="inlineStr">
        <is>
          <t>DIA</t>
        </is>
      </c>
      <c r="B5" s="38" t="inlineStr">
        <is>
          <t>FECHA</t>
        </is>
      </c>
      <c r="C5" s="39" t="inlineStr">
        <is>
          <t>Extra 1</t>
        </is>
      </c>
      <c r="D5" s="39" t="inlineStr">
        <is>
          <t>Fin 1</t>
        </is>
      </c>
      <c r="E5" s="39" t="inlineStr">
        <is>
          <t>Extra 2</t>
        </is>
      </c>
      <c r="F5" s="38" t="inlineStr">
        <is>
          <t>Fin 2</t>
        </is>
      </c>
      <c r="G5" s="39" t="inlineStr">
        <is>
          <t>Extra 3</t>
        </is>
      </c>
      <c r="H5" s="39" t="inlineStr">
        <is>
          <t>Fin 3</t>
        </is>
      </c>
      <c r="I5" s="39" t="inlineStr">
        <is>
          <t>Horas</t>
        </is>
      </c>
      <c r="J5" s="40" t="inlineStr">
        <is>
          <t>BREVE EXPLICACION</t>
        </is>
      </c>
      <c r="K5" s="41" t="n"/>
      <c r="L5" s="41" t="n"/>
      <c r="M5" s="41" t="n"/>
      <c r="N5" s="41" t="n"/>
    </row>
    <row r="6" ht="18.75" customHeight="1">
      <c r="A6" s="20">
        <f>IF(B6&gt;0,PROPER(TEXT(B6,"dddd")),"")</f>
        <v/>
      </c>
      <c r="B6" s="21" t="n">
        <v>46143</v>
      </c>
      <c r="C6" s="22" t="n">
        <v/>
      </c>
      <c r="D6" s="23" t="n">
        <v/>
      </c>
      <c r="E6" s="22" t="n">
        <v/>
      </c>
      <c r="F6" s="23" t="n">
        <v/>
      </c>
      <c r="G6" s="22" t="n">
        <v/>
      </c>
      <c r="H6" s="23" t="n">
        <v/>
      </c>
      <c r="I6" s="22">
        <f>SUM(D6-C6, F6-E6, H6-G6)</f>
        <v/>
      </c>
      <c r="J6" s="24" t="n">
        <v/>
      </c>
      <c r="K6" t="inlineStr"/>
    </row>
    <row r="7" ht="18.75" customHeight="1">
      <c r="A7" s="20">
        <f>IF(B7&gt;0,PROPER(TEXT(B7,"dddd")),"")</f>
        <v/>
      </c>
      <c r="B7" s="25" t="n">
        <v>46144</v>
      </c>
      <c r="C7" s="26" t="n">
        <v/>
      </c>
      <c r="D7" s="27" t="n">
        <v/>
      </c>
      <c r="E7" s="26" t="n">
        <v/>
      </c>
      <c r="F7" s="27" t="n">
        <v/>
      </c>
      <c r="G7" s="26" t="n">
        <v/>
      </c>
      <c r="H7" s="27" t="n">
        <v/>
      </c>
      <c r="I7" s="26">
        <f>SUM(D7-C7, F7-E7, H7-G7)</f>
        <v/>
      </c>
      <c r="J7" s="28" t="n">
        <v/>
      </c>
      <c r="K7" t="inlineStr"/>
    </row>
    <row r="8" ht="18.75" customHeight="1">
      <c r="A8" s="20">
        <f>IF(B8&gt;0,PROPER(TEXT(B8,"dddd")),"")</f>
        <v/>
      </c>
      <c r="B8" s="25" t="n">
        <v>46145</v>
      </c>
      <c r="C8" s="26" t="n">
        <v/>
      </c>
      <c r="D8" s="27" t="n">
        <v/>
      </c>
      <c r="E8" s="26" t="n">
        <v/>
      </c>
      <c r="F8" s="27" t="n">
        <v/>
      </c>
      <c r="G8" s="26" t="n">
        <v/>
      </c>
      <c r="H8" s="27" t="n">
        <v/>
      </c>
      <c r="I8" s="26">
        <f>SUM(D8-C8, F8-E8, H8-G8)</f>
        <v/>
      </c>
      <c r="J8" s="28" t="n">
        <v/>
      </c>
      <c r="K8" t="inlineStr"/>
    </row>
    <row r="9" ht="18.75" customHeight="1">
      <c r="A9" s="20">
        <f>IF(B9&gt;0,PROPER(TEXT(B9,"dddd")),"")</f>
        <v/>
      </c>
      <c r="B9" s="21" t="n">
        <v>46146</v>
      </c>
      <c r="C9" s="26" t="n">
        <v/>
      </c>
      <c r="D9" s="27" t="n">
        <v/>
      </c>
      <c r="E9" s="26" t="n">
        <v/>
      </c>
      <c r="F9" s="27" t="n">
        <v/>
      </c>
      <c r="G9" s="26" t="n">
        <v/>
      </c>
      <c r="H9" s="27" t="n">
        <v/>
      </c>
      <c r="I9" s="26">
        <f>SUM(D9-C9, F9-E9, H9-G9)</f>
        <v/>
      </c>
      <c r="J9" s="28" t="n">
        <v/>
      </c>
      <c r="K9" t="inlineStr"/>
    </row>
    <row r="10" ht="18.75" customHeight="1">
      <c r="A10" s="20">
        <f>IF(B10&gt;0,PROPER(TEXT(B10,"dddd")),"")</f>
        <v/>
      </c>
      <c r="B10" s="25" t="n">
        <v>46147</v>
      </c>
      <c r="C10" s="26" t="n">
        <v/>
      </c>
      <c r="D10" s="27" t="n">
        <v/>
      </c>
      <c r="E10" s="26" t="n">
        <v/>
      </c>
      <c r="F10" s="27" t="n">
        <v/>
      </c>
      <c r="G10" s="26" t="n">
        <v/>
      </c>
      <c r="H10" s="27" t="n">
        <v/>
      </c>
      <c r="I10" s="26">
        <f>SUM(D10-C10, F10-E10, H10-G10)</f>
        <v/>
      </c>
      <c r="J10" s="28" t="n">
        <v/>
      </c>
      <c r="K10" t="inlineStr"/>
    </row>
    <row r="11" ht="18.75" customHeight="1">
      <c r="A11" s="20">
        <f>IF(B11&gt;0,PROPER(TEXT(B11,"dddd")),"")</f>
        <v/>
      </c>
      <c r="B11" s="25" t="n">
        <v>46148</v>
      </c>
      <c r="C11" s="26" t="n">
        <v/>
      </c>
      <c r="D11" s="27" t="n">
        <v/>
      </c>
      <c r="E11" s="26" t="n">
        <v/>
      </c>
      <c r="F11" s="27" t="n">
        <v/>
      </c>
      <c r="G11" s="26" t="n">
        <v/>
      </c>
      <c r="H11" s="27" t="n">
        <v/>
      </c>
      <c r="I11" s="43">
        <f>SUM(D11-C11, F11-E11, H11-G11)</f>
        <v/>
      </c>
      <c r="J11" s="28" t="n">
        <v/>
      </c>
      <c r="K11" t="inlineStr"/>
    </row>
    <row r="12" ht="18.75" customHeight="1">
      <c r="A12" s="20">
        <f>IF(B12&gt;0,PROPER(TEXT(B12,"dddd")),"")</f>
        <v/>
      </c>
      <c r="B12" s="21" t="n">
        <v>46149</v>
      </c>
      <c r="C12" s="26" t="n">
        <v/>
      </c>
      <c r="D12" s="27" t="n">
        <v/>
      </c>
      <c r="E12" s="26" t="n">
        <v/>
      </c>
      <c r="F12" s="27" t="n">
        <v/>
      </c>
      <c r="G12" s="26" t="n">
        <v/>
      </c>
      <c r="H12" s="27" t="n">
        <v/>
      </c>
      <c r="I12" s="44">
        <f>SUM(D12-C12, F12-E12, H12-G12)</f>
        <v/>
      </c>
      <c r="J12" s="28" t="n">
        <v/>
      </c>
      <c r="K12" t="inlineStr"/>
    </row>
    <row r="13" ht="18.75" customHeight="1">
      <c r="A13" s="20">
        <f>IF(B13&gt;0,PROPER(TEXT(B13,"dddd")),"")</f>
        <v/>
      </c>
      <c r="B13" s="25" t="n">
        <v>46150</v>
      </c>
      <c r="C13" s="26" t="n">
        <v/>
      </c>
      <c r="D13" s="27" t="n">
        <v/>
      </c>
      <c r="E13" s="26" t="n">
        <v/>
      </c>
      <c r="F13" s="27" t="n">
        <v/>
      </c>
      <c r="G13" s="26" t="n">
        <v/>
      </c>
      <c r="H13" s="27" t="n">
        <v/>
      </c>
      <c r="I13" s="22">
        <f>SUM(D13-C13, F13-E13, H13-G13)</f>
        <v/>
      </c>
      <c r="J13" s="28" t="n">
        <v/>
      </c>
      <c r="K13" t="inlineStr"/>
    </row>
    <row r="14" ht="18.75" customHeight="1">
      <c r="A14" s="20">
        <f>IF(B14&gt;0,PROPER(TEXT(B14,"dddd")),"")</f>
        <v/>
      </c>
      <c r="B14" s="25" t="n">
        <v>46151</v>
      </c>
      <c r="C14" s="26" t="n">
        <v/>
      </c>
      <c r="D14" s="27" t="n">
        <v/>
      </c>
      <c r="E14" s="26" t="n">
        <v/>
      </c>
      <c r="F14" s="27" t="n">
        <v/>
      </c>
      <c r="G14" s="26" t="n">
        <v/>
      </c>
      <c r="H14" s="27" t="n">
        <v/>
      </c>
      <c r="I14" s="26">
        <f>SUM(D14-C14, F14-E14, H14-G14)</f>
        <v/>
      </c>
      <c r="J14" s="28" t="n">
        <v/>
      </c>
      <c r="K14" t="inlineStr"/>
    </row>
    <row r="15" ht="18.75" customHeight="1">
      <c r="A15" s="20">
        <f>IF(B15&gt;0,PROPER(TEXT(B15,"dddd")),"")</f>
        <v/>
      </c>
      <c r="B15" s="21" t="n">
        <v>46152</v>
      </c>
      <c r="C15" s="26" t="n">
        <v/>
      </c>
      <c r="D15" s="27" t="n">
        <v/>
      </c>
      <c r="E15" s="26" t="n">
        <v/>
      </c>
      <c r="F15" s="27" t="n">
        <v/>
      </c>
      <c r="G15" s="26" t="n">
        <v/>
      </c>
      <c r="H15" s="27" t="n">
        <v/>
      </c>
      <c r="I15" s="26">
        <f>SUM(D15-C15, F15-E15, H15-G15)</f>
        <v/>
      </c>
      <c r="J15" s="28" t="n">
        <v/>
      </c>
      <c r="K15" t="inlineStr"/>
    </row>
    <row r="16" ht="18.75" customHeight="1">
      <c r="A16" s="20">
        <f>IF(B16&gt;0,PROPER(TEXT(B16,"dddd")),"")</f>
        <v/>
      </c>
      <c r="B16" s="25" t="n">
        <v>46153</v>
      </c>
      <c r="C16" s="26" t="n">
        <v/>
      </c>
      <c r="D16" s="27" t="n">
        <v/>
      </c>
      <c r="E16" s="26" t="n">
        <v/>
      </c>
      <c r="F16" s="27" t="n">
        <v/>
      </c>
      <c r="G16" s="26" t="n">
        <v/>
      </c>
      <c r="H16" s="27" t="n">
        <v/>
      </c>
      <c r="I16" s="26">
        <f>SUM(D16-C16, F16-E16, H16-G16)</f>
        <v/>
      </c>
      <c r="J16" s="28" t="n">
        <v/>
      </c>
      <c r="K16" t="inlineStr"/>
    </row>
    <row r="17" ht="18.75" customHeight="1">
      <c r="A17" s="20">
        <f>IF(B17&gt;0,PROPER(TEXT(B17,"dddd")),"")</f>
        <v/>
      </c>
      <c r="B17" s="25" t="n">
        <v>46154</v>
      </c>
      <c r="C17" s="26" t="n">
        <v/>
      </c>
      <c r="D17" s="27" t="n">
        <v/>
      </c>
      <c r="E17" s="26" t="n">
        <v/>
      </c>
      <c r="F17" s="27" t="n">
        <v/>
      </c>
      <c r="G17" s="26" t="n">
        <v/>
      </c>
      <c r="H17" s="27" t="n">
        <v/>
      </c>
      <c r="I17" s="26">
        <f>SUM(D17-C17, F17-E17, H17-G17)</f>
        <v/>
      </c>
      <c r="J17" s="28" t="n">
        <v/>
      </c>
      <c r="K17" t="inlineStr"/>
    </row>
    <row r="18" ht="18.75" customHeight="1">
      <c r="A18" s="20">
        <f>IF(B18&gt;0,PROPER(TEXT(B18,"dddd")),"")</f>
        <v/>
      </c>
      <c r="B18" s="21" t="n">
        <v>46155</v>
      </c>
      <c r="C18" s="26" t="n">
        <v/>
      </c>
      <c r="D18" s="27" t="n">
        <v/>
      </c>
      <c r="E18" s="26" t="n">
        <v/>
      </c>
      <c r="F18" s="27" t="n">
        <v/>
      </c>
      <c r="G18" s="26" t="n">
        <v/>
      </c>
      <c r="H18" s="27" t="n">
        <v/>
      </c>
      <c r="I18" s="26">
        <f>SUM(D18-C18, F18-E18, H18-G18)</f>
        <v/>
      </c>
      <c r="J18" s="28" t="n">
        <v/>
      </c>
      <c r="K18" t="inlineStr"/>
    </row>
    <row r="19" ht="18.75" customHeight="1">
      <c r="A19" s="20">
        <f>IF(B19&gt;0,PROPER(TEXT(B19,"dddd")),"")</f>
        <v/>
      </c>
      <c r="B19" s="25" t="n">
        <v>46156</v>
      </c>
      <c r="C19" s="26" t="n">
        <v>0.7083333333333334</v>
      </c>
      <c r="D19" s="27" t="n">
        <v>0.7645833333333333</v>
      </c>
      <c r="E19" s="26" t="n">
        <v/>
      </c>
      <c r="F19" s="27" t="n">
        <v/>
      </c>
      <c r="G19" s="26" t="n">
        <v/>
      </c>
      <c r="H19" s="27" t="n">
        <v/>
      </c>
      <c r="I19" s="26">
        <f>SUM(D19-C19, F19-E19, H19-G19)</f>
        <v/>
      </c>
      <c r="J19" s="28" t="inlineStr">
        <is>
          <t>OT # 176752. Santa Rosa, Est 290115, arreglo acometida medidor 236636, arrancada por vehiculo.</t>
        </is>
      </c>
      <c r="K19">
        <f>SUM((D19-C19)*1.5*24)</f>
        <v/>
      </c>
    </row>
    <row r="20" ht="18.75" customHeight="1">
      <c r="A20" s="20">
        <f>IF(B20&gt;0,PROPER(TEXT(B20,"dddd")),"")</f>
        <v/>
      </c>
      <c r="B20" s="25" t="n">
        <v>46157</v>
      </c>
      <c r="C20" s="26" t="n">
        <v/>
      </c>
      <c r="D20" s="27" t="n">
        <v/>
      </c>
      <c r="E20" s="26" t="n">
        <v/>
      </c>
      <c r="F20" s="27" t="n">
        <v/>
      </c>
      <c r="G20" s="26" t="n">
        <v/>
      </c>
      <c r="H20" s="27" t="n">
        <v/>
      </c>
      <c r="I20" s="26">
        <f>SUM(D20-C20, F20-E20, H20-G20)</f>
        <v/>
      </c>
      <c r="J20" s="28" t="n">
        <v/>
      </c>
      <c r="K20" t="inlineStr"/>
    </row>
    <row r="21" ht="18.75" customHeight="1">
      <c r="A21" s="20">
        <f>IF(B21&gt;0,PROPER(TEXT(B21,"dddd")),"")</f>
        <v/>
      </c>
      <c r="B21" s="21" t="n">
        <v>46158</v>
      </c>
      <c r="C21" s="26" t="n">
        <v/>
      </c>
      <c r="D21" s="27" t="n">
        <v/>
      </c>
      <c r="E21" s="26" t="n">
        <v/>
      </c>
      <c r="F21" s="27" t="n">
        <v/>
      </c>
      <c r="G21" s="26" t="n">
        <v/>
      </c>
      <c r="H21" s="27" t="n">
        <v/>
      </c>
      <c r="I21" s="26">
        <f>SUM(D21-C21, F21-E21, H21-G21)</f>
        <v/>
      </c>
      <c r="J21" s="28" t="n">
        <v/>
      </c>
      <c r="K21" t="inlineStr"/>
    </row>
    <row r="22" ht="18.75" customHeight="1">
      <c r="A22" s="20">
        <f>IF(B22&gt;0,PROPER(TEXT(B22,"dddd")),"")</f>
        <v/>
      </c>
      <c r="B22" s="25" t="n">
        <v>46159</v>
      </c>
      <c r="C22" s="26" t="n">
        <v/>
      </c>
      <c r="D22" s="27" t="n">
        <v/>
      </c>
      <c r="E22" s="26" t="n">
        <v/>
      </c>
      <c r="F22" s="27" t="n">
        <v/>
      </c>
      <c r="G22" s="26" t="n">
        <v/>
      </c>
      <c r="H22" s="27" t="n">
        <v/>
      </c>
      <c r="I22" s="26">
        <f>SUM(D22-C22, F22-E22, H22-G22)</f>
        <v/>
      </c>
      <c r="J22" s="28" t="n">
        <v/>
      </c>
      <c r="K22" t="inlineStr"/>
    </row>
    <row r="23" ht="18.75" customHeight="1">
      <c r="A23" s="20">
        <f>IF(B23&gt;0,PROPER(TEXT(B23,"dddd")),"")</f>
        <v/>
      </c>
      <c r="B23" s="25" t="n">
        <v>46160</v>
      </c>
      <c r="C23" s="26" t="n">
        <v/>
      </c>
      <c r="D23" s="27" t="n">
        <v/>
      </c>
      <c r="E23" s="26" t="n">
        <v/>
      </c>
      <c r="F23" s="27" t="n">
        <v/>
      </c>
      <c r="G23" s="26" t="n">
        <v/>
      </c>
      <c r="H23" s="27" t="n">
        <v/>
      </c>
      <c r="I23" s="26">
        <f>SUM(D23-C23, F23-E23, H23-G23)</f>
        <v/>
      </c>
      <c r="J23" s="28" t="n">
        <v/>
      </c>
      <c r="K23" t="inlineStr"/>
    </row>
    <row r="24" ht="18.75" customHeight="1">
      <c r="A24" s="20">
        <f>IF(B24&gt;0,PROPER(TEXT(B24,"dddd")),"")</f>
        <v/>
      </c>
      <c r="B24" s="21" t="n">
        <v>46161</v>
      </c>
      <c r="C24" s="26" t="n">
        <v/>
      </c>
      <c r="D24" s="27" t="n">
        <v/>
      </c>
      <c r="E24" s="26" t="n">
        <v/>
      </c>
      <c r="F24" s="27" t="n">
        <v/>
      </c>
      <c r="G24" s="26" t="n">
        <v/>
      </c>
      <c r="H24" s="27" t="n">
        <v/>
      </c>
      <c r="I24" s="26">
        <f>SUM(D24-C24, F24-E24, H24-G24)</f>
        <v/>
      </c>
      <c r="J24" s="28" t="n">
        <v/>
      </c>
      <c r="K24" t="inlineStr"/>
    </row>
    <row r="25" ht="18.75" customHeight="1">
      <c r="A25" s="20">
        <f>IF(B25&gt;0,PROPER(TEXT(B25,"dddd")),"")</f>
        <v/>
      </c>
      <c r="B25" s="25" t="n">
        <v>46162</v>
      </c>
      <c r="C25" s="26" t="n">
        <v/>
      </c>
      <c r="D25" s="27" t="n">
        <v/>
      </c>
      <c r="E25" s="26" t="n">
        <v/>
      </c>
      <c r="F25" s="27" t="n">
        <v/>
      </c>
      <c r="G25" s="26" t="n">
        <v/>
      </c>
      <c r="H25" s="27" t="n">
        <v/>
      </c>
      <c r="I25" s="26">
        <f>SUM(D25-C25, F25-E25, H25-G25)</f>
        <v/>
      </c>
      <c r="J25" s="28" t="n">
        <v/>
      </c>
      <c r="K25" t="inlineStr"/>
    </row>
    <row r="26" ht="18.75" customHeight="1">
      <c r="A26" s="20">
        <f>IF(B26&gt;0,PROPER(TEXT(B26,"dddd")),"")</f>
        <v/>
      </c>
      <c r="B26" s="25" t="n">
        <v>46163</v>
      </c>
      <c r="C26" s="26" t="n">
        <v>0.7083333333333334</v>
      </c>
      <c r="D26" s="27" t="n">
        <v>0.8611111111111112</v>
      </c>
      <c r="E26" s="26" t="n">
        <v/>
      </c>
      <c r="F26" s="27" t="n">
        <v/>
      </c>
      <c r="G26" s="26" t="n">
        <v/>
      </c>
      <c r="H26" s="27" t="n">
        <v/>
      </c>
      <c r="I26" s="26">
        <f>SUM(D26-C26, F26-E26, H26-G26)</f>
        <v/>
      </c>
      <c r="J26" s="28" t="inlineStr">
        <is>
          <t>OT # 177205. Traslado Ideal, estructura 029360 conexión de Oficina Movil EERSSA, Atencion de Clientes, Reunion. En El Ideal, estructura 037334, revision y arreglo acometida medidor 1000407528, neutro sulfato red por disposicion Ing Peña Silvana. El Ideal, Estructura 029360, retiro acometida Oficina Movil EERSSA, finalización de programa. Retorno a Gualaquiza.</t>
        </is>
      </c>
      <c r="K26">
        <f>SUM((D26-C26)*1.5*24)</f>
        <v/>
      </c>
    </row>
    <row r="27" ht="18.75" customHeight="1">
      <c r="A27" s="20">
        <f>IF(B27&gt;0,PROPER(TEXT(B27,"dddd")),"")</f>
        <v/>
      </c>
      <c r="B27" s="21" t="n">
        <v>46164</v>
      </c>
      <c r="C27" s="26" t="n">
        <v/>
      </c>
      <c r="D27" s="27" t="n">
        <v/>
      </c>
      <c r="E27" s="26" t="n">
        <v/>
      </c>
      <c r="F27" s="27" t="n">
        <v/>
      </c>
      <c r="G27" s="26" t="n">
        <v/>
      </c>
      <c r="H27" s="27" t="n">
        <v/>
      </c>
      <c r="I27" s="26">
        <f>SUM(D27-C27, F27-E27, H27-G27)</f>
        <v/>
      </c>
      <c r="J27" s="28" t="n">
        <v/>
      </c>
      <c r="K27" t="inlineStr"/>
    </row>
    <row r="28" ht="18.75" customHeight="1">
      <c r="A28" s="20">
        <f>IF(B28&gt;0,PROPER(TEXT(B28,"dddd")),"")</f>
        <v/>
      </c>
      <c r="B28" s="25" t="n">
        <v>46165</v>
      </c>
      <c r="C28" s="26" t="n">
        <v/>
      </c>
      <c r="D28" s="27" t="n">
        <v/>
      </c>
      <c r="E28" s="26" t="n">
        <v/>
      </c>
      <c r="F28" s="27" t="n">
        <v/>
      </c>
      <c r="G28" s="26" t="n">
        <v/>
      </c>
      <c r="H28" s="27" t="n">
        <v/>
      </c>
      <c r="I28" s="26">
        <f>SUM(D28-C28, F28-E28, H28-G28)</f>
        <v/>
      </c>
      <c r="J28" s="28" t="n">
        <v/>
      </c>
      <c r="K28" t="inlineStr"/>
    </row>
    <row r="29" ht="18.75" customHeight="1">
      <c r="A29" s="20">
        <f>IF(B29&gt;0,PROPER(TEXT(B29,"dddd")),"")</f>
        <v/>
      </c>
      <c r="B29" s="25" t="n">
        <v>46166</v>
      </c>
      <c r="C29" s="26" t="n">
        <v/>
      </c>
      <c r="D29" s="27" t="n">
        <v/>
      </c>
      <c r="E29" s="26" t="n">
        <v/>
      </c>
      <c r="F29" s="27" t="n">
        <v/>
      </c>
      <c r="G29" s="26" t="n">
        <v/>
      </c>
      <c r="H29" s="27" t="n">
        <v/>
      </c>
      <c r="I29" s="26">
        <f>SUM(D29-C29, F29-E29, H29-G29)</f>
        <v/>
      </c>
      <c r="J29" s="28" t="n">
        <v/>
      </c>
      <c r="K29" t="inlineStr"/>
    </row>
    <row r="30" ht="18.75" customHeight="1">
      <c r="A30" s="20">
        <f>IF(B30&gt;0,PROPER(TEXT(B30,"dddd")),"")</f>
        <v/>
      </c>
      <c r="B30" s="21" t="n">
        <v>46167</v>
      </c>
      <c r="C30" s="26" t="n">
        <v/>
      </c>
      <c r="D30" s="27" t="n">
        <v/>
      </c>
      <c r="E30" s="26" t="n">
        <v/>
      </c>
      <c r="F30" s="27" t="n">
        <v/>
      </c>
      <c r="G30" s="26" t="n">
        <v/>
      </c>
      <c r="H30" s="27" t="n">
        <v/>
      </c>
      <c r="I30" s="26">
        <f>SUM(D30-C30, F30-E30, H30-G30)</f>
        <v/>
      </c>
      <c r="J30" s="28" t="n">
        <v/>
      </c>
      <c r="K30" t="inlineStr"/>
    </row>
    <row r="31" ht="18.75" customHeight="1">
      <c r="A31" s="20">
        <f>IF(B31&gt;0,PROPER(TEXT(B31,"dddd")),"")</f>
        <v/>
      </c>
      <c r="B31" s="25" t="n">
        <v>46168</v>
      </c>
      <c r="C31" s="26" t="n">
        <v/>
      </c>
      <c r="D31" s="27" t="n">
        <v/>
      </c>
      <c r="E31" s="26" t="n">
        <v/>
      </c>
      <c r="F31" s="27" t="n">
        <v/>
      </c>
      <c r="G31" s="26" t="n">
        <v/>
      </c>
      <c r="H31" s="27" t="n">
        <v/>
      </c>
      <c r="I31" s="26">
        <f>SUM(D31-C31, F31-E31, H31-G31)</f>
        <v/>
      </c>
      <c r="J31" s="28" t="n">
        <v/>
      </c>
      <c r="K31" t="inlineStr"/>
    </row>
    <row r="32" ht="18.75" customHeight="1">
      <c r="A32" s="20">
        <f>IF(B32&gt;0,PROPER(TEXT(B32,"dddd")),"")</f>
        <v/>
      </c>
      <c r="B32" s="25" t="n">
        <v>46169</v>
      </c>
      <c r="C32" s="26" t="n">
        <v/>
      </c>
      <c r="D32" s="27" t="n">
        <v/>
      </c>
      <c r="E32" s="26" t="n">
        <v/>
      </c>
      <c r="F32" s="27" t="n">
        <v/>
      </c>
      <c r="G32" s="26" t="n">
        <v/>
      </c>
      <c r="H32" s="27" t="n">
        <v/>
      </c>
      <c r="I32" s="26">
        <f>SUM(D32-C32, F32-E32, H32-G32)</f>
        <v/>
      </c>
      <c r="J32" s="28" t="n">
        <v/>
      </c>
      <c r="K32" t="inlineStr"/>
    </row>
    <row r="33" ht="18.75" customHeight="1">
      <c r="A33" s="20">
        <f>IF(B33&gt;0,PROPER(TEXT(B33,"dddd")),"")</f>
        <v/>
      </c>
      <c r="B33" s="21" t="n">
        <v>46170</v>
      </c>
      <c r="C33" s="26" t="n">
        <v/>
      </c>
      <c r="D33" s="27" t="n">
        <v/>
      </c>
      <c r="E33" s="26" t="n">
        <v/>
      </c>
      <c r="F33" s="27" t="n">
        <v/>
      </c>
      <c r="G33" s="26" t="n">
        <v/>
      </c>
      <c r="H33" s="27" t="n">
        <v/>
      </c>
      <c r="I33" s="26">
        <f>SUM(D33-C33, F33-E33, H33-G33)</f>
        <v/>
      </c>
      <c r="J33" s="28" t="n">
        <v/>
      </c>
      <c r="K33" t="inlineStr"/>
    </row>
    <row r="34" ht="18.75" customHeight="1">
      <c r="A34" s="20">
        <f>IF(B34&gt;0,PROPER(TEXT(B34,"dddd")),"")</f>
        <v/>
      </c>
      <c r="B34" s="25" t="n">
        <v>46171</v>
      </c>
      <c r="C34" s="26" t="n">
        <v/>
      </c>
      <c r="D34" s="27" t="n">
        <v/>
      </c>
      <c r="E34" s="26" t="n">
        <v/>
      </c>
      <c r="F34" s="27" t="n">
        <v/>
      </c>
      <c r="G34" s="26" t="n">
        <v/>
      </c>
      <c r="H34" s="27" t="n">
        <v/>
      </c>
      <c r="I34" s="26">
        <f>SUM(D34-C34, F34-E34, H34-G34)</f>
        <v/>
      </c>
      <c r="J34" s="28" t="n">
        <v/>
      </c>
      <c r="K34" t="inlineStr"/>
    </row>
    <row r="35" ht="18.75" customHeight="1">
      <c r="A35" s="20">
        <f>IF(B35&gt;0,PROPER(TEXT(B35,"dddd")),"")</f>
        <v/>
      </c>
      <c r="B35" s="25" t="n">
        <v>46172</v>
      </c>
      <c r="C35" s="26" t="n">
        <v/>
      </c>
      <c r="D35" s="27" t="n">
        <v/>
      </c>
      <c r="E35" s="26" t="n">
        <v/>
      </c>
      <c r="F35" s="27" t="n">
        <v/>
      </c>
      <c r="G35" s="26" t="n">
        <v/>
      </c>
      <c r="H35" s="27" t="n">
        <v/>
      </c>
      <c r="I35" s="26">
        <f>SUM(D35-C35, F35-E35, H35-G35)</f>
        <v/>
      </c>
      <c r="J35" s="28" t="n">
        <v/>
      </c>
      <c r="K35" t="inlineStr"/>
    </row>
    <row r="36" ht="18.75" customHeight="1">
      <c r="A36" s="29">
        <f>IF(B36&gt;0,PROPER(TEXT(B36,"dddd")),"")</f>
        <v/>
      </c>
      <c r="B36" s="21" t="n">
        <v>46173</v>
      </c>
      <c r="C36" s="30" t="n">
        <v/>
      </c>
      <c r="D36" s="31" t="n">
        <v/>
      </c>
      <c r="E36" s="30" t="n">
        <v/>
      </c>
      <c r="F36" s="31" t="n">
        <v/>
      </c>
      <c r="G36" s="30" t="n">
        <v/>
      </c>
      <c r="H36" s="31" t="n">
        <v/>
      </c>
      <c r="I36" s="30">
        <f>SUM(D36-C36, F36-E36, H36-G36)</f>
        <v/>
      </c>
      <c r="J36" s="32" t="n">
        <v/>
      </c>
      <c r="K36" t="inlineStr"/>
    </row>
    <row r="37">
      <c r="A37" s="33" t="n"/>
      <c r="B37" s="34" t="n"/>
      <c r="C37" s="34" t="n"/>
      <c r="D37" s="34" t="n"/>
      <c r="E37" s="34" t="n"/>
      <c r="F37" s="34" t="n"/>
      <c r="G37" s="34" t="n"/>
      <c r="H37" s="34" t="n"/>
      <c r="I37" s="35" t="n"/>
      <c r="J37" s="34"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pageMargins left="0.275694444444444" right="0.275694444444444" top="0.236111111111111" bottom="0.55" header="0.511811023622047" footer="0.42"/>
  <pageSetup orientation="landscape" paperSize="9" scale="65"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Planificación</dc:creator>
  <dc:language>es-EC</dc:language>
  <dcterms:created xsi:type="dcterms:W3CDTF">1999-03-18T09:31:00Z</dcterms:created>
  <dcterms:modified xsi:type="dcterms:W3CDTF">2026-06-03T19:42:10Z</dcterms:modified>
  <cp:lastModifiedBy>Ernesto Vladimir Palacios Merino</cp:lastModifiedBy>
  <cp:revision>20</cp:revision>
  <cp:lastPrinted>2026-04-28T17:48:40Z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
  </property>
  <property name="KSOProductBuildVer" fmtid="{D5CDD505-2E9C-101B-9397-08002B2CF9AE}" pid="3">
    <vt:lpwstr>1033-11.1.0.11723</vt:lpwstr>
  </property>
</Properties>
</file>