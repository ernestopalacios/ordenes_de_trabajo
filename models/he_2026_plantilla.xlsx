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RAS_EXTRA" sheetId="1" state="visible" r:id="rId3"/>
  </sheets>
  <definedNames>
    <definedName function="false" hidden="false" localSheetId="0" name="_xlnm.Print_Area" vbProcedure="false">HORAS_EXTRA!$A$1:$J$36</definedName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  <definedName function="false" hidden="false" localSheetId="0" name="Imprimir_títulos_IM" vbProcedure="false">NA()</definedName>
    <definedName function="false" hidden="false" localSheetId="0" name="Imprimir_área_IM" vbProcedure="false">NA()</definedName>
    <definedName function="false" hidden="false" localSheetId="0" name="_Regression_Int" vbProcedure="false">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<sst xmlns="http://schemas.openxmlformats.org/spreadsheetml/2006/main" count="27" uniqueCount="27">
  <si>
    <r>
      <rPr>
        <b val="true"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</si>
  <si>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</si>
  <si>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 xml:space="preserve">HOJA DE PRUEBA</t>
  </si>
  <si>
    <t xml:space="preserve">TOTAL</t>
  </si>
  <si>
    <t xml:space="preserve">Cuadrilla o Agencia:</t>
  </si>
  <si>
    <t xml:space="preserve">AGENCIA GUALAQUIZA</t>
  </si>
  <si>
    <t xml:space="preserve">(horas reloj)</t>
  </si>
  <si>
    <t xml:space="preserve">Parte:</t>
  </si>
  <si>
    <t xml:space="preserve">                      Trabajador                                                         Jefe Zonal                                                          Ingeniero 1            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</si>
  <si>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</si>
  <si>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</si>
  <si>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</si>
  <si>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</si>
  <si>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</si>
  <si>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</si>
  <si>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</si>
  <si>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</si>
  <si>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</si>
  <si>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</si>
  <si>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173960. Guayusal, reivision y limpieza RBV rehabilitacion de trafo # 23459.</t>
  </si>
  <si>
    <t xml:space="preserve">OT # 174080. FESTIVO. Naichap, restitución M# 194238 por 18-258039. Aguacate, restitución M# 194324 por 18-258040.</t>
  </si>
  <si>
    <t xml:space="preserve">OT # 174083. Guayusal, Est 291765 cambio tirafusible 25A-T</t>
  </si>
  <si>
    <t xml:space="preserve">OT # 174084. Chumpias, Est 028535 cambio tirafusible 25A-T</t>
  </si>
  <si>
    <t xml:space="preserve">OT # 174310. La Pradera, se arregla acometida M# 240908, se rehabilita trafo # 20916</t>
  </si>
  <si>
    <t xml:space="preserve">OT # 174313. Shiramentza, Est 22357 cambi0 tirafusible de 1.3A-SR</t>
  </si>
  <si>
    <t xml:space="preserve">OT # 174486.Tutus, Est 91980 cambio de tirafusible 12A-T</t>
  </si>
  <si>
    <t xml:space="preserve">Calle Atahualpa - Velazco Ibarra, red de baja tensión arrancada por corto circuito. se recupera conductor en buen estado, se usa 3 varillas #2 y 1/0 de empalme en 5005 y acsr.....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</si>
</sst>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h:mm"/>
    <numFmt numFmtId="167" formatCode="h:mm;@"/>
    <numFmt numFmtId="168" formatCode="[$-C0A]d/mmm\ yyyy;@"/>
  </numFmts>
  <fonts count="21">
    <font>
      <sz val="12"/>
      <name val="Courier Ne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  <charset val="134"/>
    </font>
    <font>
      <i val="true"/>
      <sz val="1"/>
      <color rgb="FF000000"/>
      <name val="Courier New"/>
      <family val="0"/>
      <charset val="134"/>
    </font>
    <font>
      <sz val="10"/>
      <name val="Arial"/>
      <family val="0"/>
      <charset val="134"/>
    </font>
    <font>
      <b val="true"/>
      <sz val="12"/>
      <name val="Franklin Gothic Book"/>
      <family val="2"/>
      <charset val="1"/>
    </font>
    <font>
      <sz val="12"/>
      <name val="Franklin Gothic Book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 val="true"/>
      <sz val="18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21"/>
      <name val="Times New Roman"/>
      <family val="0"/>
      <charset val="134"/>
    </font>
    <font>
      <sz val="10"/>
      <name val="Calibri"/>
      <family val="2"/>
      <charset val="1"/>
    </font>
    <font>
      <b val="true"/>
      <sz val="12"/>
      <name val="Aptos Display"/>
      <family val="0"/>
      <charset val="134"/>
    </font>
    <font>
      <sz val="14"/>
      <name val="Calibri"/>
      <family val="2"/>
      <charset val="1"/>
    </font>
    <font>
      <sz val="12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>
        <color rgb="FF3465A4"/>
      </right>
      <top style="thin"/>
      <bottom/>
      <diagonal/>
    </border>
    <border diagonalUp="false" diagonalDown="false">
      <left/>
      <right style="thin">
        <color rgb="FF3465A4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/>
      <bottom style="hair">
        <color rgb="FF3465A4"/>
      </bottom>
      <diagonal/>
    </border>
    <border diagonalUp="false" diagonalDown="false">
      <left/>
      <right/>
      <top/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thin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thin">
        <color rgb="FF3465A4"/>
      </top>
      <bottom style="thin">
        <color rgb="FF3465A4"/>
      </bottom>
      <diagonal/>
    </border>
    <border diagonalUp="false" diagonalDown="false">
      <left style="thin"/>
      <right/>
      <top style="hair">
        <color rgb="FF3465A4"/>
      </top>
      <bottom style="thin"/>
      <diagonal/>
    </border>
    <border diagonalUp="false" diagonalDown="false">
      <left/>
      <right style="thin">
        <color rgb="FF3465A4"/>
      </right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3465A4"/>
      </left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  <xf numFmtId="164" fontId="1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10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1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110520</xdr:colOff>
      <xdr:row>0</xdr:row>
      <xdr:rowOff>1055520</xdr:rowOff>
    </xdr:to>
    <xdr:pic>
      <xdr:nvPicPr>
        <xdr:cNvPr id="1" name="Imagen 2"/>
        <xdr:cNvPicPr/>
      </xdr:nvPicPr>
      <xdr:blipFill>
        <a:blip r:embed="rId1"/>
        <a:stretch/>
      </xdr:blipFill>
      <xdr:spPr>
        <a:xfrm>
          <a:off x="0" y="0"/>
          <a:ext cx="2039760" cy="1055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7871400</xdr:colOff>
      <xdr:row>0</xdr:row>
      <xdr:rowOff>401040</xdr:rowOff>
    </xdr:to>
    <xdr:pic>
      <xdr:nvPicPr>
        <xdr:cNvPr id="2" name="Imagen 4"/>
        <xdr:cNvPicPr/>
      </xdr:nvPicPr>
      <xdr:blipFill>
        <a:blip r:embed="rId2"/>
        <a:stretch/>
      </xdr:blipFill>
      <xdr:spPr>
        <a:xfrm>
          <a:off x="10395360" y="21960"/>
          <a:ext cx="4151160" cy="379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true" showOutlineSymbols="true" defaultGridColor="true" view="normal" topLeftCell="D1" colorId="64" zoomScale="90" zoomScaleNormal="90" zoomScalePageLayoutView="100" workbookViewId="0">
      <pane xSplit="6" ySplit="2" topLeftCell="J3" activePane="bottomRight" state="frozen"/>
      <selection pane="topLeft" activeCell="D1" activeCellId="0" sqref="D1"/>
      <selection pane="topRight" activeCell="J1" activeCellId="0" sqref="J1"/>
      <selection pane="bottomLeft" activeCell="D3" activeCellId="0" sqref="D3"/>
      <selection pane="bottomRight" activeCell="J14" activeCellId="0" sqref="J14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</v>
      </c>
      <c r="I2" s="8" t="n">
        <f aca="false">SUM(K6:K36)</f>
        <v>0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</v>
      </c>
      <c r="I3" s="12" t="n">
        <f aca="false">SUM(I6:I36)</f>
        <v>0.777083333333334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fals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35" hidden="false" customHeight="fals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v>0</v>
      </c>
      <c r="J6" s="31"/>
    </row>
    <row r="7" customFormat="false" ht="17.35" hidden="false" customHeight="false" outlineLevel="0" collapsed="false">
      <c r="A7" s="27" t="str">
        <f aca="false">IF(B7&gt;0,PROPER(TEXT(B7,"dddd")),"")</f>
        <v>Jueves</v>
      </c>
      <c r="B7" s="32" t="n">
        <v>46114</v>
      </c>
      <c r="C7" s="33" t="n">
        <v>0.803472222222222</v>
      </c>
      <c r="D7" s="34" t="n">
        <v>0.865277777777778</v>
      </c>
      <c r="E7" s="33"/>
      <c r="F7" s="34"/>
      <c r="G7" s="33"/>
      <c r="H7" s="34"/>
      <c r="I7" s="33" t="n">
        <v>0.0618055555555556</v>
      </c>
      <c r="J7" s="35" t="s">
        <v>19</v>
      </c>
    </row>
    <row r="8" customFormat="false" ht="17.35" hidden="false" customHeight="false" outlineLevel="0" collapsed="false">
      <c r="A8" s="27" t="str">
        <f aca="false">IF(B8&gt;0,PROPER(TEXT(B8,"dddd")),"")</f>
        <v>Viernes</v>
      </c>
      <c r="B8" s="32" t="n">
        <v>46115</v>
      </c>
      <c r="C8" s="33" t="n">
        <v>0.370138888888889</v>
      </c>
      <c r="D8" s="34" t="n">
        <v>0.552083333333333</v>
      </c>
      <c r="E8" s="33" t="n">
        <v>0.709027777777778</v>
      </c>
      <c r="F8" s="34" t="n">
        <v>0.795138888888889</v>
      </c>
      <c r="G8" s="33"/>
      <c r="H8" s="34"/>
      <c r="I8" s="33" t="n">
        <v>0.268055555555556</v>
      </c>
      <c r="J8" s="35" t="s">
        <v>20</v>
      </c>
    </row>
    <row r="9" customFormat="false" ht="17.35" hidden="false" customHeight="false" outlineLevel="0" collapsed="false">
      <c r="A9" s="27" t="str">
        <f aca="false">IF(B9&gt;0,PROPER(TEXT(B9,"dddd")),"")</f>
        <v>Sábado</v>
      </c>
      <c r="B9" s="32" t="n">
        <v>46116</v>
      </c>
      <c r="C9" s="33" t="n">
        <v>0.677777777777778</v>
      </c>
      <c r="D9" s="34" t="n">
        <v>0.766666666666667</v>
      </c>
      <c r="E9" s="33"/>
      <c r="F9" s="34"/>
      <c r="G9" s="33"/>
      <c r="H9" s="34"/>
      <c r="I9" s="33" t="n">
        <v>0.0888888888888889</v>
      </c>
      <c r="J9" s="35" t="s">
        <v>21</v>
      </c>
    </row>
    <row r="10" customFormat="false" ht="17.35" hidden="false" customHeight="fals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0.366666666666667</v>
      </c>
      <c r="D10" s="34" t="n">
        <v>0.450694444444444</v>
      </c>
      <c r="E10" s="33"/>
      <c r="F10" s="34"/>
      <c r="G10" s="33"/>
      <c r="H10" s="34"/>
      <c r="I10" s="33" t="n">
        <v>0.0840277777777778</v>
      </c>
      <c r="J10" s="35" t="s">
        <v>22</v>
      </c>
    </row>
    <row r="11" customFormat="false" ht="17.35" hidden="false" customHeight="fals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0.798611111111111</v>
      </c>
      <c r="D11" s="34" t="n">
        <v>0.885416666666667</v>
      </c>
      <c r="E11" s="33"/>
      <c r="F11" s="34"/>
      <c r="G11" s="33"/>
      <c r="H11" s="34"/>
      <c r="I11" s="33" t="n">
        <v>0.0868055555555556</v>
      </c>
      <c r="J11" s="35" t="s">
        <v>23</v>
      </c>
    </row>
    <row r="12" customFormat="false" ht="17.35" hidden="false" customHeight="fals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0.75</v>
      </c>
      <c r="D12" s="34" t="n">
        <v>0.847222222222222</v>
      </c>
      <c r="E12" s="33"/>
      <c r="F12" s="34"/>
      <c r="G12" s="33"/>
      <c r="H12" s="34"/>
      <c r="I12" s="36" t="n">
        <v>0.0972222222222222</v>
      </c>
      <c r="J12" s="35" t="s">
        <v>24</v>
      </c>
    </row>
    <row r="13" customFormat="false" ht="17.35" hidden="false" customHeight="fals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v>0</v>
      </c>
      <c r="J13" s="35"/>
    </row>
    <row r="14" customFormat="false" ht="17.35" hidden="false" customHeight="fals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v>0</v>
      </c>
      <c r="J14" s="35"/>
    </row>
    <row r="15" customFormat="false" ht="17.35" hidden="false" customHeight="fals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0.727083333333333</v>
      </c>
      <c r="D15" s="34" t="n">
        <v>0.817361111111111</v>
      </c>
      <c r="E15" s="33"/>
      <c r="F15" s="34"/>
      <c r="G15" s="33"/>
      <c r="H15" s="34"/>
      <c r="I15" s="33" t="n">
        <v>0.0902777777777778</v>
      </c>
      <c r="J15" s="35" t="s">
        <v>25</v>
      </c>
    </row>
    <row r="16" customFormat="false" ht="17.35" hidden="false" customHeight="fals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v>0</v>
      </c>
      <c r="J16" s="35"/>
    </row>
    <row r="17" customFormat="false" ht="17.35" hidden="false" customHeight="fals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v>0</v>
      </c>
      <c r="J17" s="35"/>
    </row>
    <row r="18" customFormat="false" ht="17.35" hidden="false" customHeight="fals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SUM(C18:H18)</f>
        <v>0</v>
      </c>
      <c r="J18" s="35"/>
    </row>
    <row r="19" customFormat="false" ht="17.35" hidden="false" customHeight="fals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SUM(C19:H19)</f>
        <v>0</v>
      </c>
      <c r="J19" s="35"/>
    </row>
    <row r="20" customFormat="false" ht="17.35" hidden="false" customHeight="fals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SUM(C20:H20)</f>
        <v>0</v>
      </c>
      <c r="J20" s="35"/>
    </row>
    <row r="21" customFormat="false" ht="17.35" hidden="false" customHeight="fals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SUM(C21:H21)</f>
        <v>0</v>
      </c>
      <c r="J21" s="35"/>
    </row>
    <row r="22" customFormat="false" ht="17.35" hidden="false" customHeight="fals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SUM(C22:H22)</f>
        <v>0</v>
      </c>
      <c r="J22" s="35"/>
    </row>
    <row r="23" customFormat="false" ht="17.35" hidden="false" customHeight="fals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SUM(C23:H23)</f>
        <v>0</v>
      </c>
      <c r="J23" s="35"/>
    </row>
    <row r="24" customFormat="false" ht="17.35" hidden="false" customHeight="fals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SUM(C24:H24)</f>
        <v>0</v>
      </c>
      <c r="J24" s="35"/>
    </row>
    <row r="25" customFormat="false" ht="17.35" hidden="false" customHeight="fals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SUM(C25:H25)</f>
        <v>0</v>
      </c>
      <c r="J25" s="35"/>
    </row>
    <row r="26" customFormat="false" ht="20.85" hidden="false" customHeight="fals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SUM(C26:H26)</f>
        <v>0</v>
      </c>
      <c r="J26" s="35" t="s">
        <v>26</v>
      </c>
    </row>
    <row r="27" customFormat="false" ht="17.35" hidden="false" customHeight="fals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SUM(C27:H27)</f>
        <v>0</v>
      </c>
      <c r="J27" s="35"/>
    </row>
    <row r="28" customFormat="false" ht="17.35" hidden="false" customHeight="fals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SUM(C28:H28)</f>
        <v>0</v>
      </c>
      <c r="J28" s="35"/>
    </row>
    <row r="29" customFormat="false" ht="17.35" hidden="false" customHeight="fals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SUM(C29:H29)</f>
        <v>0</v>
      </c>
      <c r="J29" s="35"/>
    </row>
    <row r="30" customFormat="false" ht="17.35" hidden="false" customHeight="fals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SUM(C30:H30)</f>
        <v>0</v>
      </c>
      <c r="J30" s="35"/>
    </row>
    <row r="31" customFormat="false" ht="17.35" hidden="false" customHeight="fals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SUM(C31:H31)</f>
        <v>0</v>
      </c>
      <c r="J31" s="35"/>
    </row>
    <row r="32" customFormat="false" ht="17.35" hidden="false" customHeight="fals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SUM(C32:H32)</f>
        <v>0</v>
      </c>
      <c r="J32" s="35"/>
    </row>
    <row r="33" customFormat="false" ht="17.35" hidden="false" customHeight="fals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SUM(C33:H33)</f>
        <v>0</v>
      </c>
      <c r="J33" s="35"/>
    </row>
    <row r="34" customFormat="false" ht="17.35" hidden="false" customHeight="fals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SUM(C34:H34)</f>
        <v>0</v>
      </c>
      <c r="J34" s="35"/>
    </row>
    <row r="35" customFormat="false" ht="17.35" hidden="false" customHeight="fals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SUM(C35:H35)</f>
        <v>0</v>
      </c>
      <c r="J35" s="35"/>
    </row>
    <row r="36" customFormat="false" ht="17.35" hidden="false" customHeight="fals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fals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printOptions headings="false" gridLines="false" gridLinesSet="true" horizontalCentered="true" verticalCentered="false"/>
  <pageMargins left="0.275694444444444" right="0.275694444444444" top="0.236111111111111" bottom="0.619444444444445" header="0.511811023622047" footer="0.236111111111111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&amp;RPágina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LibreOffice/26.2.3.2$Linux_X86_64 LibreOffice_project/a31940f583db492bb69b3a601caf6d1b0ecf61f1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1999-03-18T09:31:00Z</dcterms:created>
  <dc:creator>Planificación</dc:creator>
  <dc:description/>
  <dc:language>es-EC</dc:language>
  <cp:lastModifiedBy>Ernesto Palacios</cp:lastModifiedBy>
  <cp:lastPrinted>2026-04-28T17:48:40Z</cp:lastPrinted>
  <dcterms:modified xsi:type="dcterms:W3CDTF">2026-05-07T07:47:42Z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