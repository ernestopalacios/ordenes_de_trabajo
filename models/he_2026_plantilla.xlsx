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visar_primero" sheetId="1" state="visible" r:id="rId3"/>
    <sheet name="HORAS_EXTRA" sheetId="2" state="visible" r:id="rId4"/>
  </sheets>
  <definedNames>
    <definedName function="false" hidden="false" localSheetId="1" name="_xlnm.Print_Area" vbProcedure="false">HORAS_EXTRA!$A$1:$J$36</definedName>
    <definedName function="false" hidden="false" name="AREA" vbProcedure="false">NA()</definedName>
    <definedName function="false" hidden="false" name="AREA_2000" vbProcedure="false">NA()</definedName>
    <definedName function="false" hidden="false" name="LISTAMAT" vbProcedure="false">NA()</definedName>
    <definedName function="false" hidden="false" name="Listamateriales" vbProcedure="false">NA()</definedName>
    <definedName function="false" hidden="false" name="_Fill" vbProcedure="false">NA()</definedName>
    <definedName function="false" hidden="false" name="_Key1" vbProcedure="false">NA()</definedName>
    <definedName function="false" hidden="false" name="_Order1" vbProcedure="false">255</definedName>
    <definedName function="false" hidden="false" name="_Sort" vbProcedure="false">NA()</definedName>
    <definedName function="false" hidden="false" name="_xlfn_IFERROR" vbProcedure="false">#REF!</definedName>
    <definedName function="false" hidden="false" name="_xlfn__FV" vbProcedure="false">#REF!</definedName>
    <definedName function="false" hidden="false" localSheetId="1" name="Imprimir_títulos_IM" vbProcedure="false">NA()</definedName>
    <definedName function="false" hidden="false" localSheetId="1" name="Imprimir_área_IM" vbProcedure="false">NA()</definedName>
    <definedName function="false" hidden="false" localSheetId="1" name="_Regression_Int" vbProcedure="false">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<sst xmlns="http://schemas.openxmlformats.org/spreadsheetml/2006/main" count="113" uniqueCount="88">
  <si>
    <t xml:space="preserve">Aplica</t>
  </si>
  <si>
    <t xml:space="preserve">Fecha</t>
  </si>
  <si>
    <t xml:space="preserve">Etiqueta</t>
  </si>
  <si>
    <t xml:space="preserve">TurnoAP</t>
  </si>
  <si>
    <t xml:space="preserve">Colores (informativo)</t>
  </si>
  <si>
    <t xml:space="preserve">Reglas de colores aplicadas al documento</t>
  </si>
  <si>
    <t xml:space="preserve">Cuentas</t>
  </si>
  <si>
    <t xml:space="preserve">TODOS</t>
  </si>
  <si>
    <t xml:space="preserve">“Día Festivo: Año Nuevo”</t>
  </si>
  <si>
    <t xml:space="preserve">sábado</t>
  </si>
  <si>
    <t xml:space="preserve">“Día Festivo: Día del Oriente Ecuatoriano”</t>
  </si>
  <si>
    <t xml:space="preserve">domingo</t>
  </si>
  <si>
    <t xml:space="preserve"> REDES</t>
  </si>
  <si>
    <t xml:space="preserve">“Día Festivo: Carnaval (Lunes)”</t>
  </si>
  <si>
    <t xml:space="preserve">feriado</t>
  </si>
  <si>
    <t xml:space="preserve"> ALUMBRADO</t>
  </si>
  <si>
    <t xml:space="preserve">“Día Festivo: Carnaval (Martes)”</t>
  </si>
  <si>
    <t xml:space="preserve">madrugada</t>
  </si>
  <si>
    <t xml:space="preserve"> ACOMETIDAS</t>
  </si>
  <si>
    <t xml:space="preserve">“Día Festivo: Viernes Santo”</t>
  </si>
  <si>
    <t xml:space="preserve">cambio horario</t>
  </si>
  <si>
    <t xml:space="preserve">Cuadrilla AP cambio de horario</t>
  </si>
  <si>
    <t xml:space="preserve"> MEDIDORES</t>
  </si>
  <si>
    <t xml:space="preserve">“Día Festivo: Día del Trabajo”</t>
  </si>
  <si>
    <t xml:space="preserve">revisar hora inicio</t>
  </si>
  <si>
    <t xml:space="preserve">debería ser hasta 08:00 am</t>
  </si>
  <si>
    <t xml:space="preserve"> informativa</t>
  </si>
  <si>
    <t xml:space="preserve">“Día Festivo: Batalla de Pichincha”</t>
  </si>
  <si>
    <t xml:space="preserve">revisar hora final</t>
  </si>
  <si>
    <t xml:space="preserve">debería ser desde 17:00 pm</t>
  </si>
  <si>
    <t xml:space="preserve"> transporte</t>
  </si>
  <si>
    <t xml:space="preserve">“Día Festivo. Primer Grito de Independencia” </t>
  </si>
  <si>
    <t xml:space="preserve">DIVIDIR</t>
  </si>
  <si>
    <t xml:space="preserve">Separar MAD </t>
  </si>
  <si>
    <t xml:space="preserve">Dividir en dos --&gt;(06:00)&lt;--</t>
  </si>
  <si>
    <t xml:space="preserve"> SUBESTACION</t>
  </si>
  <si>
    <t xml:space="preserve">“Día Festivo: Independencia de Guayaquil” </t>
  </si>
  <si>
    <t xml:space="preserve"> SUBTRANSMISION</t>
  </si>
  <si>
    <t xml:space="preserve">“Día Festivo: Santos Difuntos”</t>
  </si>
  <si>
    <t xml:space="preserve"> Servicios_Ocasional</t>
  </si>
  <si>
    <t xml:space="preserve">“Día Festivo: Independencia de Cuenca”</t>
  </si>
  <si>
    <t xml:space="preserve"> PLANILL</t>
  </si>
  <si>
    <t xml:space="preserve">“Día Festivo: Provincializacion”</t>
  </si>
  <si>
    <t xml:space="preserve"> Nuevos_Servici</t>
  </si>
  <si>
    <t xml:space="preserve">“Día Festivo: Navidad”</t>
  </si>
  <si>
    <t xml:space="preserve"> se_labora</t>
  </si>
  <si>
    <t xml:space="preserve">Zamora Z1 (Cuadrilla. Nro. 6)</t>
  </si>
  <si>
    <t xml:space="preserve">“Dia Festivo: Cantonizacion”</t>
  </si>
  <si>
    <t xml:space="preserve"> lunch</t>
  </si>
  <si>
    <t xml:space="preserve">Zamora Z1 (Cuadrilla. AP Nro. 4)</t>
  </si>
  <si>
    <t xml:space="preserve"> ?</t>
  </si>
  <si>
    <t xml:space="preserve">Zamora (Agencia)</t>
  </si>
  <si>
    <t xml:space="preserve">Jefatura Zonal Zamora</t>
  </si>
  <si>
    <t xml:space="preserve">Yacuambi Z1 (Cuadrilla. Nro. 8)</t>
  </si>
  <si>
    <t xml:space="preserve">Yantzaza Z1 (Cuadrilla. Nro. 5)</t>
  </si>
  <si>
    <t xml:space="preserve">Líneas Energizadas (Cuadrilla  Nro.6)</t>
  </si>
  <si>
    <t xml:space="preserve">Yantzaza (Agencia)</t>
  </si>
  <si>
    <t xml:space="preserve">Paquisha Z1 (Cuadrilla Nro. 10)</t>
  </si>
  <si>
    <t xml:space="preserve">Guayzimi Z1 (Cuadrilla. Nro. 7)</t>
  </si>
  <si>
    <t xml:space="preserve">El Pangui Z1 (Cuadrilla. Nro. 4)</t>
  </si>
  <si>
    <t xml:space="preserve">El Pangui (Agencia)</t>
  </si>
  <si>
    <t xml:space="preserve">Gualaquiza Z1 (Cuadrilla. Nro. 3)</t>
  </si>
  <si>
    <t xml:space="preserve">Gualaquiza (Agencia)</t>
  </si>
  <si>
    <t xml:space="preserve">Nombre del trabajador: </t>
  </si>
  <si>
    <t xml:space="preserve">CARTUCHE SILVA GERARDO PATRICIO</t>
  </si>
  <si>
    <t xml:space="preserve">TOTAL</t>
  </si>
  <si>
    <t xml:space="preserve">Cuadrilla o Agencia:</t>
  </si>
  <si>
    <t xml:space="preserve">AGENCIA GUALAQUIZA</t>
  </si>
  <si>
    <t xml:space="preserve">(horas reloj)</t>
  </si>
  <si>
    <t xml:space="preserve">Parte:</t>
  </si>
  <si>
    <t xml:space="preserve">                      Trabajador                                                                    Jefe Zonal                                                                Ingeniero 1                </t>
  </si>
  <si>
    <t xml:space="preserve">DIA</t>
  </si>
  <si>
    <t xml:space="preserve">FECHA</t>
  </si>
  <si>
    <t xml:space="preserve">Extra 1</t>
  </si>
  <si>
    <t xml:space="preserve">Fin 1</t>
  </si>
  <si>
    <t xml:space="preserve">Extra 2</t>
  </si>
  <si>
    <t xml:space="preserve">Fin 2</t>
  </si>
  <si>
    <t xml:space="preserve">Extra 3</t>
  </si>
  <si>
    <t xml:space="preserve">Fin 3</t>
  </si>
  <si>
    <t xml:space="preserve">Horas</t>
  </si>
  <si>
    <t xml:space="preserve">BREVE EXPLICACION</t>
  </si>
  <si>
    <t xml:space="preserve">OT # 173960. Guayusal, reivision y limpieza RBV rehabilitacion de trafo # 23459.</t>
  </si>
  <si>
    <t xml:space="preserve">OT # 174080. FESTIVO. Naichap, restitución M# 194238 por 18-258039. Aguacate, restitución M# 194324 por 18-258040.</t>
  </si>
  <si>
    <t xml:space="preserve">OT # 174083. Guayusal, Est 291765 cambio tirafusible 25A-T</t>
  </si>
  <si>
    <t xml:space="preserve">OT # 174084. Chumpias, Est 028535 cambio tirafusible 25A-T</t>
  </si>
  <si>
    <t xml:space="preserve">OT # 174310. La Pradera, se arregla acometida M# 240908, se rehabilita trafo # 20916</t>
  </si>
  <si>
    <t xml:space="preserve">OT # 174313. Shiramentza, Est 22357 cambi0 tirafusible de 1.3A-SR</t>
  </si>
  <si>
    <t xml:space="preserve">OT # 174486.Tutus, Est 91980 cambio de tirafusible 12A-T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</si>
</sst>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dd&quot;,  &quot;dd&quot; de &quot;mmmm&quot; de &quot;yyyy"/>
    <numFmt numFmtId="166" formatCode="dd/mm/yy"/>
    <numFmt numFmtId="167" formatCode="0.00"/>
    <numFmt numFmtId="168" formatCode="#,##0.00"/>
    <numFmt numFmtId="169" formatCode="0\ %"/>
    <numFmt numFmtId="170" formatCode="[$-C0A]d/mmm\ yyyy;@"/>
    <numFmt numFmtId="171" formatCode="h:mm;@"/>
    <numFmt numFmtId="172" formatCode="0.000"/>
  </numFmts>
  <fonts count="24">
    <font>
      <sz val="12"/>
      <name val="Courier Ne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"/>
      <color rgb="FF000000"/>
      <name val="Courier New"/>
      <family val="0"/>
      <charset val="134"/>
    </font>
    <font>
      <i val="true"/>
      <sz val="1"/>
      <color rgb="FF000000"/>
      <name val="Courier New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sz val="12"/>
      <name val="Arial"/>
      <family val="0"/>
      <charset val="1"/>
    </font>
    <font>
      <sz val="14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000000"/>
      <name val="Aptos Display"/>
      <family val="0"/>
      <charset val="134"/>
    </font>
    <font>
      <sz val="12"/>
      <name val="Aptos Display"/>
      <family val="0"/>
      <charset val="134"/>
    </font>
    <font>
      <b val="true"/>
      <sz val="18"/>
      <name val="Aptos Display"/>
      <family val="0"/>
      <charset val="134"/>
    </font>
    <font>
      <b val="true"/>
      <sz val="18"/>
      <color rgb="FF000000"/>
      <name val="Aptos Display"/>
      <family val="0"/>
      <charset val="134"/>
    </font>
    <font>
      <b val="true"/>
      <sz val="12"/>
      <name val="Aptos Display"/>
      <family val="0"/>
      <charset val="134"/>
    </font>
    <font>
      <b val="true"/>
      <sz val="21"/>
      <name val="Aptos Display"/>
      <family val="0"/>
      <charset val="134"/>
    </font>
    <font>
      <sz val="12"/>
      <color rgb="FF000000"/>
      <name val="Aptos Display"/>
      <family val="0"/>
      <charset val="134"/>
    </font>
    <font>
      <b val="true"/>
      <sz val="21"/>
      <name val="Times New Roman"/>
      <family val="0"/>
      <charset val="134"/>
    </font>
    <font>
      <b val="true"/>
      <sz val="10"/>
      <name val="Arial"/>
      <family val="0"/>
      <charset val="134"/>
    </font>
    <font>
      <sz val="10"/>
      <name val="Aptos Display"/>
      <family val="0"/>
      <charset val="134"/>
    </font>
    <font>
      <b val="true"/>
      <sz val="10"/>
      <name val="Aptos Display"/>
      <family val="0"/>
      <charset val="134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8080"/>
        <bgColor rgb="FFFF99CC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666699"/>
        <bgColor rgb="FF8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 style="thin">
        <color rgb="FF0066CC"/>
      </right>
      <top/>
      <bottom/>
      <diagonal/>
    </border>
    <border diagonalUp="false" diagonalDown="false">
      <left style="thin">
        <color rgb="FF0066CC"/>
      </left>
      <right/>
      <top style="thin">
        <color rgb="FF0066CC"/>
      </top>
      <bottom/>
      <diagonal/>
    </border>
    <border diagonalUp="false" diagonalDown="false">
      <left style="thin">
        <color rgb="FF0066CC"/>
      </left>
      <right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center" textRotation="0" wrapText="false" indent="1" shrinkToFit="false"/>
      <protection locked="true" hidden="false"/>
    </xf>
    <xf numFmtId="168" fontId="6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1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23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4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2" xfId="20"/>
    <cellStyle name="F3" xfId="21"/>
    <cellStyle name="F4" xfId="22"/>
    <cellStyle name="F5" xfId="23"/>
    <cellStyle name="F6" xfId="24"/>
    <cellStyle name="F7" xfId="25"/>
    <cellStyle name="F8" xfId="26"/>
    <cellStyle name="Normal 2" xfId="27"/>
  </cellStyles>
  <dxfs count="2">
    <dxf>
      <font>
        <name val="Courier New"/>
        <charset val="1"/>
        <family val="0"/>
        <color rgb="FFFFFFFF"/>
        <sz val="12"/>
      </font>
      <fill>
        <patternFill>
          <bgColor rgb="FFC0C0C0"/>
        </patternFill>
      </fill>
    </dxf>
    <dxf>
      <font>
        <name val="Courier New"/>
        <charset val="134"/>
        <family val="0"/>
        <b val="1"/>
        <sz val="12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E22" activeCellId="0" sqref="E22"/>
    </sheetView>
  </sheetViews>
  <sheetFormatPr defaultColWidth="10.91015625" defaultRowHeight="16.5" customHeight="false" zeroHeight="false" outlineLevelRow="0" outlineLevelCol="0"/>
  <cols>
    <col collapsed="false" customWidth="true" hidden="false" outlineLevel="0" max="1" min="1" style="1" width="33.55"/>
    <col collapsed="false" customWidth="true" hidden="false" outlineLevel="0" max="2" min="2" style="2" width="27.33"/>
    <col collapsed="false" customWidth="true" hidden="false" outlineLevel="0" max="3" min="3" style="1" width="22.33"/>
    <col collapsed="false" customWidth="true" hidden="false" outlineLevel="0" max="4" min="4" style="3" width="28.77"/>
    <col collapsed="false" customWidth="true" hidden="false" outlineLevel="0" max="5" min="5" style="3" width="12.33"/>
    <col collapsed="false" customWidth="true" hidden="false" outlineLevel="0" max="6" min="6" style="4" width="14.33"/>
    <col collapsed="false" customWidth="true" hidden="false" outlineLevel="0" max="7" min="7" style="1" width="14.56"/>
    <col collapsed="false" customWidth="true" hidden="false" outlineLevel="0" max="8" min="8" style="3" width="25.55"/>
    <col collapsed="false" customWidth="true" hidden="false" outlineLevel="0" max="9" min="9" style="4" width="12.33"/>
    <col collapsed="false" customWidth="true" hidden="false" outlineLevel="0" max="10" min="10" style="1" width="13.66"/>
  </cols>
  <sheetData>
    <row r="1" customFormat="false" ht="26.8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/>
      <c r="F1" s="6" t="s">
        <v>4</v>
      </c>
      <c r="H1" s="7" t="s">
        <v>5</v>
      </c>
      <c r="J1" s="7" t="s">
        <v>6</v>
      </c>
    </row>
    <row r="2" customFormat="false" ht="16.5" hidden="false" customHeight="false" outlineLevel="0" collapsed="false">
      <c r="A2" s="8" t="s">
        <v>7</v>
      </c>
      <c r="B2" s="2" t="n">
        <v>46023</v>
      </c>
      <c r="C2" s="1" t="s">
        <v>8</v>
      </c>
      <c r="D2" s="2" t="n">
        <v>46034</v>
      </c>
      <c r="E2" s="2"/>
      <c r="F2" s="9"/>
      <c r="G2" s="1" t="s">
        <v>9</v>
      </c>
      <c r="J2" s="3"/>
    </row>
    <row r="3" customFormat="false" ht="16.5" hidden="false" customHeight="false" outlineLevel="0" collapsed="false">
      <c r="A3" s="8" t="s">
        <v>7</v>
      </c>
      <c r="B3" s="2" t="n">
        <v>46066</v>
      </c>
      <c r="C3" s="1" t="s">
        <v>10</v>
      </c>
      <c r="D3" s="2" t="n">
        <v>46035</v>
      </c>
      <c r="E3" s="2"/>
      <c r="F3" s="10"/>
      <c r="G3" s="1" t="s">
        <v>11</v>
      </c>
      <c r="J3" s="3" t="s">
        <v>12</v>
      </c>
    </row>
    <row r="4" customFormat="false" ht="16.5" hidden="false" customHeight="false" outlineLevel="0" collapsed="false">
      <c r="A4" s="8" t="s">
        <v>7</v>
      </c>
      <c r="B4" s="2" t="n">
        <v>46069</v>
      </c>
      <c r="C4" s="1" t="s">
        <v>13</v>
      </c>
      <c r="D4" s="2" t="n">
        <v>46036</v>
      </c>
      <c r="E4" s="2"/>
      <c r="F4" s="11"/>
      <c r="G4" s="1" t="s">
        <v>14</v>
      </c>
      <c r="J4" s="3" t="s">
        <v>15</v>
      </c>
    </row>
    <row r="5" customFormat="false" ht="16.5" hidden="false" customHeight="false" outlineLevel="0" collapsed="false">
      <c r="A5" s="8" t="s">
        <v>7</v>
      </c>
      <c r="B5" s="2" t="n">
        <v>46070</v>
      </c>
      <c r="C5" s="1" t="s">
        <v>16</v>
      </c>
      <c r="D5" s="2" t="n">
        <v>46037</v>
      </c>
      <c r="E5" s="2"/>
      <c r="F5" s="12"/>
      <c r="G5" s="1" t="s">
        <v>17</v>
      </c>
      <c r="J5" s="3" t="s">
        <v>18</v>
      </c>
    </row>
    <row r="6" customFormat="false" ht="16.5" hidden="false" customHeight="false" outlineLevel="0" collapsed="false">
      <c r="A6" s="8" t="s">
        <v>7</v>
      </c>
      <c r="B6" s="2" t="n">
        <v>46115</v>
      </c>
      <c r="C6" s="1" t="s">
        <v>19</v>
      </c>
      <c r="D6" s="2" t="n">
        <v>46038</v>
      </c>
      <c r="E6" s="2"/>
      <c r="F6" s="13"/>
      <c r="G6" s="1" t="s">
        <v>20</v>
      </c>
      <c r="H6" s="3" t="s">
        <v>21</v>
      </c>
      <c r="J6" s="3" t="s">
        <v>22</v>
      </c>
    </row>
    <row r="7" customFormat="false" ht="16.5" hidden="false" customHeight="false" outlineLevel="0" collapsed="false">
      <c r="A7" s="8" t="s">
        <v>7</v>
      </c>
      <c r="B7" s="2" t="n">
        <v>46143</v>
      </c>
      <c r="C7" s="1" t="s">
        <v>23</v>
      </c>
      <c r="D7" s="2" t="n">
        <v>46055</v>
      </c>
      <c r="E7" s="2"/>
      <c r="F7" s="14"/>
      <c r="G7" s="1" t="s">
        <v>24</v>
      </c>
      <c r="H7" s="3" t="s">
        <v>25</v>
      </c>
      <c r="J7" s="3" t="s">
        <v>26</v>
      </c>
    </row>
    <row r="8" customFormat="false" ht="16.5" hidden="false" customHeight="false" outlineLevel="0" collapsed="false">
      <c r="A8" s="8" t="s">
        <v>7</v>
      </c>
      <c r="B8" s="2" t="n">
        <v>46167</v>
      </c>
      <c r="C8" s="1" t="s">
        <v>27</v>
      </c>
      <c r="D8" s="2" t="n">
        <v>46056</v>
      </c>
      <c r="E8" s="2"/>
      <c r="F8" s="14"/>
      <c r="G8" s="1" t="s">
        <v>28</v>
      </c>
      <c r="H8" s="3" t="s">
        <v>29</v>
      </c>
      <c r="J8" s="3" t="s">
        <v>30</v>
      </c>
    </row>
    <row r="9" customFormat="false" ht="16.5" hidden="false" customHeight="false" outlineLevel="0" collapsed="false">
      <c r="A9" s="8" t="s">
        <v>7</v>
      </c>
      <c r="B9" s="2" t="n">
        <v>46244</v>
      </c>
      <c r="C9" s="1" t="s">
        <v>31</v>
      </c>
      <c r="D9" s="2" t="n">
        <v>46057</v>
      </c>
      <c r="E9" s="2"/>
      <c r="F9" s="15" t="s">
        <v>32</v>
      </c>
      <c r="G9" s="1" t="s">
        <v>33</v>
      </c>
      <c r="H9" s="3" t="s">
        <v>34</v>
      </c>
      <c r="J9" s="3" t="s">
        <v>35</v>
      </c>
    </row>
    <row r="10" customFormat="false" ht="16.5" hidden="false" customHeight="false" outlineLevel="0" collapsed="false">
      <c r="A10" s="8" t="s">
        <v>7</v>
      </c>
      <c r="B10" s="2" t="n">
        <v>46304</v>
      </c>
      <c r="C10" s="1" t="s">
        <v>36</v>
      </c>
      <c r="D10" s="2" t="n">
        <v>46058</v>
      </c>
      <c r="E10" s="2"/>
      <c r="J10" s="3" t="s">
        <v>37</v>
      </c>
    </row>
    <row r="11" customFormat="false" ht="16.5" hidden="false" customHeight="false" outlineLevel="0" collapsed="false">
      <c r="A11" s="8" t="s">
        <v>7</v>
      </c>
      <c r="B11" s="2" t="n">
        <v>46328</v>
      </c>
      <c r="C11" s="1" t="s">
        <v>38</v>
      </c>
      <c r="D11" s="2" t="n">
        <v>46076</v>
      </c>
      <c r="E11" s="2"/>
      <c r="J11" s="3" t="s">
        <v>39</v>
      </c>
    </row>
    <row r="12" customFormat="false" ht="16.5" hidden="false" customHeight="false" outlineLevel="0" collapsed="false">
      <c r="A12" s="8" t="s">
        <v>7</v>
      </c>
      <c r="B12" s="2" t="n">
        <v>46329</v>
      </c>
      <c r="C12" s="1" t="s">
        <v>40</v>
      </c>
      <c r="D12" s="2" t="n">
        <v>46118</v>
      </c>
      <c r="E12" s="2"/>
      <c r="J12" s="3" t="s">
        <v>41</v>
      </c>
    </row>
    <row r="13" customFormat="false" ht="16.5" hidden="false" customHeight="false" outlineLevel="0" collapsed="false">
      <c r="A13" s="8" t="s">
        <v>7</v>
      </c>
      <c r="B13" s="2" t="n">
        <v>46335</v>
      </c>
      <c r="C13" s="1" t="s">
        <v>42</v>
      </c>
      <c r="D13" s="2"/>
      <c r="E13" s="2"/>
      <c r="J13" s="3" t="s">
        <v>43</v>
      </c>
    </row>
    <row r="14" customFormat="false" ht="16.5" hidden="false" customHeight="false" outlineLevel="0" collapsed="false">
      <c r="A14" s="8" t="s">
        <v>7</v>
      </c>
      <c r="B14" s="2" t="n">
        <v>46381</v>
      </c>
      <c r="C14" s="1" t="s">
        <v>44</v>
      </c>
      <c r="D14" s="2"/>
      <c r="E14" s="2"/>
      <c r="J14" s="3" t="s">
        <v>45</v>
      </c>
    </row>
    <row r="15" customFormat="false" ht="16.5" hidden="false" customHeight="false" outlineLevel="0" collapsed="false">
      <c r="A15" s="8" t="s">
        <v>46</v>
      </c>
      <c r="B15" s="2" t="n">
        <v>46300</v>
      </c>
      <c r="C15" s="1" t="s">
        <v>47</v>
      </c>
      <c r="D15" s="2"/>
      <c r="E15" s="2"/>
      <c r="J15" s="3" t="s">
        <v>48</v>
      </c>
    </row>
    <row r="16" customFormat="false" ht="16.5" hidden="false" customHeight="false" outlineLevel="0" collapsed="false">
      <c r="A16" s="8" t="s">
        <v>49</v>
      </c>
      <c r="B16" s="2" t="n">
        <v>46300</v>
      </c>
      <c r="C16" s="1" t="s">
        <v>47</v>
      </c>
      <c r="D16" s="2"/>
      <c r="E16" s="2"/>
      <c r="J16" s="3" t="s">
        <v>50</v>
      </c>
    </row>
    <row r="17" customFormat="false" ht="16.5" hidden="false" customHeight="false" outlineLevel="0" collapsed="false">
      <c r="A17" s="8" t="s">
        <v>51</v>
      </c>
      <c r="B17" s="2" t="n">
        <v>46300</v>
      </c>
      <c r="C17" s="1" t="s">
        <v>47</v>
      </c>
      <c r="D17" s="2"/>
      <c r="E17" s="2"/>
    </row>
    <row r="18" customFormat="false" ht="16.5" hidden="false" customHeight="false" outlineLevel="0" collapsed="false">
      <c r="A18" s="8" t="s">
        <v>52</v>
      </c>
      <c r="B18" s="2" t="n">
        <v>46300</v>
      </c>
      <c r="C18" s="1" t="s">
        <v>47</v>
      </c>
      <c r="D18" s="2"/>
      <c r="E18" s="2"/>
    </row>
    <row r="19" customFormat="false" ht="16.5" hidden="false" customHeight="false" outlineLevel="0" collapsed="false">
      <c r="A19" s="8" t="s">
        <v>53</v>
      </c>
      <c r="B19" s="2" t="n">
        <v>46031</v>
      </c>
      <c r="C19" s="1" t="s">
        <v>47</v>
      </c>
      <c r="D19" s="2"/>
      <c r="E19" s="2"/>
    </row>
    <row r="20" customFormat="false" ht="16.5" hidden="false" customHeight="false" outlineLevel="0" collapsed="false">
      <c r="A20" s="8" t="s">
        <v>54</v>
      </c>
      <c r="B20" s="2" t="n">
        <v>46080</v>
      </c>
      <c r="C20" s="1" t="s">
        <v>47</v>
      </c>
      <c r="D20" s="2"/>
      <c r="E20" s="2"/>
    </row>
    <row r="21" customFormat="false" ht="16.5" hidden="false" customHeight="false" outlineLevel="0" collapsed="false">
      <c r="A21" s="8" t="s">
        <v>55</v>
      </c>
      <c r="B21" s="2" t="n">
        <v>46080</v>
      </c>
      <c r="C21" s="1" t="s">
        <v>47</v>
      </c>
      <c r="D21" s="2"/>
      <c r="E21" s="2"/>
    </row>
    <row r="22" customFormat="false" ht="16.5" hidden="false" customHeight="false" outlineLevel="0" collapsed="false">
      <c r="A22" s="8" t="s">
        <v>56</v>
      </c>
      <c r="B22" s="2" t="n">
        <v>46080</v>
      </c>
      <c r="C22" s="1" t="s">
        <v>47</v>
      </c>
      <c r="D22" s="2"/>
      <c r="E22" s="2"/>
    </row>
    <row r="23" customFormat="false" ht="16.5" hidden="false" customHeight="false" outlineLevel="0" collapsed="false">
      <c r="A23" s="8" t="s">
        <v>57</v>
      </c>
      <c r="B23" s="2" t="n">
        <v>46319</v>
      </c>
      <c r="C23" s="1" t="s">
        <v>47</v>
      </c>
      <c r="D23" s="2"/>
      <c r="E23" s="2"/>
    </row>
    <row r="24" customFormat="false" ht="16.5" hidden="false" customHeight="false" outlineLevel="0" collapsed="false">
      <c r="A24" s="8" t="s">
        <v>58</v>
      </c>
      <c r="B24" s="2" t="n">
        <v>46353</v>
      </c>
      <c r="C24" s="1" t="s">
        <v>47</v>
      </c>
      <c r="D24" s="2"/>
      <c r="E24" s="2"/>
    </row>
    <row r="25" customFormat="false" ht="16.5" hidden="false" customHeight="false" outlineLevel="0" collapsed="false">
      <c r="A25" s="8" t="s">
        <v>59</v>
      </c>
      <c r="B25" s="2" t="n">
        <v>46065</v>
      </c>
      <c r="C25" s="1" t="s">
        <v>47</v>
      </c>
      <c r="D25" s="2"/>
      <c r="E25" s="2"/>
    </row>
    <row r="26" customFormat="false" ht="16.5" hidden="false" customHeight="false" outlineLevel="0" collapsed="false">
      <c r="A26" s="8" t="s">
        <v>60</v>
      </c>
      <c r="B26" s="2" t="n">
        <v>46065</v>
      </c>
      <c r="C26" s="1" t="s">
        <v>47</v>
      </c>
      <c r="D26" s="2"/>
      <c r="E26" s="2"/>
    </row>
    <row r="27" customFormat="false" ht="16.5" hidden="false" customHeight="false" outlineLevel="0" collapsed="false">
      <c r="A27" s="8" t="s">
        <v>61</v>
      </c>
      <c r="B27" s="2" t="n">
        <v>46251</v>
      </c>
      <c r="C27" s="1" t="s">
        <v>47</v>
      </c>
      <c r="D27" s="2"/>
      <c r="E27" s="2"/>
    </row>
    <row r="28" customFormat="false" ht="16.5" hidden="false" customHeight="false" outlineLevel="0" collapsed="false">
      <c r="A28" s="8" t="s">
        <v>62</v>
      </c>
      <c r="B28" s="2" t="n">
        <v>46251</v>
      </c>
      <c r="C28" s="1" t="s">
        <v>47</v>
      </c>
      <c r="D28" s="2"/>
      <c r="E28" s="2"/>
    </row>
    <row r="29" customFormat="false" ht="16.5" hidden="false" customHeight="false" outlineLevel="0" collapsed="false">
      <c r="D29" s="2"/>
      <c r="E29" s="2"/>
    </row>
    <row r="30" customFormat="false" ht="16.5" hidden="false" customHeight="false" outlineLevel="0" collapsed="false">
      <c r="D30" s="2"/>
      <c r="E30" s="2"/>
    </row>
    <row r="31" customFormat="false" ht="16.5" hidden="false" customHeight="false" outlineLevel="0" collapsed="false">
      <c r="D31" s="2"/>
      <c r="E31" s="2"/>
    </row>
    <row r="32" customFormat="false" ht="16.5" hidden="false" customHeight="false" outlineLevel="0" collapsed="false">
      <c r="D32" s="2"/>
      <c r="E32" s="2"/>
    </row>
    <row r="33" customFormat="false" ht="16.5" hidden="false" customHeight="false" outlineLevel="0" collapsed="false">
      <c r="D33" s="2"/>
      <c r="E33" s="2"/>
    </row>
    <row r="34" customFormat="false" ht="16.5" hidden="false" customHeight="false" outlineLevel="0" collapsed="false">
      <c r="D34" s="2"/>
      <c r="E34" s="2"/>
    </row>
    <row r="35" customFormat="false" ht="16.5" hidden="false" customHeight="false" outlineLevel="0" collapsed="false">
      <c r="D35" s="2"/>
      <c r="E35" s="2"/>
    </row>
    <row r="36" customFormat="false" ht="16.5" hidden="false" customHeight="false" outlineLevel="0" collapsed="false">
      <c r="D36" s="2"/>
      <c r="E36" s="2"/>
    </row>
    <row r="37" customFormat="false" ht="16.5" hidden="false" customHeight="false" outlineLevel="0" collapsed="false">
      <c r="D37" s="2"/>
      <c r="E3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91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70" zoomScalePageLayoutView="100" workbookViewId="0">
      <selection pane="topLeft" activeCell="H3" activeCellId="0" sqref="H3"/>
    </sheetView>
  </sheetViews>
  <sheetFormatPr defaultColWidth="9.7734375" defaultRowHeight="16.5" customHeight="false" zeroHeight="false" outlineLevelRow="0" outlineLevelCol="0"/>
  <cols>
    <col collapsed="false" customWidth="true" hidden="false" outlineLevel="0" max="1" min="1" style="16" width="7.66"/>
    <col collapsed="false" customWidth="true" hidden="false" outlineLevel="0" max="2" min="2" style="16" width="12.72"/>
    <col collapsed="false" customWidth="true" hidden="false" outlineLevel="0" max="8" min="3" style="16" width="6.98"/>
    <col collapsed="false" customWidth="true" hidden="false" outlineLevel="0" max="9" min="9" style="17" width="9.88"/>
    <col collapsed="false" customWidth="true" hidden="false" outlineLevel="0" max="10" min="10" style="16" width="96.22"/>
    <col collapsed="false" customWidth="true" hidden="false" outlineLevel="0" max="11" min="11" style="16" width="6.43"/>
    <col collapsed="false" customWidth="true" hidden="false" outlineLevel="0" max="12" min="12" style="16" width="8.56"/>
    <col collapsed="false" customWidth="true" hidden="false" outlineLevel="0" max="13" min="13" style="16" width="12.22"/>
    <col collapsed="false" customWidth="true" hidden="false" outlineLevel="0" max="14" min="14" style="16" width="3.33"/>
    <col collapsed="false" customWidth="true" hidden="false" outlineLevel="0" max="15" min="15" style="16" width="8.56"/>
    <col collapsed="false" customWidth="true" hidden="false" outlineLevel="0" max="16" min="16" style="16" width="8.98"/>
    <col collapsed="false" customWidth="true" hidden="false" outlineLevel="0" max="17" min="17" style="18" width="2.99"/>
    <col collapsed="false" customWidth="true" hidden="false" outlineLevel="0" max="18" min="18" style="18" width="22.98"/>
    <col collapsed="false" customWidth="true" hidden="false" outlineLevel="0" max="22" min="19" style="18" width="12.77"/>
    <col collapsed="false" customWidth="true" hidden="false" outlineLevel="0" max="23" min="23" style="18" width="4.88"/>
    <col collapsed="false" customWidth="false" hidden="false" outlineLevel="0" max="24" min="24" style="18" width="9.77"/>
    <col collapsed="false" customWidth="true" hidden="false" outlineLevel="0" max="25" min="25" style="18" width="12.33"/>
    <col collapsed="false" customWidth="true" hidden="false" outlineLevel="0" max="26" min="26" style="18" width="13.77"/>
    <col collapsed="false" customWidth="false" hidden="false" outlineLevel="0" max="257" min="27" style="18" width="9.77"/>
  </cols>
  <sheetData>
    <row r="1" customFormat="false" ht="21.75" hidden="false" customHeight="true" outlineLevel="0" collapsed="false">
      <c r="A1" s="19" t="s">
        <v>63</v>
      </c>
      <c r="B1" s="19"/>
      <c r="C1" s="19"/>
      <c r="D1" s="19"/>
      <c r="E1" s="20"/>
      <c r="F1" s="20"/>
      <c r="G1" s="21"/>
      <c r="H1" s="22" t="s">
        <v>64</v>
      </c>
      <c r="I1" s="23" t="n">
        <f aca="false">SUM(K6:K36)</f>
        <v>0</v>
      </c>
      <c r="J1" s="24" t="s">
        <v>65</v>
      </c>
    </row>
    <row r="2" customFormat="false" ht="18.75" hidden="false" customHeight="true" outlineLevel="0" collapsed="false">
      <c r="A2" s="25" t="s">
        <v>66</v>
      </c>
      <c r="B2" s="25"/>
      <c r="C2" s="25"/>
      <c r="D2" s="25"/>
      <c r="E2" s="26"/>
      <c r="F2" s="26"/>
      <c r="G2" s="26"/>
      <c r="H2" s="22" t="s">
        <v>67</v>
      </c>
      <c r="I2" s="27" t="n">
        <f aca="false">SUM(I6:I36)*24</f>
        <v>18.65</v>
      </c>
      <c r="J2" s="28" t="s">
        <v>68</v>
      </c>
      <c r="K2" s="29"/>
      <c r="L2" s="29"/>
      <c r="M2" s="29"/>
      <c r="N2" s="29"/>
      <c r="O2" s="29"/>
      <c r="P2" s="29"/>
      <c r="R2" s="30"/>
      <c r="S2" s="31"/>
      <c r="T2" s="31"/>
      <c r="U2" s="31"/>
    </row>
    <row r="3" customFormat="false" ht="15" hidden="false" customHeight="true" outlineLevel="0" collapsed="false">
      <c r="A3" s="32" t="s">
        <v>69</v>
      </c>
      <c r="B3" s="32"/>
      <c r="C3" s="32"/>
      <c r="D3" s="32"/>
      <c r="E3" s="33"/>
      <c r="F3" s="33"/>
      <c r="G3" s="33"/>
      <c r="H3" s="22" t="str">
        <f aca="false">UPPER(TEXT(B6, "mmmm yyyy"))</f>
        <v>ABRIL 2026</v>
      </c>
      <c r="I3" s="34"/>
      <c r="J3" s="35" t="s">
        <v>70</v>
      </c>
      <c r="K3" s="18"/>
      <c r="L3" s="18"/>
      <c r="M3" s="18"/>
      <c r="N3" s="18"/>
      <c r="O3" s="18"/>
      <c r="P3" s="18"/>
      <c r="R3" s="36"/>
      <c r="S3" s="31"/>
      <c r="T3" s="31"/>
      <c r="U3" s="31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8"/>
    </row>
    <row r="4" customFormat="false" ht="6.75" hidden="false" customHeight="true" outlineLevel="0" collapsed="false">
      <c r="R4" s="36"/>
      <c r="S4" s="31"/>
      <c r="T4" s="31"/>
      <c r="U4" s="39"/>
    </row>
    <row r="5" customFormat="false" ht="16.5" hidden="false" customHeight="false" outlineLevel="0" collapsed="false">
      <c r="A5" s="40" t="s">
        <v>71</v>
      </c>
      <c r="B5" s="41" t="s">
        <v>72</v>
      </c>
      <c r="C5" s="40" t="s">
        <v>73</v>
      </c>
      <c r="D5" s="40" t="s">
        <v>74</v>
      </c>
      <c r="E5" s="40" t="s">
        <v>75</v>
      </c>
      <c r="F5" s="41" t="s">
        <v>76</v>
      </c>
      <c r="G5" s="40" t="s">
        <v>77</v>
      </c>
      <c r="H5" s="40" t="s">
        <v>78</v>
      </c>
      <c r="I5" s="40" t="s">
        <v>79</v>
      </c>
      <c r="J5" s="40" t="s">
        <v>80</v>
      </c>
      <c r="K5" s="42"/>
      <c r="L5" s="42"/>
      <c r="M5" s="42"/>
      <c r="N5" s="42"/>
      <c r="O5" s="42"/>
      <c r="P5" s="42"/>
      <c r="Q5" s="43"/>
      <c r="R5" s="44"/>
      <c r="S5" s="45"/>
      <c r="T5" s="45"/>
      <c r="U5" s="46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  <c r="IU5" s="43"/>
      <c r="IV5" s="43"/>
      <c r="IW5" s="43"/>
    </row>
    <row r="6" customFormat="false" ht="30.65" hidden="false" customHeight="true" outlineLevel="0" collapsed="false">
      <c r="A6" s="47" t="str">
        <f aca="false">IF(B6&gt;0,PROPER(TEXT(B6,"dddd")),"")</f>
        <v>Wednesday</v>
      </c>
      <c r="B6" s="48" t="n">
        <v>46113</v>
      </c>
      <c r="C6" s="49"/>
      <c r="D6" s="50"/>
      <c r="E6" s="49"/>
      <c r="F6" s="50"/>
      <c r="G6" s="49"/>
      <c r="H6" s="50"/>
      <c r="I6" s="49" t="n">
        <v>0</v>
      </c>
      <c r="J6" s="51"/>
      <c r="R6" s="36"/>
      <c r="S6" s="31"/>
      <c r="T6" s="31"/>
      <c r="U6" s="39"/>
    </row>
    <row r="7" customFormat="false" ht="30.65" hidden="false" customHeight="true" outlineLevel="0" collapsed="false">
      <c r="A7" s="47" t="str">
        <f aca="false">IF(B7&gt;0,PROPER(TEXT(B7,"dddd")),"")</f>
        <v>Thursday</v>
      </c>
      <c r="B7" s="48" t="n">
        <v>46114</v>
      </c>
      <c r="C7" s="49" t="n">
        <v>0.803472222222222</v>
      </c>
      <c r="D7" s="50" t="n">
        <v>0.865277777777778</v>
      </c>
      <c r="E7" s="49"/>
      <c r="F7" s="50"/>
      <c r="G7" s="49"/>
      <c r="H7" s="50"/>
      <c r="I7" s="49" t="n">
        <v>0.0618055555555556</v>
      </c>
      <c r="J7" s="52" t="s">
        <v>81</v>
      </c>
      <c r="R7" s="36"/>
      <c r="S7" s="31"/>
      <c r="T7" s="31"/>
      <c r="U7" s="39"/>
    </row>
    <row r="8" customFormat="false" ht="42.5" hidden="false" customHeight="true" outlineLevel="0" collapsed="false">
      <c r="A8" s="47" t="str">
        <f aca="false">IF(B8&gt;0,PROPER(TEXT(B8,"dddd")),"")</f>
        <v>Friday</v>
      </c>
      <c r="B8" s="48" t="n">
        <v>46115</v>
      </c>
      <c r="C8" s="49" t="n">
        <v>0.370138888888889</v>
      </c>
      <c r="D8" s="50" t="n">
        <v>0.552083333333333</v>
      </c>
      <c r="E8" s="49" t="n">
        <v>0.709027777777778</v>
      </c>
      <c r="F8" s="50" t="n">
        <v>0.795138888888889</v>
      </c>
      <c r="G8" s="49"/>
      <c r="H8" s="50"/>
      <c r="I8" s="49" t="n">
        <v>0.268055555555556</v>
      </c>
      <c r="J8" s="52" t="s">
        <v>82</v>
      </c>
      <c r="R8" s="36"/>
      <c r="S8" s="31"/>
      <c r="T8" s="31"/>
      <c r="U8" s="39"/>
    </row>
    <row r="9" customFormat="false" ht="30.65" hidden="false" customHeight="true" outlineLevel="0" collapsed="false">
      <c r="A9" s="47" t="str">
        <f aca="false">IF(B9&gt;0,PROPER(TEXT(B9,"dddd")),"")</f>
        <v>Saturday</v>
      </c>
      <c r="B9" s="48" t="n">
        <v>46116</v>
      </c>
      <c r="C9" s="49" t="n">
        <v>0.677777777777778</v>
      </c>
      <c r="D9" s="50" t="n">
        <v>0.766666666666667</v>
      </c>
      <c r="E9" s="49"/>
      <c r="F9" s="50"/>
      <c r="G9" s="49"/>
      <c r="H9" s="50"/>
      <c r="I9" s="49" t="n">
        <v>0.0888888888888889</v>
      </c>
      <c r="J9" s="52" t="s">
        <v>83</v>
      </c>
      <c r="R9" s="36"/>
      <c r="S9" s="31"/>
      <c r="T9" s="31"/>
      <c r="U9" s="39"/>
    </row>
    <row r="10" customFormat="false" ht="30.65" hidden="false" customHeight="true" outlineLevel="0" collapsed="false">
      <c r="A10" s="47" t="str">
        <f aca="false">IF(B10&gt;0,PROPER(TEXT(B10,"dddd")),"")</f>
        <v>Sunday</v>
      </c>
      <c r="B10" s="48" t="n">
        <v>46117</v>
      </c>
      <c r="C10" s="49" t="n">
        <v>0.366666666666667</v>
      </c>
      <c r="D10" s="50" t="n">
        <v>0.450694444444444</v>
      </c>
      <c r="E10" s="49"/>
      <c r="F10" s="50"/>
      <c r="G10" s="49"/>
      <c r="H10" s="50"/>
      <c r="I10" s="49" t="n">
        <v>0.0840277777777778</v>
      </c>
      <c r="J10" s="52" t="s">
        <v>84</v>
      </c>
      <c r="R10" s="36"/>
      <c r="S10" s="31"/>
      <c r="T10" s="31"/>
      <c r="U10" s="39"/>
    </row>
    <row r="11" customFormat="false" ht="30.65" hidden="false" customHeight="true" outlineLevel="0" collapsed="false">
      <c r="A11" s="47" t="str">
        <f aca="false">IF(B11&gt;0,PROPER(TEXT(B11,"dddd")),"")</f>
        <v>Monday</v>
      </c>
      <c r="B11" s="48" t="n">
        <v>46118</v>
      </c>
      <c r="C11" s="49" t="n">
        <v>0.798611111111111</v>
      </c>
      <c r="D11" s="50" t="n">
        <v>0.885416666666667</v>
      </c>
      <c r="E11" s="49"/>
      <c r="F11" s="50"/>
      <c r="G11" s="49"/>
      <c r="H11" s="50"/>
      <c r="I11" s="49" t="n">
        <v>0.0868055555555556</v>
      </c>
      <c r="J11" s="52" t="s">
        <v>85</v>
      </c>
      <c r="R11" s="36"/>
      <c r="S11" s="31"/>
      <c r="T11" s="31"/>
      <c r="U11" s="39"/>
    </row>
    <row r="12" customFormat="false" ht="30.65" hidden="false" customHeight="true" outlineLevel="0" collapsed="false">
      <c r="A12" s="47" t="str">
        <f aca="false">IF(B12&gt;0,PROPER(TEXT(B12,"dddd")),"")</f>
        <v>Tuesday</v>
      </c>
      <c r="B12" s="48" t="n">
        <v>46119</v>
      </c>
      <c r="C12" s="49" t="n">
        <v>0.75</v>
      </c>
      <c r="D12" s="50" t="n">
        <v>0.847222222222222</v>
      </c>
      <c r="E12" s="49"/>
      <c r="F12" s="50"/>
      <c r="G12" s="49"/>
      <c r="H12" s="50"/>
      <c r="I12" s="49" t="n">
        <v>0.0972222222222222</v>
      </c>
      <c r="J12" s="52" t="s">
        <v>86</v>
      </c>
      <c r="R12" s="36"/>
      <c r="S12" s="31"/>
      <c r="T12" s="31"/>
      <c r="U12" s="39"/>
    </row>
    <row r="13" customFormat="false" ht="30.65" hidden="false" customHeight="true" outlineLevel="0" collapsed="false">
      <c r="A13" s="47" t="str">
        <f aca="false">IF(B13&gt;0,PROPER(TEXT(B13,"dddd")),"")</f>
        <v>Wednesday</v>
      </c>
      <c r="B13" s="48" t="n">
        <v>46120</v>
      </c>
      <c r="C13" s="49"/>
      <c r="D13" s="50"/>
      <c r="E13" s="49"/>
      <c r="F13" s="50"/>
      <c r="G13" s="49"/>
      <c r="H13" s="50"/>
      <c r="I13" s="49" t="n">
        <v>0</v>
      </c>
      <c r="J13" s="52"/>
      <c r="R13" s="36"/>
      <c r="S13" s="31"/>
      <c r="T13" s="31"/>
      <c r="U13" s="39"/>
    </row>
    <row r="14" customFormat="false" ht="30.65" hidden="false" customHeight="true" outlineLevel="0" collapsed="false">
      <c r="A14" s="47" t="str">
        <f aca="false">IF(B14&gt;0,PROPER(TEXT(B14,"dddd")),"")</f>
        <v>Thursday</v>
      </c>
      <c r="B14" s="48" t="n">
        <v>46121</v>
      </c>
      <c r="C14" s="49"/>
      <c r="D14" s="50"/>
      <c r="E14" s="49"/>
      <c r="F14" s="50"/>
      <c r="G14" s="49"/>
      <c r="H14" s="50"/>
      <c r="I14" s="49" t="n">
        <v>0</v>
      </c>
      <c r="J14" s="52"/>
      <c r="R14" s="36"/>
      <c r="S14" s="31"/>
      <c r="T14" s="31"/>
      <c r="U14" s="39"/>
    </row>
    <row r="15" customFormat="false" ht="30.65" hidden="false" customHeight="true" outlineLevel="0" collapsed="false">
      <c r="A15" s="47" t="str">
        <f aca="false">IF(B15&gt;0,PROPER(TEXT(B15,"dddd")),"")</f>
        <v>Friday</v>
      </c>
      <c r="B15" s="48" t="n">
        <v>46122</v>
      </c>
      <c r="C15" s="49" t="n">
        <v>0.727083333333333</v>
      </c>
      <c r="D15" s="50" t="n">
        <v>0.817361111111111</v>
      </c>
      <c r="E15" s="49"/>
      <c r="F15" s="50"/>
      <c r="G15" s="49"/>
      <c r="H15" s="50"/>
      <c r="I15" s="49" t="n">
        <v>0.0902777777777778</v>
      </c>
      <c r="J15" s="52" t="s">
        <v>87</v>
      </c>
      <c r="R15" s="36"/>
      <c r="S15" s="31"/>
      <c r="T15" s="31"/>
      <c r="U15" s="39"/>
    </row>
    <row r="16" customFormat="false" ht="30.65" hidden="false" customHeight="true" outlineLevel="0" collapsed="false">
      <c r="A16" s="47" t="str">
        <f aca="false">IF(B16&gt;0,PROPER(TEXT(B16,"dddd")),"")</f>
        <v>Saturday</v>
      </c>
      <c r="B16" s="48" t="n">
        <v>46123</v>
      </c>
      <c r="C16" s="49"/>
      <c r="D16" s="50"/>
      <c r="E16" s="49"/>
      <c r="F16" s="50"/>
      <c r="G16" s="49"/>
      <c r="H16" s="50"/>
      <c r="I16" s="49" t="n">
        <v>0</v>
      </c>
      <c r="J16" s="52"/>
      <c r="R16" s="36"/>
      <c r="S16" s="31"/>
      <c r="T16" s="31"/>
      <c r="U16" s="39"/>
    </row>
    <row r="17" customFormat="false" ht="30.65" hidden="false" customHeight="true" outlineLevel="0" collapsed="false">
      <c r="A17" s="47" t="str">
        <f aca="false">IF(B17&gt;0,PROPER(TEXT(B17,"dddd")),"")</f>
        <v>Sunday</v>
      </c>
      <c r="B17" s="48" t="n">
        <v>46124</v>
      </c>
      <c r="C17" s="49"/>
      <c r="D17" s="50"/>
      <c r="E17" s="49"/>
      <c r="F17" s="50"/>
      <c r="G17" s="49"/>
      <c r="H17" s="50"/>
      <c r="I17" s="49" t="n">
        <v>0</v>
      </c>
      <c r="J17" s="52"/>
      <c r="R17" s="36"/>
      <c r="S17" s="31"/>
      <c r="T17" s="31"/>
      <c r="U17" s="39"/>
    </row>
    <row r="18" customFormat="false" ht="30.65" hidden="false" customHeight="true" outlineLevel="0" collapsed="false">
      <c r="A18" s="47" t="str">
        <f aca="false">IF(B18&gt;0,PROPER(TEXT(B18,"dddd")),"")</f>
        <v>Monday</v>
      </c>
      <c r="B18" s="48" t="n">
        <v>46125</v>
      </c>
      <c r="C18" s="49"/>
      <c r="D18" s="50"/>
      <c r="E18" s="49"/>
      <c r="F18" s="50"/>
      <c r="G18" s="49"/>
      <c r="H18" s="50"/>
      <c r="I18" s="49" t="n">
        <f aca="false">SUM(C18:H18)</f>
        <v>0</v>
      </c>
      <c r="J18" s="52"/>
      <c r="R18" s="36"/>
      <c r="S18" s="31"/>
      <c r="T18" s="31"/>
      <c r="U18" s="39"/>
    </row>
    <row r="19" customFormat="false" ht="30.65" hidden="false" customHeight="true" outlineLevel="0" collapsed="false">
      <c r="A19" s="47" t="str">
        <f aca="false">IF(B19&gt;0,PROPER(TEXT(B19,"dddd")),"")</f>
        <v>Tuesday</v>
      </c>
      <c r="B19" s="48" t="n">
        <v>46126</v>
      </c>
      <c r="C19" s="49"/>
      <c r="D19" s="50"/>
      <c r="E19" s="49"/>
      <c r="F19" s="50"/>
      <c r="G19" s="49"/>
      <c r="H19" s="50"/>
      <c r="I19" s="49" t="n">
        <f aca="false">SUM(C19:H19)</f>
        <v>0</v>
      </c>
      <c r="J19" s="52"/>
      <c r="R19" s="36"/>
      <c r="S19" s="31"/>
      <c r="T19" s="31"/>
      <c r="U19" s="39"/>
    </row>
    <row r="20" customFormat="false" ht="30.65" hidden="false" customHeight="true" outlineLevel="0" collapsed="false">
      <c r="A20" s="47" t="str">
        <f aca="false">IF(B20&gt;0,PROPER(TEXT(B20,"dddd")),"")</f>
        <v>Wednesday</v>
      </c>
      <c r="B20" s="48" t="n">
        <v>46127</v>
      </c>
      <c r="C20" s="49"/>
      <c r="D20" s="50"/>
      <c r="E20" s="49"/>
      <c r="F20" s="50"/>
      <c r="G20" s="49"/>
      <c r="H20" s="50"/>
      <c r="I20" s="49" t="n">
        <f aca="false">SUM(C20:H20)</f>
        <v>0</v>
      </c>
      <c r="J20" s="52"/>
      <c r="R20" s="36"/>
      <c r="S20" s="31"/>
      <c r="T20" s="31"/>
      <c r="U20" s="39"/>
    </row>
    <row r="21" customFormat="false" ht="30.65" hidden="false" customHeight="true" outlineLevel="0" collapsed="false">
      <c r="A21" s="47" t="str">
        <f aca="false">IF(B21&gt;0,PROPER(TEXT(B21,"dddd")),"")</f>
        <v>Thursday</v>
      </c>
      <c r="B21" s="48" t="n">
        <v>46128</v>
      </c>
      <c r="C21" s="49"/>
      <c r="D21" s="50"/>
      <c r="E21" s="49"/>
      <c r="F21" s="50"/>
      <c r="G21" s="49"/>
      <c r="H21" s="50"/>
      <c r="I21" s="49" t="n">
        <f aca="false">SUM(C21:H21)</f>
        <v>0</v>
      </c>
      <c r="J21" s="52"/>
      <c r="R21" s="36"/>
      <c r="S21" s="31"/>
      <c r="T21" s="31"/>
      <c r="U21" s="39"/>
    </row>
    <row r="22" customFormat="false" ht="30.65" hidden="false" customHeight="true" outlineLevel="0" collapsed="false">
      <c r="A22" s="47" t="str">
        <f aca="false">IF(B22&gt;0,PROPER(TEXT(B22,"dddd")),"")</f>
        <v>Friday</v>
      </c>
      <c r="B22" s="48" t="n">
        <v>46129</v>
      </c>
      <c r="C22" s="49"/>
      <c r="D22" s="50"/>
      <c r="E22" s="49"/>
      <c r="F22" s="50"/>
      <c r="G22" s="49"/>
      <c r="H22" s="50"/>
      <c r="I22" s="49" t="n">
        <f aca="false">SUM(C22:H22)</f>
        <v>0</v>
      </c>
      <c r="J22" s="52"/>
      <c r="R22" s="36"/>
      <c r="S22" s="31"/>
      <c r="T22" s="31"/>
      <c r="U22" s="39"/>
    </row>
    <row r="23" customFormat="false" ht="30.65" hidden="false" customHeight="true" outlineLevel="0" collapsed="false">
      <c r="A23" s="47" t="str">
        <f aca="false">IF(B23&gt;0,PROPER(TEXT(B23,"dddd")),"")</f>
        <v>Saturday</v>
      </c>
      <c r="B23" s="48" t="n">
        <v>46130</v>
      </c>
      <c r="C23" s="49"/>
      <c r="D23" s="50"/>
      <c r="E23" s="49"/>
      <c r="F23" s="50"/>
      <c r="G23" s="49"/>
      <c r="H23" s="50"/>
      <c r="I23" s="49" t="n">
        <f aca="false">SUM(C23:H23)</f>
        <v>0</v>
      </c>
      <c r="J23" s="52"/>
      <c r="R23" s="36"/>
      <c r="S23" s="31"/>
      <c r="T23" s="31"/>
      <c r="U23" s="39"/>
    </row>
    <row r="24" customFormat="false" ht="30.65" hidden="false" customHeight="true" outlineLevel="0" collapsed="false">
      <c r="A24" s="47" t="str">
        <f aca="false">IF(B24&gt;0,PROPER(TEXT(B24,"dddd")),"")</f>
        <v>Sunday</v>
      </c>
      <c r="B24" s="48" t="n">
        <v>46131</v>
      </c>
      <c r="C24" s="49"/>
      <c r="D24" s="50"/>
      <c r="E24" s="49"/>
      <c r="F24" s="50"/>
      <c r="G24" s="49"/>
      <c r="H24" s="50"/>
      <c r="I24" s="49" t="n">
        <f aca="false">SUM(C24:H24)</f>
        <v>0</v>
      </c>
      <c r="J24" s="52"/>
      <c r="R24" s="36"/>
      <c r="S24" s="31"/>
      <c r="T24" s="31"/>
      <c r="U24" s="39"/>
    </row>
    <row r="25" customFormat="false" ht="30.65" hidden="false" customHeight="true" outlineLevel="0" collapsed="false">
      <c r="A25" s="47" t="str">
        <f aca="false">IF(B25&gt;0,PROPER(TEXT(B25,"dddd")),"")</f>
        <v>Monday</v>
      </c>
      <c r="B25" s="48" t="n">
        <v>46132</v>
      </c>
      <c r="C25" s="49"/>
      <c r="D25" s="50"/>
      <c r="E25" s="49"/>
      <c r="F25" s="50"/>
      <c r="G25" s="49"/>
      <c r="H25" s="50"/>
      <c r="I25" s="49" t="n">
        <f aca="false">SUM(C25:H25)</f>
        <v>0</v>
      </c>
      <c r="J25" s="52"/>
      <c r="R25" s="36"/>
      <c r="S25" s="31"/>
      <c r="T25" s="31"/>
      <c r="U25" s="39"/>
    </row>
    <row r="26" customFormat="false" ht="30.65" hidden="false" customHeight="true" outlineLevel="0" collapsed="false">
      <c r="A26" s="47" t="str">
        <f aca="false">IF(B26&gt;0,PROPER(TEXT(B26,"dddd")),"")</f>
        <v>Tuesday</v>
      </c>
      <c r="B26" s="48" t="n">
        <v>46133</v>
      </c>
      <c r="C26" s="49"/>
      <c r="D26" s="50"/>
      <c r="E26" s="49"/>
      <c r="F26" s="50"/>
      <c r="G26" s="49"/>
      <c r="H26" s="50"/>
      <c r="I26" s="49" t="n">
        <f aca="false">SUM(C26:H26)</f>
        <v>0</v>
      </c>
      <c r="J26" s="52"/>
      <c r="R26" s="36"/>
      <c r="S26" s="31"/>
      <c r="T26" s="31"/>
      <c r="U26" s="39"/>
    </row>
    <row r="27" customFormat="false" ht="30.65" hidden="false" customHeight="true" outlineLevel="0" collapsed="false">
      <c r="A27" s="47" t="str">
        <f aca="false">IF(B27&gt;0,PROPER(TEXT(B27,"dddd")),"")</f>
        <v>Wednesday</v>
      </c>
      <c r="B27" s="48" t="n">
        <v>46134</v>
      </c>
      <c r="C27" s="49"/>
      <c r="D27" s="50"/>
      <c r="E27" s="49"/>
      <c r="F27" s="50"/>
      <c r="G27" s="49"/>
      <c r="H27" s="50"/>
      <c r="I27" s="49" t="n">
        <f aca="false">SUM(C27:H27)</f>
        <v>0</v>
      </c>
      <c r="J27" s="52"/>
      <c r="R27" s="36"/>
      <c r="S27" s="31"/>
      <c r="T27" s="31"/>
      <c r="U27" s="39"/>
    </row>
    <row r="28" customFormat="false" ht="30.65" hidden="false" customHeight="true" outlineLevel="0" collapsed="false">
      <c r="A28" s="47" t="str">
        <f aca="false">IF(B28&gt;0,PROPER(TEXT(B28,"dddd")),"")</f>
        <v>Thursday</v>
      </c>
      <c r="B28" s="48" t="n">
        <v>46135</v>
      </c>
      <c r="C28" s="49"/>
      <c r="D28" s="50"/>
      <c r="E28" s="49"/>
      <c r="F28" s="50"/>
      <c r="G28" s="49"/>
      <c r="H28" s="50"/>
      <c r="I28" s="49" t="n">
        <f aca="false">SUM(C28:H28)</f>
        <v>0</v>
      </c>
      <c r="J28" s="52"/>
      <c r="R28" s="36"/>
      <c r="S28" s="31"/>
      <c r="T28" s="31"/>
      <c r="U28" s="39"/>
    </row>
    <row r="29" customFormat="false" ht="30.65" hidden="false" customHeight="true" outlineLevel="0" collapsed="false">
      <c r="A29" s="47" t="str">
        <f aca="false">IF(B29&gt;0,PROPER(TEXT(B29,"dddd")),"")</f>
        <v>Friday</v>
      </c>
      <c r="B29" s="48" t="n">
        <v>46136</v>
      </c>
      <c r="C29" s="49"/>
      <c r="D29" s="50"/>
      <c r="E29" s="49"/>
      <c r="F29" s="50"/>
      <c r="G29" s="49"/>
      <c r="H29" s="50"/>
      <c r="I29" s="49" t="n">
        <f aca="false">SUM(C29:H29)</f>
        <v>0</v>
      </c>
      <c r="J29" s="52"/>
      <c r="R29" s="36"/>
      <c r="S29" s="31"/>
      <c r="T29" s="31"/>
      <c r="U29" s="39"/>
    </row>
    <row r="30" customFormat="false" ht="30.65" hidden="false" customHeight="true" outlineLevel="0" collapsed="false">
      <c r="A30" s="47" t="str">
        <f aca="false">IF(B30&gt;0,PROPER(TEXT(B30,"dddd")),"")</f>
        <v>Saturday</v>
      </c>
      <c r="B30" s="48" t="n">
        <v>46137</v>
      </c>
      <c r="C30" s="49"/>
      <c r="D30" s="50"/>
      <c r="E30" s="49"/>
      <c r="F30" s="50"/>
      <c r="G30" s="49"/>
      <c r="H30" s="50"/>
      <c r="I30" s="49" t="n">
        <f aca="false">SUM(C30:H30)</f>
        <v>0</v>
      </c>
      <c r="J30" s="52"/>
      <c r="R30" s="36"/>
      <c r="S30" s="31"/>
      <c r="T30" s="31"/>
      <c r="U30" s="39"/>
    </row>
    <row r="31" customFormat="false" ht="30.65" hidden="false" customHeight="true" outlineLevel="0" collapsed="false">
      <c r="A31" s="47" t="str">
        <f aca="false">IF(B31&gt;0,PROPER(TEXT(B31,"dddd")),"")</f>
        <v>Sunday</v>
      </c>
      <c r="B31" s="48" t="n">
        <v>46138</v>
      </c>
      <c r="C31" s="49"/>
      <c r="D31" s="50"/>
      <c r="E31" s="49"/>
      <c r="F31" s="50"/>
      <c r="G31" s="49"/>
      <c r="H31" s="50"/>
      <c r="I31" s="49" t="n">
        <f aca="false">SUM(C31:H31)</f>
        <v>0</v>
      </c>
      <c r="J31" s="52"/>
      <c r="R31" s="36"/>
      <c r="S31" s="31"/>
      <c r="T31" s="31"/>
      <c r="U31" s="39"/>
    </row>
    <row r="32" customFormat="false" ht="30.65" hidden="false" customHeight="true" outlineLevel="0" collapsed="false">
      <c r="A32" s="47" t="str">
        <f aca="false">IF(B32&gt;0,PROPER(TEXT(B32,"dddd")),"")</f>
        <v>Monday</v>
      </c>
      <c r="B32" s="48" t="n">
        <v>46139</v>
      </c>
      <c r="C32" s="49"/>
      <c r="D32" s="50"/>
      <c r="E32" s="49"/>
      <c r="F32" s="50"/>
      <c r="G32" s="49"/>
      <c r="H32" s="50"/>
      <c r="I32" s="49" t="n">
        <f aca="false">SUM(C32:H32)</f>
        <v>0</v>
      </c>
      <c r="J32" s="52"/>
      <c r="R32" s="36"/>
      <c r="S32" s="31"/>
      <c r="T32" s="31"/>
      <c r="U32" s="39"/>
    </row>
    <row r="33" customFormat="false" ht="30.65" hidden="false" customHeight="true" outlineLevel="0" collapsed="false">
      <c r="A33" s="47" t="str">
        <f aca="false">IF(B33&gt;0,PROPER(TEXT(B33,"dddd")),"")</f>
        <v>Tuesday</v>
      </c>
      <c r="B33" s="48" t="n">
        <v>46140</v>
      </c>
      <c r="C33" s="49"/>
      <c r="D33" s="50"/>
      <c r="E33" s="49"/>
      <c r="F33" s="50"/>
      <c r="G33" s="49"/>
      <c r="H33" s="50"/>
      <c r="I33" s="49" t="n">
        <f aca="false">SUM(C33:H33)</f>
        <v>0</v>
      </c>
      <c r="J33" s="52"/>
      <c r="R33" s="36"/>
      <c r="S33" s="31"/>
      <c r="T33" s="31"/>
      <c r="U33" s="39"/>
    </row>
    <row r="34" customFormat="false" ht="30.65" hidden="false" customHeight="true" outlineLevel="0" collapsed="false">
      <c r="A34" s="47" t="str">
        <f aca="false">IF(B34&gt;0,PROPER(TEXT(B34,"dddd")),"")</f>
        <v>Wednesday</v>
      </c>
      <c r="B34" s="48" t="n">
        <v>46141</v>
      </c>
      <c r="C34" s="49"/>
      <c r="D34" s="50"/>
      <c r="E34" s="49"/>
      <c r="F34" s="50"/>
      <c r="G34" s="49"/>
      <c r="H34" s="50"/>
      <c r="I34" s="49" t="n">
        <f aca="false">SUM(C34:H34)</f>
        <v>0</v>
      </c>
      <c r="J34" s="52"/>
      <c r="R34" s="36"/>
      <c r="S34" s="31"/>
      <c r="T34" s="31"/>
      <c r="U34" s="39"/>
    </row>
    <row r="35" customFormat="false" ht="30.65" hidden="false" customHeight="true" outlineLevel="0" collapsed="false">
      <c r="A35" s="47" t="str">
        <f aca="false">IF(B35&gt;0,PROPER(TEXT(B35,"dddd")),"")</f>
        <v>Thursday</v>
      </c>
      <c r="B35" s="48" t="n">
        <v>46142</v>
      </c>
      <c r="C35" s="49"/>
      <c r="D35" s="50"/>
      <c r="E35" s="49"/>
      <c r="F35" s="50"/>
      <c r="G35" s="49"/>
      <c r="H35" s="50"/>
      <c r="I35" s="49" t="n">
        <f aca="false">SUM(C35:H35)</f>
        <v>0</v>
      </c>
      <c r="J35" s="52"/>
      <c r="R35" s="36"/>
      <c r="S35" s="31"/>
      <c r="T35" s="31"/>
      <c r="U35" s="39"/>
    </row>
    <row r="36" customFormat="false" ht="30.65" hidden="false" customHeight="true" outlineLevel="0" collapsed="false">
      <c r="A36" s="47" t="str">
        <f aca="false">IF(B36&gt;0,PROPER(TEXT(B36,"dddd")),"")</f>
        <v/>
      </c>
      <c r="B36" s="48"/>
      <c r="C36" s="49"/>
      <c r="D36" s="50"/>
      <c r="E36" s="49"/>
      <c r="F36" s="50"/>
      <c r="G36" s="49"/>
      <c r="H36" s="50"/>
      <c r="I36" s="49" t="n">
        <f aca="false">SUM(C36:H36)</f>
        <v>0</v>
      </c>
      <c r="J36" s="52"/>
      <c r="R36" s="36"/>
      <c r="S36" s="31"/>
      <c r="T36" s="31"/>
      <c r="U36" s="39"/>
    </row>
    <row r="37" customFormat="false" ht="16.5" hidden="false" customHeight="false" outlineLevel="0" collapsed="false">
      <c r="A37" s="53"/>
      <c r="B37" s="20"/>
      <c r="C37" s="20"/>
      <c r="D37" s="20"/>
      <c r="E37" s="20"/>
      <c r="F37" s="20"/>
      <c r="G37" s="20"/>
      <c r="H37" s="20"/>
      <c r="I37" s="54"/>
      <c r="J37" s="20"/>
      <c r="R37" s="36"/>
      <c r="S37" s="31"/>
      <c r="T37" s="31"/>
      <c r="U37" s="39"/>
    </row>
    <row r="38" customFormat="false" ht="16.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54"/>
      <c r="J38" s="20"/>
      <c r="R38" s="36"/>
      <c r="S38" s="31"/>
      <c r="T38" s="31"/>
      <c r="U38" s="39"/>
    </row>
    <row r="39" customFormat="false" ht="16.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54"/>
      <c r="J39" s="20"/>
      <c r="R39" s="36"/>
      <c r="S39" s="31"/>
      <c r="T39" s="31"/>
      <c r="U39" s="39"/>
    </row>
    <row r="40" customFormat="false" ht="16.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54"/>
      <c r="J40" s="20"/>
      <c r="R40" s="36"/>
      <c r="S40" s="31"/>
      <c r="T40" s="55"/>
      <c r="U40" s="56"/>
    </row>
    <row r="41" customFormat="false" ht="16.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54"/>
      <c r="J41" s="20"/>
      <c r="R41" s="36"/>
      <c r="S41" s="31"/>
      <c r="T41" s="55"/>
      <c r="U41" s="56"/>
    </row>
    <row r="42" customFormat="false" ht="16.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54"/>
      <c r="J42" s="20"/>
      <c r="R42" s="36"/>
      <c r="S42" s="31"/>
      <c r="T42" s="55"/>
      <c r="U42" s="56"/>
    </row>
    <row r="43" customFormat="false" ht="16.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54"/>
      <c r="J43" s="20"/>
      <c r="R43" s="36"/>
      <c r="S43" s="31"/>
      <c r="T43" s="55"/>
      <c r="U43" s="56"/>
    </row>
    <row r="44" customFormat="false" ht="16.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54"/>
      <c r="J44" s="20"/>
      <c r="R44" s="36"/>
      <c r="S44" s="31"/>
      <c r="T44" s="55"/>
      <c r="U44" s="56"/>
    </row>
    <row r="45" customFormat="false" ht="16.5" hidden="false" customHeight="false" outlineLevel="0" collapsed="false">
      <c r="Q45" s="57"/>
      <c r="R45" s="36"/>
      <c r="S45" s="31"/>
      <c r="T45" s="55"/>
      <c r="U45" s="56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/>
      <c r="FB45" s="57"/>
      <c r="FC45" s="57"/>
      <c r="FD45" s="57"/>
      <c r="FE45" s="57"/>
      <c r="FF45" s="57"/>
      <c r="FG45" s="57"/>
      <c r="FH45" s="57"/>
      <c r="FI45" s="57"/>
      <c r="FJ45" s="57"/>
      <c r="FK45" s="57"/>
      <c r="FL45" s="57"/>
      <c r="FM45" s="57"/>
      <c r="FN45" s="57"/>
      <c r="FO45" s="57"/>
      <c r="FP45" s="57"/>
      <c r="FQ45" s="57"/>
      <c r="FR45" s="57"/>
      <c r="FS45" s="57"/>
      <c r="FT45" s="57"/>
      <c r="FU45" s="57"/>
      <c r="FV45" s="57"/>
      <c r="FW45" s="57"/>
      <c r="FX45" s="57"/>
      <c r="FY45" s="57"/>
      <c r="FZ45" s="57"/>
      <c r="GA45" s="57"/>
      <c r="GB45" s="57"/>
      <c r="GC45" s="57"/>
      <c r="GD45" s="57"/>
      <c r="GE45" s="57"/>
      <c r="GF45" s="57"/>
      <c r="GG45" s="57"/>
      <c r="GH45" s="57"/>
      <c r="GI45" s="57"/>
      <c r="GJ45" s="57"/>
      <c r="GK45" s="57"/>
      <c r="GL45" s="57"/>
      <c r="GM45" s="57"/>
      <c r="GN45" s="57"/>
      <c r="GO45" s="57"/>
      <c r="GP45" s="57"/>
      <c r="GQ45" s="57"/>
      <c r="GR45" s="57"/>
      <c r="GS45" s="57"/>
      <c r="GT45" s="57"/>
      <c r="GU45" s="57"/>
      <c r="GV45" s="57"/>
      <c r="GW45" s="57"/>
      <c r="GX45" s="57"/>
      <c r="GY45" s="57"/>
      <c r="GZ45" s="57"/>
      <c r="HA45" s="57"/>
      <c r="HB45" s="57"/>
      <c r="HC45" s="57"/>
      <c r="HD45" s="57"/>
      <c r="HE45" s="57"/>
      <c r="HF45" s="57"/>
      <c r="HG45" s="57"/>
      <c r="HH45" s="57"/>
      <c r="HI45" s="57"/>
      <c r="HJ45" s="57"/>
      <c r="HK45" s="57"/>
      <c r="HL45" s="57"/>
      <c r="HM45" s="57"/>
      <c r="HN45" s="57"/>
      <c r="HO45" s="57"/>
      <c r="HP45" s="57"/>
      <c r="HQ45" s="57"/>
      <c r="HR45" s="57"/>
      <c r="HS45" s="57"/>
      <c r="HT45" s="57"/>
      <c r="HU45" s="57"/>
      <c r="HV45" s="57"/>
      <c r="HW45" s="57"/>
      <c r="HX45" s="57"/>
      <c r="HY45" s="57"/>
      <c r="HZ45" s="57"/>
      <c r="IA45" s="57"/>
      <c r="IB45" s="57"/>
      <c r="IC45" s="57"/>
      <c r="ID45" s="57"/>
      <c r="IE45" s="57"/>
      <c r="IF45" s="57"/>
      <c r="IG45" s="57"/>
      <c r="IH45" s="57"/>
      <c r="II45" s="57"/>
      <c r="IJ45" s="57"/>
      <c r="IK45" s="57"/>
      <c r="IL45" s="57"/>
      <c r="IM45" s="57"/>
      <c r="IN45" s="57"/>
      <c r="IO45" s="57"/>
      <c r="IP45" s="57"/>
      <c r="IQ45" s="57"/>
      <c r="IR45" s="57"/>
      <c r="IS45" s="57"/>
      <c r="IT45" s="57"/>
      <c r="IU45" s="57"/>
      <c r="IV45" s="57"/>
      <c r="IW45" s="57"/>
    </row>
    <row r="46" customFormat="false" ht="16.5" hidden="false" customHeight="false" outlineLevel="0" collapsed="false">
      <c r="R46" s="36"/>
      <c r="S46" s="31"/>
      <c r="T46" s="55"/>
      <c r="U46" s="56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/>
      <c r="FH46" s="58"/>
      <c r="FI46" s="58"/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8"/>
      <c r="GK46" s="58"/>
      <c r="GL46" s="58"/>
      <c r="GM46" s="58"/>
      <c r="GN46" s="58"/>
      <c r="GO46" s="58"/>
      <c r="GP46" s="58"/>
      <c r="GQ46" s="58"/>
      <c r="GR46" s="58"/>
      <c r="GS46" s="58"/>
      <c r="GT46" s="58"/>
      <c r="GU46" s="58"/>
      <c r="GV46" s="58"/>
      <c r="GW46" s="58"/>
      <c r="GX46" s="58"/>
      <c r="GY46" s="58"/>
      <c r="GZ46" s="58"/>
      <c r="HA46" s="58"/>
      <c r="HB46" s="58"/>
      <c r="HC46" s="58"/>
      <c r="HD46" s="58"/>
      <c r="HE46" s="58"/>
      <c r="HF46" s="58"/>
      <c r="HG46" s="58"/>
      <c r="HH46" s="58"/>
      <c r="HI46" s="58"/>
      <c r="HJ46" s="58"/>
      <c r="HK46" s="58"/>
      <c r="HL46" s="58"/>
      <c r="HM46" s="58"/>
      <c r="HN46" s="58"/>
      <c r="HO46" s="58"/>
      <c r="HP46" s="58"/>
      <c r="HQ46" s="58"/>
      <c r="HR46" s="58"/>
      <c r="HS46" s="58"/>
      <c r="HT46" s="58"/>
      <c r="HU46" s="58"/>
      <c r="HV46" s="58"/>
      <c r="HW46" s="58"/>
      <c r="HX46" s="58"/>
      <c r="HY46" s="58"/>
      <c r="HZ46" s="58"/>
      <c r="IA46" s="58"/>
      <c r="IB46" s="58"/>
      <c r="IC46" s="58"/>
      <c r="ID46" s="58"/>
      <c r="IE46" s="58"/>
      <c r="IF46" s="58"/>
      <c r="IG46" s="58"/>
      <c r="IH46" s="58"/>
      <c r="II46" s="58"/>
      <c r="IJ46" s="58"/>
      <c r="IK46" s="58"/>
      <c r="IL46" s="58"/>
      <c r="IM46" s="58"/>
      <c r="IN46" s="58"/>
      <c r="IO46" s="58"/>
      <c r="IP46" s="58"/>
      <c r="IQ46" s="58"/>
      <c r="IR46" s="58"/>
      <c r="IS46" s="58"/>
      <c r="IT46" s="58"/>
      <c r="IU46" s="58"/>
      <c r="IV46" s="58"/>
      <c r="IW46" s="58"/>
    </row>
    <row r="47" customFormat="false" ht="16.5" hidden="false" customHeight="false" outlineLevel="0" collapsed="false">
      <c r="R47" s="36"/>
      <c r="S47" s="31"/>
      <c r="T47" s="55"/>
      <c r="U47" s="56"/>
    </row>
    <row r="48" customFormat="false" ht="16.5" hidden="false" customHeight="false" outlineLevel="0" collapsed="false">
      <c r="R48" s="36"/>
      <c r="S48" s="31"/>
      <c r="T48" s="55"/>
      <c r="U48" s="56"/>
    </row>
    <row r="49" customFormat="false" ht="16.5" hidden="false" customHeight="false" outlineLevel="0" collapsed="false">
      <c r="Q49" s="57"/>
      <c r="R49" s="36"/>
      <c r="S49" s="31"/>
      <c r="T49" s="55"/>
      <c r="U49" s="56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  <c r="FH49" s="57"/>
      <c r="FI49" s="57"/>
      <c r="FJ49" s="57"/>
      <c r="FK49" s="57"/>
      <c r="FL49" s="57"/>
      <c r="FM49" s="57"/>
      <c r="FN49" s="57"/>
      <c r="FO49" s="57"/>
      <c r="FP49" s="57"/>
      <c r="FQ49" s="57"/>
      <c r="FR49" s="57"/>
      <c r="FS49" s="57"/>
      <c r="FT49" s="57"/>
      <c r="FU49" s="57"/>
      <c r="FV49" s="57"/>
      <c r="FW49" s="57"/>
      <c r="FX49" s="57"/>
      <c r="FY49" s="57"/>
      <c r="FZ49" s="57"/>
      <c r="GA49" s="57"/>
      <c r="GB49" s="57"/>
      <c r="GC49" s="57"/>
      <c r="GD49" s="57"/>
      <c r="GE49" s="57"/>
      <c r="GF49" s="57"/>
      <c r="GG49" s="57"/>
      <c r="GH49" s="57"/>
      <c r="GI49" s="57"/>
      <c r="GJ49" s="57"/>
      <c r="GK49" s="57"/>
      <c r="GL49" s="57"/>
      <c r="GM49" s="57"/>
      <c r="GN49" s="57"/>
      <c r="GO49" s="57"/>
      <c r="GP49" s="57"/>
      <c r="GQ49" s="57"/>
      <c r="GR49" s="57"/>
      <c r="GS49" s="57"/>
      <c r="GT49" s="57"/>
      <c r="GU49" s="57"/>
      <c r="GV49" s="57"/>
      <c r="GW49" s="57"/>
      <c r="GX49" s="57"/>
      <c r="GY49" s="57"/>
      <c r="GZ49" s="57"/>
      <c r="HA49" s="57"/>
      <c r="HB49" s="57"/>
      <c r="HC49" s="57"/>
      <c r="HD49" s="57"/>
      <c r="HE49" s="57"/>
      <c r="HF49" s="57"/>
      <c r="HG49" s="57"/>
      <c r="HH49" s="57"/>
      <c r="HI49" s="57"/>
      <c r="HJ49" s="57"/>
      <c r="HK49" s="57"/>
      <c r="HL49" s="57"/>
      <c r="HM49" s="57"/>
      <c r="HN49" s="57"/>
      <c r="HO49" s="57"/>
      <c r="HP49" s="57"/>
      <c r="HQ49" s="57"/>
      <c r="HR49" s="57"/>
      <c r="HS49" s="57"/>
      <c r="HT49" s="57"/>
      <c r="HU49" s="57"/>
      <c r="HV49" s="57"/>
      <c r="HW49" s="57"/>
      <c r="HX49" s="57"/>
      <c r="HY49" s="57"/>
      <c r="HZ49" s="57"/>
      <c r="IA49" s="57"/>
      <c r="IB49" s="57"/>
      <c r="IC49" s="57"/>
      <c r="ID49" s="57"/>
      <c r="IE49" s="57"/>
      <c r="IF49" s="57"/>
      <c r="IG49" s="57"/>
      <c r="IH49" s="57"/>
      <c r="II49" s="57"/>
      <c r="IJ49" s="57"/>
      <c r="IK49" s="57"/>
      <c r="IL49" s="57"/>
      <c r="IM49" s="57"/>
      <c r="IN49" s="57"/>
      <c r="IO49" s="57"/>
      <c r="IP49" s="57"/>
      <c r="IQ49" s="57"/>
      <c r="IR49" s="57"/>
      <c r="IS49" s="57"/>
      <c r="IT49" s="57"/>
      <c r="IU49" s="57"/>
      <c r="IV49" s="57"/>
      <c r="IW49" s="57"/>
    </row>
    <row r="50" customFormat="false" ht="16.5" hidden="false" customHeight="false" outlineLevel="0" collapsed="false">
      <c r="R50" s="36"/>
      <c r="S50" s="31"/>
      <c r="T50" s="55"/>
      <c r="U50" s="56"/>
    </row>
    <row r="51" customFormat="false" ht="16.5" hidden="false" customHeight="false" outlineLevel="0" collapsed="false">
      <c r="Q51" s="57"/>
      <c r="R51" s="36"/>
      <c r="S51" s="31"/>
      <c r="T51" s="55"/>
      <c r="U51" s="56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  <c r="EF51" s="57"/>
      <c r="EG51" s="57"/>
      <c r="EH51" s="57"/>
      <c r="EI51" s="57"/>
      <c r="EJ51" s="57"/>
      <c r="EK51" s="57"/>
      <c r="EL51" s="57"/>
      <c r="EM51" s="57"/>
      <c r="EN51" s="57"/>
      <c r="EO51" s="57"/>
      <c r="EP51" s="57"/>
      <c r="EQ51" s="57"/>
      <c r="ER51" s="57"/>
      <c r="ES51" s="57"/>
      <c r="ET51" s="57"/>
      <c r="EU51" s="57"/>
      <c r="EV51" s="57"/>
      <c r="EW51" s="57"/>
      <c r="EX51" s="57"/>
      <c r="EY51" s="57"/>
      <c r="EZ51" s="57"/>
      <c r="FA51" s="57"/>
      <c r="FB51" s="57"/>
      <c r="FC51" s="57"/>
      <c r="FD51" s="57"/>
      <c r="FE51" s="57"/>
      <c r="FF51" s="57"/>
      <c r="FG51" s="57"/>
      <c r="FH51" s="57"/>
      <c r="FI51" s="57"/>
      <c r="FJ51" s="57"/>
      <c r="FK51" s="57"/>
      <c r="FL51" s="57"/>
      <c r="FM51" s="57"/>
      <c r="FN51" s="57"/>
      <c r="FO51" s="57"/>
      <c r="FP51" s="57"/>
      <c r="FQ51" s="57"/>
      <c r="FR51" s="57"/>
      <c r="FS51" s="57"/>
      <c r="FT51" s="57"/>
      <c r="FU51" s="57"/>
      <c r="FV51" s="57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7"/>
      <c r="GJ51" s="57"/>
      <c r="GK51" s="57"/>
      <c r="GL51" s="57"/>
      <c r="GM51" s="57"/>
      <c r="GN51" s="57"/>
      <c r="GO51" s="57"/>
      <c r="GP51" s="57"/>
      <c r="GQ51" s="57"/>
      <c r="GR51" s="57"/>
      <c r="GS51" s="57"/>
      <c r="GT51" s="57"/>
      <c r="GU51" s="57"/>
      <c r="GV51" s="57"/>
      <c r="GW51" s="57"/>
      <c r="GX51" s="57"/>
      <c r="GY51" s="57"/>
      <c r="GZ51" s="57"/>
      <c r="HA51" s="57"/>
      <c r="HB51" s="57"/>
      <c r="HC51" s="57"/>
      <c r="HD51" s="57"/>
      <c r="HE51" s="57"/>
      <c r="HF51" s="57"/>
      <c r="HG51" s="57"/>
      <c r="HH51" s="57"/>
      <c r="HI51" s="57"/>
      <c r="HJ51" s="57"/>
      <c r="HK51" s="57"/>
      <c r="HL51" s="57"/>
      <c r="HM51" s="57"/>
      <c r="HN51" s="57"/>
      <c r="HO51" s="57"/>
      <c r="HP51" s="57"/>
      <c r="HQ51" s="57"/>
      <c r="HR51" s="57"/>
      <c r="HS51" s="57"/>
      <c r="HT51" s="57"/>
      <c r="HU51" s="57"/>
      <c r="HV51" s="57"/>
      <c r="HW51" s="57"/>
      <c r="HX51" s="57"/>
      <c r="HY51" s="57"/>
      <c r="HZ51" s="57"/>
      <c r="IA51" s="57"/>
      <c r="IB51" s="57"/>
      <c r="IC51" s="57"/>
      <c r="ID51" s="57"/>
      <c r="IE51" s="57"/>
      <c r="IF51" s="57"/>
      <c r="IG51" s="57"/>
      <c r="IH51" s="57"/>
      <c r="II51" s="57"/>
      <c r="IJ51" s="57"/>
      <c r="IK51" s="57"/>
      <c r="IL51" s="57"/>
      <c r="IM51" s="57"/>
      <c r="IN51" s="57"/>
      <c r="IO51" s="57"/>
      <c r="IP51" s="57"/>
      <c r="IQ51" s="57"/>
      <c r="IR51" s="57"/>
      <c r="IS51" s="57"/>
      <c r="IT51" s="57"/>
      <c r="IU51" s="57"/>
      <c r="IV51" s="57"/>
      <c r="IW51" s="57"/>
    </row>
    <row r="52" customFormat="false" ht="16.5" hidden="false" customHeight="false" outlineLevel="0" collapsed="false">
      <c r="R52" s="36"/>
      <c r="S52" s="31"/>
      <c r="T52" s="55"/>
      <c r="U52" s="56"/>
    </row>
    <row r="53" customFormat="false" ht="16.5" hidden="false" customHeight="false" outlineLevel="0" collapsed="false">
      <c r="R53" s="36"/>
      <c r="S53" s="31"/>
      <c r="T53" s="55"/>
      <c r="U53" s="56"/>
    </row>
    <row r="54" customFormat="false" ht="16.5" hidden="false" customHeight="false" outlineLevel="0" collapsed="false">
      <c r="R54" s="36"/>
      <c r="S54" s="31"/>
      <c r="T54" s="55"/>
      <c r="U54" s="56"/>
    </row>
    <row r="55" customFormat="false" ht="16.5" hidden="false" customHeight="false" outlineLevel="0" collapsed="false">
      <c r="R55" s="36"/>
      <c r="S55" s="31"/>
      <c r="T55" s="55"/>
      <c r="U55" s="56"/>
    </row>
    <row r="56" customFormat="false" ht="16.5" hidden="false" customHeight="false" outlineLevel="0" collapsed="false">
      <c r="R56" s="36"/>
      <c r="S56" s="31"/>
      <c r="T56" s="55"/>
      <c r="U56" s="56"/>
    </row>
    <row r="57" customFormat="false" ht="16.5" hidden="false" customHeight="false" outlineLevel="0" collapsed="false">
      <c r="R57" s="36"/>
      <c r="S57" s="31"/>
      <c r="T57" s="55"/>
      <c r="U57" s="56"/>
    </row>
    <row r="58" customFormat="false" ht="16.5" hidden="false" customHeight="false" outlineLevel="0" collapsed="false">
      <c r="R58" s="36"/>
      <c r="S58" s="31"/>
      <c r="T58" s="55"/>
      <c r="U58" s="56"/>
    </row>
    <row r="59" customFormat="false" ht="16.5" hidden="false" customHeight="false" outlineLevel="0" collapsed="false">
      <c r="R59" s="36"/>
      <c r="S59" s="31"/>
      <c r="T59" s="31"/>
      <c r="U59" s="39"/>
      <c r="AC59" s="57"/>
    </row>
    <row r="60" customFormat="false" ht="16.5" hidden="false" customHeight="false" outlineLevel="0" collapsed="false">
      <c r="R60" s="36"/>
      <c r="S60" s="31"/>
      <c r="T60" s="31"/>
      <c r="U60" s="39"/>
      <c r="AC60" s="57"/>
    </row>
    <row r="61" customFormat="false" ht="16.5" hidden="false" customHeight="false" outlineLevel="0" collapsed="false">
      <c r="R61" s="36"/>
      <c r="S61" s="31"/>
      <c r="T61" s="31"/>
      <c r="U61" s="39"/>
      <c r="AC61" s="57"/>
    </row>
    <row r="62" customFormat="false" ht="16.5" hidden="false" customHeight="false" outlineLevel="0" collapsed="false">
      <c r="R62" s="36"/>
      <c r="S62" s="31"/>
      <c r="T62" s="31"/>
      <c r="U62" s="39"/>
      <c r="AC62" s="57"/>
    </row>
    <row r="63" customFormat="false" ht="16.5" hidden="false" customHeight="false" outlineLevel="0" collapsed="false">
      <c r="R63" s="36"/>
      <c r="S63" s="31"/>
      <c r="T63" s="31"/>
      <c r="U63" s="39"/>
      <c r="AC63" s="57"/>
    </row>
    <row r="64" customFormat="false" ht="16.5" hidden="false" customHeight="false" outlineLevel="0" collapsed="false">
      <c r="R64" s="36"/>
      <c r="S64" s="31"/>
      <c r="T64" s="31"/>
      <c r="U64" s="39"/>
      <c r="AC64" s="57"/>
    </row>
    <row r="65" customFormat="false" ht="16.5" hidden="false" customHeight="false" outlineLevel="0" collapsed="false">
      <c r="R65" s="36"/>
      <c r="S65" s="31"/>
      <c r="T65" s="31"/>
      <c r="U65" s="39"/>
      <c r="AC65" s="57"/>
    </row>
    <row r="66" customFormat="false" ht="16.5" hidden="false" customHeight="false" outlineLevel="0" collapsed="false">
      <c r="R66" s="36"/>
      <c r="S66" s="31"/>
      <c r="T66" s="31"/>
      <c r="U66" s="39"/>
      <c r="AC66" s="57"/>
    </row>
    <row r="67" customFormat="false" ht="16.5" hidden="false" customHeight="false" outlineLevel="0" collapsed="false">
      <c r="R67" s="36"/>
      <c r="S67" s="31"/>
      <c r="T67" s="31"/>
      <c r="U67" s="39"/>
      <c r="AC67" s="57"/>
    </row>
    <row r="68" customFormat="false" ht="16.5" hidden="false" customHeight="false" outlineLevel="0" collapsed="false">
      <c r="R68" s="36"/>
      <c r="S68" s="31"/>
      <c r="T68" s="31"/>
      <c r="U68" s="39"/>
      <c r="AC68" s="57"/>
    </row>
    <row r="69" customFormat="false" ht="15" hidden="false" customHeight="true" outlineLevel="0" collapsed="false">
      <c r="R69" s="36"/>
      <c r="S69" s="31"/>
      <c r="T69" s="31"/>
      <c r="U69" s="39"/>
      <c r="AC69" s="57"/>
    </row>
    <row r="70" customFormat="false" ht="15" hidden="false" customHeight="true" outlineLevel="0" collapsed="false">
      <c r="R70" s="36"/>
      <c r="S70" s="31"/>
      <c r="T70" s="31"/>
      <c r="U70" s="39"/>
      <c r="AC70" s="57"/>
    </row>
    <row r="71" customFormat="false" ht="16.5" hidden="false" customHeight="false" outlineLevel="0" collapsed="false">
      <c r="R71" s="36"/>
      <c r="S71" s="31"/>
      <c r="T71" s="31"/>
      <c r="U71" s="39"/>
      <c r="AC71" s="57"/>
    </row>
    <row r="72" customFormat="false" ht="16.5" hidden="false" customHeight="false" outlineLevel="0" collapsed="false">
      <c r="R72" s="36"/>
      <c r="S72" s="31"/>
      <c r="T72" s="31"/>
      <c r="U72" s="39"/>
      <c r="AC72" s="57"/>
    </row>
    <row r="73" customFormat="false" ht="16.5" hidden="false" customHeight="false" outlineLevel="0" collapsed="false">
      <c r="R73" s="36"/>
      <c r="S73" s="31"/>
      <c r="T73" s="31"/>
      <c r="U73" s="39"/>
      <c r="AC73" s="57"/>
    </row>
    <row r="74" customFormat="false" ht="16.5" hidden="false" customHeight="false" outlineLevel="0" collapsed="false">
      <c r="R74" s="36"/>
      <c r="S74" s="31"/>
      <c r="T74" s="31"/>
      <c r="U74" s="39"/>
      <c r="AC74" s="57"/>
    </row>
    <row r="75" customFormat="false" ht="16.5" hidden="false" customHeight="false" outlineLevel="0" collapsed="false">
      <c r="R75" s="36"/>
      <c r="S75" s="31"/>
      <c r="T75" s="31"/>
      <c r="U75" s="39"/>
      <c r="AC75" s="57"/>
    </row>
    <row r="76" customFormat="false" ht="16.5" hidden="false" customHeight="false" outlineLevel="0" collapsed="false">
      <c r="R76" s="36"/>
      <c r="S76" s="31"/>
      <c r="T76" s="31"/>
      <c r="U76" s="39"/>
      <c r="AC76" s="57"/>
    </row>
    <row r="77" customFormat="false" ht="16.5" hidden="false" customHeight="false" outlineLevel="0" collapsed="false">
      <c r="R77" s="36"/>
      <c r="S77" s="31"/>
      <c r="T77" s="31"/>
      <c r="U77" s="39"/>
      <c r="AC77" s="57"/>
    </row>
    <row r="78" customFormat="false" ht="16.5" hidden="false" customHeight="false" outlineLevel="0" collapsed="false">
      <c r="R78" s="36"/>
      <c r="S78" s="31"/>
      <c r="T78" s="31"/>
      <c r="U78" s="39"/>
      <c r="AC78" s="57"/>
    </row>
    <row r="79" customFormat="false" ht="16.5" hidden="false" customHeight="false" outlineLevel="0" collapsed="false">
      <c r="R79" s="36"/>
      <c r="S79" s="31"/>
      <c r="T79" s="31"/>
      <c r="U79" s="39"/>
      <c r="AC79" s="57"/>
    </row>
    <row r="80" customFormat="false" ht="16.5" hidden="false" customHeight="false" outlineLevel="0" collapsed="false">
      <c r="R80" s="36"/>
      <c r="S80" s="31"/>
      <c r="T80" s="31"/>
      <c r="U80" s="39"/>
      <c r="AC80" s="57"/>
    </row>
    <row r="81" customFormat="false" ht="16.5" hidden="false" customHeight="false" outlineLevel="0" collapsed="false">
      <c r="R81" s="36"/>
      <c r="S81" s="31"/>
      <c r="T81" s="31"/>
      <c r="U81" s="39"/>
      <c r="AC81" s="57"/>
    </row>
    <row r="82" customFormat="false" ht="16.5" hidden="false" customHeight="false" outlineLevel="0" collapsed="false">
      <c r="R82" s="36"/>
      <c r="S82" s="31"/>
      <c r="T82" s="31"/>
      <c r="U82" s="39"/>
      <c r="AC82" s="57"/>
    </row>
    <row r="83" customFormat="false" ht="16.5" hidden="false" customHeight="false" outlineLevel="0" collapsed="false">
      <c r="R83" s="36"/>
      <c r="S83" s="31"/>
      <c r="T83" s="31"/>
      <c r="U83" s="39"/>
      <c r="AC83" s="57"/>
    </row>
    <row r="84" customFormat="false" ht="16.5" hidden="false" customHeight="false" outlineLevel="0" collapsed="false">
      <c r="R84" s="36"/>
      <c r="S84" s="31"/>
      <c r="T84" s="31"/>
      <c r="U84" s="39"/>
      <c r="AC84" s="57"/>
    </row>
    <row r="85" customFormat="false" ht="16.5" hidden="false" customHeight="false" outlineLevel="0" collapsed="false">
      <c r="R85" s="36"/>
      <c r="S85" s="31"/>
      <c r="T85" s="31"/>
      <c r="U85" s="39"/>
      <c r="AC85" s="57"/>
    </row>
    <row r="86" customFormat="false" ht="16.5" hidden="false" customHeight="false" outlineLevel="0" collapsed="false">
      <c r="R86" s="36"/>
      <c r="S86" s="31"/>
      <c r="T86" s="31"/>
      <c r="U86" s="39"/>
      <c r="AC86" s="57"/>
    </row>
    <row r="87" customFormat="false" ht="16.5" hidden="false" customHeight="false" outlineLevel="0" collapsed="false">
      <c r="R87" s="36"/>
      <c r="S87" s="31"/>
      <c r="T87" s="31"/>
      <c r="U87" s="39"/>
      <c r="AC87" s="57"/>
    </row>
    <row r="88" customFormat="false" ht="16.5" hidden="false" customHeight="false" outlineLevel="0" collapsed="false">
      <c r="R88" s="36"/>
      <c r="S88" s="31"/>
      <c r="T88" s="31"/>
      <c r="U88" s="39"/>
      <c r="AC88" s="57"/>
    </row>
    <row r="89" customFormat="false" ht="16.5" hidden="false" customHeight="false" outlineLevel="0" collapsed="false">
      <c r="R89" s="36"/>
      <c r="S89" s="31"/>
      <c r="T89" s="31"/>
      <c r="U89" s="39"/>
      <c r="AC89" s="57"/>
    </row>
    <row r="90" customFormat="false" ht="16.5" hidden="false" customHeight="false" outlineLevel="0" collapsed="false">
      <c r="R90" s="36"/>
      <c r="S90" s="31"/>
      <c r="T90" s="31"/>
      <c r="U90" s="39"/>
      <c r="AC90" s="57"/>
    </row>
    <row r="91" customFormat="false" ht="16.5" hidden="false" customHeight="false" outlineLevel="0" collapsed="false">
      <c r="R91" s="36"/>
      <c r="S91" s="31"/>
      <c r="T91" s="31"/>
      <c r="U91" s="39"/>
      <c r="AC91" s="57"/>
    </row>
    <row r="92" customFormat="false" ht="16.5" hidden="false" customHeight="false" outlineLevel="0" collapsed="false">
      <c r="R92" s="36"/>
      <c r="S92" s="31"/>
      <c r="T92" s="31"/>
      <c r="U92" s="39"/>
      <c r="AC92" s="57"/>
    </row>
    <row r="93" customFormat="false" ht="16.5" hidden="false" customHeight="false" outlineLevel="0" collapsed="false">
      <c r="R93" s="36"/>
      <c r="S93" s="31"/>
      <c r="T93" s="31"/>
      <c r="U93" s="39"/>
      <c r="AC93" s="57"/>
    </row>
    <row r="94" customFormat="false" ht="16.5" hidden="false" customHeight="false" outlineLevel="0" collapsed="false">
      <c r="R94" s="36"/>
      <c r="S94" s="31"/>
      <c r="T94" s="31"/>
      <c r="U94" s="39"/>
      <c r="AC94" s="57"/>
    </row>
    <row r="95" customFormat="false" ht="16.5" hidden="false" customHeight="false" outlineLevel="0" collapsed="false">
      <c r="Q95" s="57"/>
      <c r="R95" s="36"/>
      <c r="S95" s="31"/>
      <c r="T95" s="31"/>
      <c r="U95" s="39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7"/>
      <c r="DL95" s="57"/>
      <c r="DM95" s="57"/>
      <c r="DN95" s="57"/>
      <c r="DO95" s="57"/>
      <c r="DP95" s="57"/>
      <c r="DQ95" s="57"/>
      <c r="DR95" s="57"/>
      <c r="DS95" s="57"/>
      <c r="DT95" s="57"/>
      <c r="DU95" s="57"/>
      <c r="DV95" s="57"/>
      <c r="DW95" s="57"/>
      <c r="DX95" s="57"/>
      <c r="DY95" s="57"/>
      <c r="DZ95" s="57"/>
      <c r="EA95" s="57"/>
      <c r="EB95" s="57"/>
      <c r="EC95" s="57"/>
      <c r="ED95" s="57"/>
      <c r="EE95" s="57"/>
      <c r="EF95" s="57"/>
      <c r="EG95" s="57"/>
      <c r="EH95" s="57"/>
      <c r="EI95" s="57"/>
      <c r="EJ95" s="57"/>
      <c r="EK95" s="57"/>
      <c r="EL95" s="57"/>
      <c r="EM95" s="57"/>
      <c r="EN95" s="57"/>
      <c r="EO95" s="57"/>
      <c r="EP95" s="57"/>
      <c r="EQ95" s="57"/>
      <c r="ER95" s="57"/>
      <c r="ES95" s="57"/>
      <c r="ET95" s="57"/>
      <c r="EU95" s="57"/>
      <c r="EV95" s="57"/>
      <c r="EW95" s="57"/>
      <c r="EX95" s="57"/>
      <c r="EY95" s="57"/>
      <c r="EZ95" s="57"/>
      <c r="FA95" s="57"/>
      <c r="FB95" s="57"/>
      <c r="FC95" s="57"/>
      <c r="FD95" s="57"/>
      <c r="FE95" s="57"/>
      <c r="FF95" s="57"/>
      <c r="FG95" s="57"/>
      <c r="FH95" s="57"/>
      <c r="FI95" s="57"/>
      <c r="FJ95" s="57"/>
      <c r="FK95" s="57"/>
      <c r="FL95" s="57"/>
      <c r="FM95" s="57"/>
      <c r="FN95" s="57"/>
      <c r="FO95" s="57"/>
      <c r="FP95" s="57"/>
      <c r="FQ95" s="57"/>
      <c r="FR95" s="57"/>
      <c r="FS95" s="57"/>
      <c r="FT95" s="57"/>
      <c r="FU95" s="57"/>
      <c r="FV95" s="57"/>
      <c r="FW95" s="57"/>
      <c r="FX95" s="57"/>
      <c r="FY95" s="57"/>
      <c r="FZ95" s="57"/>
      <c r="GA95" s="57"/>
      <c r="GB95" s="57"/>
      <c r="GC95" s="57"/>
      <c r="GD95" s="57"/>
      <c r="GE95" s="57"/>
      <c r="GF95" s="57"/>
      <c r="GG95" s="57"/>
      <c r="GH95" s="57"/>
      <c r="GI95" s="57"/>
      <c r="GJ95" s="57"/>
      <c r="GK95" s="57"/>
      <c r="GL95" s="57"/>
      <c r="GM95" s="57"/>
      <c r="GN95" s="57"/>
      <c r="GO95" s="57"/>
      <c r="GP95" s="57"/>
      <c r="GQ95" s="57"/>
      <c r="GR95" s="57"/>
      <c r="GS95" s="57"/>
      <c r="GT95" s="57"/>
      <c r="GU95" s="57"/>
      <c r="GV95" s="57"/>
      <c r="GW95" s="57"/>
      <c r="GX95" s="57"/>
      <c r="GY95" s="57"/>
      <c r="GZ95" s="57"/>
      <c r="HA95" s="57"/>
      <c r="HB95" s="57"/>
      <c r="HC95" s="57"/>
      <c r="HD95" s="57"/>
      <c r="HE95" s="57"/>
      <c r="HF95" s="57"/>
      <c r="HG95" s="57"/>
      <c r="HH95" s="57"/>
      <c r="HI95" s="57"/>
      <c r="HJ95" s="57"/>
      <c r="HK95" s="57"/>
      <c r="HL95" s="57"/>
      <c r="HM95" s="57"/>
      <c r="HN95" s="57"/>
      <c r="HO95" s="57"/>
      <c r="HP95" s="57"/>
      <c r="HQ95" s="57"/>
      <c r="HR95" s="57"/>
      <c r="HS95" s="57"/>
      <c r="HT95" s="57"/>
      <c r="HU95" s="57"/>
      <c r="HV95" s="57"/>
      <c r="HW95" s="57"/>
      <c r="HX95" s="57"/>
      <c r="HY95" s="57"/>
      <c r="HZ95" s="57"/>
      <c r="IA95" s="57"/>
      <c r="IB95" s="57"/>
      <c r="IC95" s="57"/>
      <c r="ID95" s="57"/>
      <c r="IE95" s="57"/>
      <c r="IF95" s="57"/>
      <c r="IG95" s="57"/>
      <c r="IH95" s="57"/>
      <c r="II95" s="57"/>
      <c r="IJ95" s="57"/>
      <c r="IK95" s="57"/>
      <c r="IL95" s="57"/>
      <c r="IM95" s="57"/>
      <c r="IN95" s="57"/>
      <c r="IO95" s="57"/>
      <c r="IP95" s="57"/>
      <c r="IQ95" s="57"/>
      <c r="IR95" s="57"/>
      <c r="IS95" s="57"/>
      <c r="IT95" s="57"/>
      <c r="IU95" s="57"/>
      <c r="IV95" s="57"/>
      <c r="IW95" s="57"/>
    </row>
    <row r="96" customFormat="false" ht="16.5" hidden="false" customHeight="false" outlineLevel="0" collapsed="false">
      <c r="R96" s="36"/>
      <c r="S96" s="31"/>
      <c r="T96" s="31"/>
      <c r="U96" s="39"/>
      <c r="AC96" s="57"/>
    </row>
    <row r="97" customFormat="false" ht="16.5" hidden="false" customHeight="false" outlineLevel="0" collapsed="false">
      <c r="Q97" s="57"/>
      <c r="R97" s="36"/>
      <c r="S97" s="31"/>
      <c r="T97" s="31"/>
      <c r="U97" s="39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57"/>
      <c r="DX97" s="57"/>
      <c r="DY97" s="57"/>
      <c r="DZ97" s="57"/>
      <c r="EA97" s="57"/>
      <c r="EB97" s="57"/>
      <c r="EC97" s="57"/>
      <c r="ED97" s="57"/>
      <c r="EE97" s="57"/>
      <c r="EF97" s="57"/>
      <c r="EG97" s="57"/>
      <c r="EH97" s="57"/>
      <c r="EI97" s="57"/>
      <c r="EJ97" s="57"/>
      <c r="EK97" s="57"/>
      <c r="EL97" s="57"/>
      <c r="EM97" s="57"/>
      <c r="EN97" s="57"/>
      <c r="EO97" s="57"/>
      <c r="EP97" s="57"/>
      <c r="EQ97" s="57"/>
      <c r="ER97" s="57"/>
      <c r="ES97" s="57"/>
      <c r="ET97" s="57"/>
      <c r="EU97" s="57"/>
      <c r="EV97" s="57"/>
      <c r="EW97" s="57"/>
      <c r="EX97" s="57"/>
      <c r="EY97" s="57"/>
      <c r="EZ97" s="57"/>
      <c r="FA97" s="57"/>
      <c r="FB97" s="57"/>
      <c r="FC97" s="57"/>
      <c r="FD97" s="57"/>
      <c r="FE97" s="57"/>
      <c r="FF97" s="57"/>
      <c r="FG97" s="57"/>
      <c r="FH97" s="57"/>
      <c r="FI97" s="57"/>
      <c r="FJ97" s="57"/>
      <c r="FK97" s="57"/>
      <c r="FL97" s="57"/>
      <c r="FM97" s="57"/>
      <c r="FN97" s="57"/>
      <c r="FO97" s="57"/>
      <c r="FP97" s="57"/>
      <c r="FQ97" s="57"/>
      <c r="FR97" s="57"/>
      <c r="FS97" s="57"/>
      <c r="FT97" s="57"/>
      <c r="FU97" s="57"/>
      <c r="FV97" s="57"/>
      <c r="FW97" s="57"/>
      <c r="FX97" s="57"/>
      <c r="FY97" s="57"/>
      <c r="FZ97" s="57"/>
      <c r="GA97" s="57"/>
      <c r="GB97" s="57"/>
      <c r="GC97" s="57"/>
      <c r="GD97" s="57"/>
      <c r="GE97" s="57"/>
      <c r="GF97" s="57"/>
      <c r="GG97" s="57"/>
      <c r="GH97" s="57"/>
      <c r="GI97" s="57"/>
      <c r="GJ97" s="57"/>
      <c r="GK97" s="57"/>
      <c r="GL97" s="57"/>
      <c r="GM97" s="57"/>
      <c r="GN97" s="57"/>
      <c r="GO97" s="57"/>
      <c r="GP97" s="57"/>
      <c r="GQ97" s="57"/>
      <c r="GR97" s="57"/>
      <c r="GS97" s="57"/>
      <c r="GT97" s="57"/>
      <c r="GU97" s="57"/>
      <c r="GV97" s="57"/>
      <c r="GW97" s="57"/>
      <c r="GX97" s="57"/>
      <c r="GY97" s="57"/>
      <c r="GZ97" s="57"/>
      <c r="HA97" s="57"/>
      <c r="HB97" s="57"/>
      <c r="HC97" s="57"/>
      <c r="HD97" s="57"/>
      <c r="HE97" s="57"/>
      <c r="HF97" s="57"/>
      <c r="HG97" s="57"/>
      <c r="HH97" s="57"/>
      <c r="HI97" s="57"/>
      <c r="HJ97" s="57"/>
      <c r="HK97" s="57"/>
      <c r="HL97" s="57"/>
      <c r="HM97" s="57"/>
      <c r="HN97" s="57"/>
      <c r="HO97" s="57"/>
      <c r="HP97" s="57"/>
      <c r="HQ97" s="57"/>
      <c r="HR97" s="57"/>
      <c r="HS97" s="57"/>
      <c r="HT97" s="57"/>
      <c r="HU97" s="57"/>
      <c r="HV97" s="57"/>
      <c r="HW97" s="57"/>
      <c r="HX97" s="57"/>
      <c r="HY97" s="57"/>
      <c r="HZ97" s="57"/>
      <c r="IA97" s="57"/>
      <c r="IB97" s="57"/>
      <c r="IC97" s="57"/>
      <c r="ID97" s="57"/>
      <c r="IE97" s="57"/>
      <c r="IF97" s="57"/>
      <c r="IG97" s="57"/>
      <c r="IH97" s="57"/>
      <c r="II97" s="57"/>
      <c r="IJ97" s="57"/>
      <c r="IK97" s="57"/>
      <c r="IL97" s="57"/>
      <c r="IM97" s="57"/>
      <c r="IN97" s="57"/>
      <c r="IO97" s="57"/>
      <c r="IP97" s="57"/>
      <c r="IQ97" s="57"/>
      <c r="IR97" s="57"/>
      <c r="IS97" s="57"/>
      <c r="IT97" s="57"/>
      <c r="IU97" s="57"/>
      <c r="IV97" s="57"/>
      <c r="IW97" s="57"/>
    </row>
    <row r="98" customFormat="false" ht="16.5" hidden="false" customHeight="false" outlineLevel="0" collapsed="false">
      <c r="R98" s="36"/>
      <c r="S98" s="31"/>
      <c r="T98" s="31"/>
      <c r="U98" s="39"/>
    </row>
    <row r="99" customFormat="false" ht="16.5" hidden="false" customHeight="false" outlineLevel="0" collapsed="false">
      <c r="R99" s="36"/>
      <c r="S99" s="31"/>
      <c r="T99" s="31"/>
      <c r="U99" s="39"/>
    </row>
    <row r="100" customFormat="false" ht="16.5" hidden="false" customHeight="false" outlineLevel="0" collapsed="false">
      <c r="R100" s="36"/>
      <c r="S100" s="31"/>
      <c r="T100" s="31"/>
      <c r="U100" s="39"/>
    </row>
    <row r="101" customFormat="false" ht="16.5" hidden="false" customHeight="false" outlineLevel="0" collapsed="false">
      <c r="R101" s="36"/>
      <c r="S101" s="31"/>
      <c r="T101" s="31"/>
      <c r="U101" s="39"/>
    </row>
    <row r="102" customFormat="false" ht="16.5" hidden="false" customHeight="false" outlineLevel="0" collapsed="false">
      <c r="R102" s="36"/>
      <c r="S102" s="31"/>
      <c r="T102" s="31"/>
      <c r="U102" s="39"/>
    </row>
    <row r="103" customFormat="false" ht="16.5" hidden="false" customHeight="false" outlineLevel="0" collapsed="false">
      <c r="R103" s="36"/>
      <c r="S103" s="31"/>
      <c r="T103" s="31"/>
      <c r="U103" s="39"/>
    </row>
    <row r="104" customFormat="false" ht="16.5" hidden="false" customHeight="false" outlineLevel="0" collapsed="false">
      <c r="R104" s="36"/>
      <c r="S104" s="31"/>
      <c r="T104" s="31"/>
      <c r="U104" s="39"/>
    </row>
    <row r="105" customFormat="false" ht="16.5" hidden="false" customHeight="false" outlineLevel="0" collapsed="false">
      <c r="R105" s="36"/>
      <c r="S105" s="31"/>
      <c r="T105" s="31"/>
      <c r="U105" s="39"/>
    </row>
    <row r="106" customFormat="false" ht="16.5" hidden="false" customHeight="false" outlineLevel="0" collapsed="false">
      <c r="R106" s="36"/>
      <c r="S106" s="31"/>
      <c r="T106" s="31"/>
      <c r="U106" s="39"/>
    </row>
    <row r="107" customFormat="false" ht="16.5" hidden="false" customHeight="false" outlineLevel="0" collapsed="false">
      <c r="R107" s="36"/>
      <c r="S107" s="31"/>
      <c r="T107" s="31"/>
      <c r="U107" s="39"/>
    </row>
    <row r="108" customFormat="false" ht="16.5" hidden="false" customHeight="false" outlineLevel="0" collapsed="false">
      <c r="R108" s="36"/>
      <c r="S108" s="31"/>
      <c r="T108" s="31"/>
      <c r="U108" s="39"/>
    </row>
    <row r="109" customFormat="false" ht="16.5" hidden="false" customHeight="false" outlineLevel="0" collapsed="false">
      <c r="R109" s="36"/>
      <c r="S109" s="31"/>
      <c r="T109" s="31"/>
      <c r="U109" s="39"/>
    </row>
    <row r="110" customFormat="false" ht="16.5" hidden="false" customHeight="false" outlineLevel="0" collapsed="false">
      <c r="R110" s="36"/>
      <c r="S110" s="31"/>
      <c r="T110" s="31"/>
      <c r="U110" s="39"/>
    </row>
    <row r="111" customFormat="false" ht="16.5" hidden="false" customHeight="false" outlineLevel="0" collapsed="false">
      <c r="R111" s="36"/>
      <c r="S111" s="31"/>
      <c r="T111" s="31"/>
      <c r="U111" s="39"/>
    </row>
    <row r="112" customFormat="false" ht="16.5" hidden="false" customHeight="false" outlineLevel="0" collapsed="false">
      <c r="R112" s="36"/>
      <c r="S112" s="31"/>
      <c r="T112" s="31"/>
      <c r="U112" s="39"/>
    </row>
    <row r="113" customFormat="false" ht="16.5" hidden="false" customHeight="false" outlineLevel="0" collapsed="false">
      <c r="R113" s="36"/>
      <c r="S113" s="31"/>
      <c r="T113" s="31"/>
      <c r="U113" s="39"/>
    </row>
    <row r="114" customFormat="false" ht="16.5" hidden="false" customHeight="false" outlineLevel="0" collapsed="false">
      <c r="R114" s="36"/>
      <c r="S114" s="31"/>
      <c r="T114" s="31"/>
      <c r="U114" s="39"/>
    </row>
    <row r="115" customFormat="false" ht="16.5" hidden="false" customHeight="false" outlineLevel="0" collapsed="false">
      <c r="R115" s="36"/>
      <c r="S115" s="31"/>
      <c r="T115" s="31"/>
      <c r="U115" s="39"/>
    </row>
    <row r="116" customFormat="false" ht="16.5" hidden="false" customHeight="false" outlineLevel="0" collapsed="false">
      <c r="R116" s="36"/>
      <c r="S116" s="31"/>
      <c r="T116" s="31"/>
      <c r="U116" s="39"/>
    </row>
    <row r="117" customFormat="false" ht="16.5" hidden="false" customHeight="false" outlineLevel="0" collapsed="false">
      <c r="R117" s="36"/>
      <c r="S117" s="31"/>
      <c r="T117" s="31"/>
      <c r="U117" s="39"/>
    </row>
    <row r="118" customFormat="false" ht="16.5" hidden="false" customHeight="false" outlineLevel="0" collapsed="false">
      <c r="R118" s="36"/>
      <c r="S118" s="31"/>
      <c r="T118" s="31"/>
      <c r="U118" s="39"/>
    </row>
    <row r="119" customFormat="false" ht="16.5" hidden="false" customHeight="false" outlineLevel="0" collapsed="false">
      <c r="R119" s="36"/>
      <c r="S119" s="31"/>
      <c r="T119" s="31"/>
      <c r="U119" s="39"/>
    </row>
    <row r="120" customFormat="false" ht="16.5" hidden="false" customHeight="false" outlineLevel="0" collapsed="false">
      <c r="R120" s="36"/>
      <c r="S120" s="31"/>
      <c r="T120" s="31"/>
      <c r="U120" s="39"/>
    </row>
    <row r="121" customFormat="false" ht="16.5" hidden="false" customHeight="false" outlineLevel="0" collapsed="false">
      <c r="R121" s="36"/>
      <c r="S121" s="31"/>
      <c r="T121" s="31"/>
      <c r="U121" s="39"/>
    </row>
    <row r="122" customFormat="false" ht="16.5" hidden="false" customHeight="false" outlineLevel="0" collapsed="false">
      <c r="R122" s="36"/>
      <c r="S122" s="31"/>
      <c r="T122" s="31"/>
      <c r="U122" s="39"/>
    </row>
    <row r="123" customFormat="false" ht="16.5" hidden="false" customHeight="false" outlineLevel="0" collapsed="false">
      <c r="R123" s="36"/>
      <c r="S123" s="31"/>
      <c r="T123" s="31"/>
      <c r="U123" s="39"/>
    </row>
    <row r="124" customFormat="false" ht="16.5" hidden="false" customHeight="false" outlineLevel="0" collapsed="false">
      <c r="R124" s="36"/>
      <c r="S124" s="31"/>
      <c r="T124" s="31"/>
      <c r="U124" s="39"/>
    </row>
    <row r="125" customFormat="false" ht="16.5" hidden="false" customHeight="false" outlineLevel="0" collapsed="false">
      <c r="R125" s="36"/>
      <c r="S125" s="31"/>
      <c r="T125" s="31"/>
      <c r="U125" s="39"/>
    </row>
    <row r="126" customFormat="false" ht="16.5" hidden="false" customHeight="false" outlineLevel="0" collapsed="false">
      <c r="R126" s="36"/>
      <c r="S126" s="31"/>
      <c r="T126" s="31"/>
      <c r="U126" s="39"/>
    </row>
    <row r="127" customFormat="false" ht="16.5" hidden="false" customHeight="false" outlineLevel="0" collapsed="false">
      <c r="R127" s="36"/>
      <c r="S127" s="31"/>
      <c r="T127" s="31"/>
      <c r="U127" s="39"/>
    </row>
    <row r="128" customFormat="false" ht="16.5" hidden="false" customHeight="false" outlineLevel="0" collapsed="false">
      <c r="R128" s="36"/>
      <c r="S128" s="31"/>
      <c r="T128" s="31"/>
      <c r="U128" s="39"/>
    </row>
    <row r="129" customFormat="false" ht="16.5" hidden="false" customHeight="false" outlineLevel="0" collapsed="false">
      <c r="R129" s="36"/>
      <c r="S129" s="31"/>
      <c r="T129" s="31"/>
      <c r="U129" s="39"/>
    </row>
    <row r="130" customFormat="false" ht="16.5" hidden="false" customHeight="false" outlineLevel="0" collapsed="false">
      <c r="R130" s="36"/>
      <c r="S130" s="31"/>
      <c r="T130" s="31"/>
      <c r="U130" s="39"/>
    </row>
    <row r="131" customFormat="false" ht="16.5" hidden="false" customHeight="false" outlineLevel="0" collapsed="false">
      <c r="R131" s="36"/>
      <c r="S131" s="31"/>
      <c r="T131" s="31"/>
      <c r="U131" s="39"/>
    </row>
    <row r="132" customFormat="false" ht="16.5" hidden="false" customHeight="false" outlineLevel="0" collapsed="false">
      <c r="R132" s="36"/>
      <c r="S132" s="31"/>
      <c r="T132" s="31"/>
      <c r="U132" s="39"/>
    </row>
    <row r="133" customFormat="false" ht="16.5" hidden="false" customHeight="false" outlineLevel="0" collapsed="false">
      <c r="R133" s="36"/>
      <c r="S133" s="31"/>
      <c r="T133" s="31"/>
      <c r="U133" s="39"/>
    </row>
    <row r="134" customFormat="false" ht="16.5" hidden="false" customHeight="false" outlineLevel="0" collapsed="false">
      <c r="R134" s="36"/>
      <c r="S134" s="31"/>
      <c r="T134" s="31"/>
      <c r="U134" s="39"/>
    </row>
    <row r="135" customFormat="false" ht="16.5" hidden="false" customHeight="false" outlineLevel="0" collapsed="false">
      <c r="R135" s="36"/>
      <c r="S135" s="31"/>
      <c r="T135" s="31"/>
      <c r="U135" s="39"/>
    </row>
    <row r="136" customFormat="false" ht="16.5" hidden="false" customHeight="false" outlineLevel="0" collapsed="false">
      <c r="R136" s="36"/>
      <c r="S136" s="31"/>
      <c r="T136" s="31"/>
      <c r="U136" s="39"/>
    </row>
    <row r="137" customFormat="false" ht="16.5" hidden="false" customHeight="false" outlineLevel="0" collapsed="false">
      <c r="R137" s="36"/>
      <c r="S137" s="31"/>
      <c r="T137" s="31"/>
      <c r="U137" s="39"/>
    </row>
    <row r="138" customFormat="false" ht="16.5" hidden="false" customHeight="false" outlineLevel="0" collapsed="false">
      <c r="R138" s="36"/>
      <c r="S138" s="31"/>
      <c r="T138" s="31"/>
      <c r="U138" s="39"/>
    </row>
    <row r="139" customFormat="false" ht="16.5" hidden="false" customHeight="false" outlineLevel="0" collapsed="false">
      <c r="R139" s="36"/>
      <c r="S139" s="31"/>
      <c r="T139" s="31"/>
      <c r="U139" s="39"/>
    </row>
    <row r="140" customFormat="false" ht="16.5" hidden="false" customHeight="false" outlineLevel="0" collapsed="false">
      <c r="R140" s="36"/>
      <c r="S140" s="31"/>
      <c r="T140" s="31"/>
      <c r="U140" s="39"/>
    </row>
    <row r="141" customFormat="false" ht="16.5" hidden="false" customHeight="false" outlineLevel="0" collapsed="false">
      <c r="R141" s="36"/>
      <c r="S141" s="31"/>
      <c r="T141" s="31"/>
      <c r="U141" s="39"/>
    </row>
    <row r="142" customFormat="false" ht="16.5" hidden="false" customHeight="false" outlineLevel="0" collapsed="false">
      <c r="R142" s="36"/>
      <c r="S142" s="31"/>
      <c r="T142" s="31"/>
      <c r="U142" s="39"/>
    </row>
    <row r="143" customFormat="false" ht="16.5" hidden="false" customHeight="false" outlineLevel="0" collapsed="false">
      <c r="R143" s="36"/>
      <c r="S143" s="31"/>
      <c r="T143" s="31"/>
      <c r="U143" s="39"/>
    </row>
    <row r="144" customFormat="false" ht="16.5" hidden="false" customHeight="false" outlineLevel="0" collapsed="false">
      <c r="R144" s="36"/>
      <c r="S144" s="31"/>
      <c r="T144" s="31"/>
      <c r="U144" s="39"/>
    </row>
    <row r="145" customFormat="false" ht="16.5" hidden="false" customHeight="false" outlineLevel="0" collapsed="false">
      <c r="R145" s="36"/>
      <c r="S145" s="31"/>
      <c r="T145" s="31"/>
      <c r="U145" s="39"/>
    </row>
    <row r="146" customFormat="false" ht="16.5" hidden="false" customHeight="false" outlineLevel="0" collapsed="false">
      <c r="R146" s="36"/>
      <c r="S146" s="31"/>
      <c r="T146" s="31"/>
      <c r="U146" s="39"/>
    </row>
    <row r="147" customFormat="false" ht="16.5" hidden="false" customHeight="false" outlineLevel="0" collapsed="false">
      <c r="R147" s="36"/>
      <c r="S147" s="31"/>
      <c r="T147" s="31"/>
      <c r="U147" s="39"/>
    </row>
    <row r="148" customFormat="false" ht="16.5" hidden="false" customHeight="false" outlineLevel="0" collapsed="false">
      <c r="R148" s="36"/>
      <c r="S148" s="31"/>
      <c r="T148" s="31"/>
      <c r="U148" s="39"/>
    </row>
    <row r="149" customFormat="false" ht="16.5" hidden="false" customHeight="false" outlineLevel="0" collapsed="false">
      <c r="R149" s="36"/>
      <c r="S149" s="31"/>
      <c r="T149" s="31"/>
      <c r="U149" s="39"/>
    </row>
    <row r="150" customFormat="false" ht="16.5" hidden="false" customHeight="false" outlineLevel="0" collapsed="false">
      <c r="R150" s="36"/>
      <c r="S150" s="31"/>
      <c r="T150" s="31"/>
      <c r="U150" s="39"/>
    </row>
    <row r="151" customFormat="false" ht="16.5" hidden="false" customHeight="false" outlineLevel="0" collapsed="false">
      <c r="R151" s="36"/>
      <c r="S151" s="31"/>
      <c r="T151" s="31"/>
      <c r="U151" s="39"/>
    </row>
    <row r="152" customFormat="false" ht="16.5" hidden="false" customHeight="false" outlineLevel="0" collapsed="false">
      <c r="R152" s="36"/>
      <c r="S152" s="31"/>
      <c r="T152" s="31"/>
      <c r="U152" s="39"/>
    </row>
    <row r="153" customFormat="false" ht="16.5" hidden="false" customHeight="false" outlineLevel="0" collapsed="false">
      <c r="R153" s="36"/>
      <c r="S153" s="31"/>
      <c r="T153" s="31"/>
      <c r="U153" s="39"/>
    </row>
    <row r="154" customFormat="false" ht="16.5" hidden="false" customHeight="false" outlineLevel="0" collapsed="false">
      <c r="R154" s="36"/>
      <c r="S154" s="31"/>
      <c r="T154" s="31"/>
      <c r="U154" s="39"/>
    </row>
    <row r="155" customFormat="false" ht="16.5" hidden="false" customHeight="false" outlineLevel="0" collapsed="false">
      <c r="R155" s="36"/>
      <c r="S155" s="31"/>
      <c r="T155" s="31"/>
      <c r="U155" s="39"/>
    </row>
    <row r="156" customFormat="false" ht="16.5" hidden="false" customHeight="false" outlineLevel="0" collapsed="false">
      <c r="R156" s="36"/>
      <c r="S156" s="31"/>
      <c r="T156" s="31"/>
      <c r="U156" s="39"/>
    </row>
    <row r="157" customFormat="false" ht="16.5" hidden="false" customHeight="false" outlineLevel="0" collapsed="false">
      <c r="R157" s="36"/>
      <c r="S157" s="31"/>
      <c r="T157" s="31"/>
      <c r="U157" s="39"/>
    </row>
    <row r="158" customFormat="false" ht="16.5" hidden="false" customHeight="false" outlineLevel="0" collapsed="false">
      <c r="R158" s="36"/>
      <c r="S158" s="31"/>
      <c r="T158" s="31"/>
      <c r="U158" s="39"/>
    </row>
    <row r="159" customFormat="false" ht="16.5" hidden="false" customHeight="false" outlineLevel="0" collapsed="false">
      <c r="R159" s="36"/>
      <c r="S159" s="31"/>
      <c r="T159" s="31"/>
      <c r="U159" s="39"/>
    </row>
    <row r="160" customFormat="false" ht="16.5" hidden="false" customHeight="false" outlineLevel="0" collapsed="false">
      <c r="R160" s="36"/>
      <c r="S160" s="31"/>
      <c r="T160" s="31"/>
      <c r="U160" s="39"/>
    </row>
    <row r="161" customFormat="false" ht="16.5" hidden="false" customHeight="false" outlineLevel="0" collapsed="false">
      <c r="R161" s="36"/>
      <c r="S161" s="31"/>
      <c r="T161" s="31"/>
      <c r="U161" s="39"/>
    </row>
    <row r="162" customFormat="false" ht="16.5" hidden="false" customHeight="false" outlineLevel="0" collapsed="false">
      <c r="R162" s="36"/>
      <c r="S162" s="31"/>
      <c r="T162" s="31"/>
      <c r="U162" s="39"/>
    </row>
    <row r="163" customFormat="false" ht="16.5" hidden="false" customHeight="false" outlineLevel="0" collapsed="false">
      <c r="R163" s="36"/>
      <c r="S163" s="31"/>
      <c r="T163" s="31"/>
      <c r="U163" s="39"/>
    </row>
    <row r="164" customFormat="false" ht="16.5" hidden="false" customHeight="false" outlineLevel="0" collapsed="false">
      <c r="R164" s="36"/>
      <c r="S164" s="31"/>
      <c r="T164" s="31"/>
      <c r="U164" s="39"/>
    </row>
    <row r="165" customFormat="false" ht="16.5" hidden="false" customHeight="false" outlineLevel="0" collapsed="false">
      <c r="R165" s="36"/>
      <c r="S165" s="31"/>
      <c r="T165" s="31"/>
      <c r="U165" s="39"/>
    </row>
    <row r="166" customFormat="false" ht="16.5" hidden="false" customHeight="false" outlineLevel="0" collapsed="false">
      <c r="R166" s="36"/>
      <c r="S166" s="31"/>
      <c r="T166" s="31"/>
      <c r="U166" s="39"/>
    </row>
    <row r="167" customFormat="false" ht="16.5" hidden="false" customHeight="false" outlineLevel="0" collapsed="false">
      <c r="R167" s="36"/>
      <c r="S167" s="31"/>
      <c r="T167" s="31"/>
      <c r="U167" s="39"/>
    </row>
    <row r="168" customFormat="false" ht="16.5" hidden="false" customHeight="false" outlineLevel="0" collapsed="false">
      <c r="R168" s="36"/>
      <c r="S168" s="31"/>
      <c r="T168" s="31"/>
      <c r="U168" s="39"/>
    </row>
    <row r="169" customFormat="false" ht="16.5" hidden="false" customHeight="false" outlineLevel="0" collapsed="false">
      <c r="R169" s="36"/>
      <c r="S169" s="31"/>
      <c r="T169" s="31"/>
      <c r="U169" s="39"/>
    </row>
    <row r="170" customFormat="false" ht="16.5" hidden="false" customHeight="false" outlineLevel="0" collapsed="false">
      <c r="R170" s="36"/>
      <c r="S170" s="31"/>
      <c r="T170" s="31"/>
      <c r="U170" s="39"/>
    </row>
    <row r="171" customFormat="false" ht="16.5" hidden="false" customHeight="false" outlineLevel="0" collapsed="false">
      <c r="R171" s="36"/>
      <c r="S171" s="31"/>
      <c r="T171" s="31"/>
      <c r="U171" s="39"/>
    </row>
    <row r="172" customFormat="false" ht="16.5" hidden="false" customHeight="false" outlineLevel="0" collapsed="false">
      <c r="R172" s="36"/>
      <c r="S172" s="31"/>
      <c r="T172" s="31"/>
      <c r="U172" s="39"/>
    </row>
    <row r="173" customFormat="false" ht="16.5" hidden="false" customHeight="false" outlineLevel="0" collapsed="false">
      <c r="R173" s="36"/>
      <c r="S173" s="31"/>
      <c r="T173" s="31"/>
      <c r="U173" s="31"/>
    </row>
    <row r="174" customFormat="false" ht="16.5" hidden="false" customHeight="false" outlineLevel="0" collapsed="false">
      <c r="R174" s="36"/>
      <c r="S174" s="31"/>
      <c r="T174" s="31"/>
      <c r="U174" s="31"/>
    </row>
    <row r="175" customFormat="false" ht="16.5" hidden="false" customHeight="false" outlineLevel="0" collapsed="false">
      <c r="R175" s="59"/>
      <c r="S175" s="31"/>
      <c r="T175" s="31"/>
      <c r="U175" s="31"/>
    </row>
    <row r="176" customFormat="false" ht="16.5" hidden="false" customHeight="false" outlineLevel="0" collapsed="false">
      <c r="R176" s="59"/>
      <c r="S176" s="31"/>
      <c r="T176" s="31"/>
      <c r="U176" s="31"/>
    </row>
    <row r="177" customFormat="false" ht="16.5" hidden="false" customHeight="false" outlineLevel="0" collapsed="false">
      <c r="R177" s="59"/>
      <c r="S177" s="31"/>
      <c r="T177" s="31"/>
      <c r="U177" s="31"/>
    </row>
    <row r="178" customFormat="false" ht="16.5" hidden="false" customHeight="false" outlineLevel="0" collapsed="false">
      <c r="R178" s="59"/>
      <c r="S178" s="31"/>
      <c r="T178" s="31"/>
      <c r="U178" s="31"/>
    </row>
    <row r="179" customFormat="false" ht="16.5" hidden="false" customHeight="false" outlineLevel="0" collapsed="false">
      <c r="R179" s="59"/>
      <c r="S179" s="31"/>
      <c r="T179" s="31"/>
      <c r="U179" s="31"/>
    </row>
    <row r="180" customFormat="false" ht="16.5" hidden="false" customHeight="false" outlineLevel="0" collapsed="false">
      <c r="R180" s="59"/>
      <c r="S180" s="31"/>
      <c r="T180" s="31"/>
      <c r="U180" s="31"/>
    </row>
    <row r="181" customFormat="false" ht="16.5" hidden="false" customHeight="false" outlineLevel="0" collapsed="false">
      <c r="R181" s="59"/>
      <c r="S181" s="31"/>
      <c r="T181" s="31"/>
      <c r="U181" s="31"/>
    </row>
    <row r="182" customFormat="false" ht="16.5" hidden="false" customHeight="false" outlineLevel="0" collapsed="false">
      <c r="R182" s="59"/>
      <c r="S182" s="31"/>
      <c r="T182" s="31"/>
      <c r="U182" s="31"/>
    </row>
    <row r="183" customFormat="false" ht="16.5" hidden="false" customHeight="false" outlineLevel="0" collapsed="false">
      <c r="R183" s="60"/>
    </row>
    <row r="184" customFormat="false" ht="16.5" hidden="false" customHeight="false" outlineLevel="0" collapsed="false">
      <c r="R184" s="60"/>
    </row>
    <row r="185" customFormat="false" ht="16.5" hidden="false" customHeight="false" outlineLevel="0" collapsed="false">
      <c r="R185" s="60"/>
    </row>
    <row r="186" customFormat="false" ht="16.5" hidden="false" customHeight="false" outlineLevel="0" collapsed="false">
      <c r="R186" s="60"/>
    </row>
    <row r="187" customFormat="false" ht="16.5" hidden="false" customHeight="false" outlineLevel="0" collapsed="false">
      <c r="R187" s="60"/>
    </row>
    <row r="188" customFormat="false" ht="16.5" hidden="false" customHeight="false" outlineLevel="0" collapsed="false">
      <c r="R188" s="60"/>
    </row>
    <row r="189" customFormat="false" ht="16.5" hidden="false" customHeight="false" outlineLevel="0" collapsed="false">
      <c r="R189" s="60"/>
    </row>
    <row r="190" customFormat="false" ht="16.5" hidden="false" customHeight="false" outlineLevel="0" collapsed="false">
      <c r="R190" s="60"/>
    </row>
    <row r="191" customFormat="false" ht="16.5" hidden="false" customHeight="false" outlineLevel="0" collapsed="false">
      <c r="R191" s="60"/>
    </row>
  </sheetData>
  <conditionalFormatting sqref="A6:J36">
    <cfRule type="expression" priority="2" aboveAverage="0" equalAverage="0" bottom="0" percent="0" rank="0" text="" dxfId="0">
      <formula>OR(PROPER(TEXT($B6,"dddd"))=PROPER(TEXT("04/04/2026", "dddd")),PROPER(TEXT($B6,"dddd"))=PROPER(TEXT("05/04/2026", "dddd")),ISNUMBER(FIND("FESTIVO",$J6)))</formula>
    </cfRule>
  </conditionalFormatting>
  <conditionalFormatting sqref="A6:I36">
    <cfRule type="expression" priority="3" aboveAverage="0" equalAverage="0" bottom="0" percent="0" rank="0" text="" dxfId="1">
      <formula>ISNUMBER(FIND("FESTIVO",$J6))</formula>
    </cfRule>
  </conditionalFormatting>
  <printOptions headings="false" gridLines="false" gridLinesSet="true" horizontalCentered="true" verticalCentered="false"/>
  <pageMargins left="0.669444444444445" right="0.669444444444445" top="0.865972222222222" bottom="0.227083333333333" header="0.196527777777778" footer="0.511811023622047"/>
  <pageSetup paperSize="9" scale="61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&amp;C&amp;"Aptos,Regular"&amp;16GERENCIA DE OPERACIÓN Y MANTENIMIENTO
&amp;12SUPERINTENDENCIA DE OPERACIÓN Y MANTENIMIENTO ZONA 1
Reporte Horas Extraordinarias 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LibreOffice/26.2.1.2$Linux_X86_64 LibreOffice_project/5937a82db3889b586a62e0a27a0d74b840403d7c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1999-03-18T09:31:00Z</dcterms:created>
  <dc:creator>Planificación</dc:creator>
  <dc:description/>
  <dc:language>es-EC</dc:language>
  <cp:lastModifiedBy>Ernesto Palacios</cp:lastModifiedBy>
  <cp:lastPrinted>2026-04-23T11:19:00Z</cp:lastPrinted>
  <dcterms:modified xsi:type="dcterms:W3CDTF">2026-04-28T11:15:26Z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