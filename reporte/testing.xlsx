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visar_primero" sheetId="1" state="visible" r:id="rId1"/>
    <sheet name="HORAS_EXTRA" sheetId="2" state="visible" r:id="rId2"/>
    <sheet name="EP" sheetId="3" state="visible" r:id="rId3"/>
    <sheet name="FR" sheetId="4" state="visible" r:id="rId4"/>
    <sheet name="RS" sheetId="5" state="visible" r:id="rId5"/>
    <sheet name="VZH" sheetId="6" state="visible" r:id="rId6"/>
    <sheet name="LL" sheetId="7" state="visible" r:id="rId7"/>
    <sheet name="JCR" sheetId="8" state="visible" r:id="rId8"/>
    <sheet name="NL" sheetId="9" state="visible" r:id="rId9"/>
    <sheet name="NR" sheetId="10" state="visible" r:id="rId10"/>
    <sheet name="WC" sheetId="11" state="visible" r:id="rId11"/>
    <sheet name="AO" sheetId="12" state="visible" r:id="rId12"/>
    <sheet name="LP" sheetId="13" state="visible" r:id="rId13"/>
    <sheet name="SB" sheetId="14" state="visible" r:id="rId14"/>
    <sheet name="GLE" sheetId="15" state="visible" r:id="rId15"/>
    <sheet name="DG" sheetId="16" state="visible" r:id="rId16"/>
    <sheet name="MS" sheetId="17" state="visible" r:id="rId17"/>
    <sheet name="JJ" sheetId="18" state="visible" r:id="rId18"/>
    <sheet name="CQ" sheetId="19" state="visible" r:id="rId19"/>
    <sheet name="JL" sheetId="20" state="visible" r:id="rId20"/>
    <sheet name="HM" sheetId="21" state="visible" r:id="rId21"/>
    <sheet name="AD" sheetId="22" state="visible" r:id="rId22"/>
    <sheet name="GJ" sheetId="23" state="visible" r:id="rId23"/>
    <sheet name="SO" sheetId="24" state="visible" r:id="rId24"/>
    <sheet name="FA" sheetId="25" state="visible" r:id="rId25"/>
    <sheet name="AS" sheetId="26" state="visible" r:id="rId26"/>
    <sheet name="GC" sheetId="27" state="visible" r:id="rId27"/>
    <sheet name="MA" sheetId="28" state="visible" r:id="rId28"/>
  </sheets>
  <definedNames>
    <definedName name="AREA" hidden="0" function="0" vbProcedure="0">NA()</definedName>
    <definedName name="AREA_2000" hidden="0" function="0" vbProcedure="0">NA()</definedName>
    <definedName name="LISTAMAT" hidden="0" function="0" vbProcedure="0">NA()</definedName>
    <definedName name="Listamateriales" hidden="0" function="0" vbProcedure="0">NA()</definedName>
    <definedName name="_Fill" hidden="0" function="0" vbProcedure="0">NA()</definedName>
    <definedName name="_Key1" hidden="0" function="0" vbProcedure="0">NA()</definedName>
    <definedName name="_Order1" hidden="0" function="0" vbProcedure="0">255</definedName>
    <definedName name="_Sort" hidden="0" function="0" vbProcedure="0">NA()</definedName>
    <definedName name="_xlfn_IFERROR" hidden="0" function="0" vbProcedure="0">#ref!</definedName>
    <definedName name="_xlfn__FV" hidden="0" function="0" vbProcedure="0">#ref!</definedName>
    <definedName name="Imprimir_títulos_IM" localSheetId="1" hidden="0" function="0" vbProcedure="0">NA()</definedName>
    <definedName name="Imprimir_área_IM" localSheetId="1" hidden="0" function="0" vbProcedure="0">NA()</definedName>
    <definedName name="_Regression_Int" localSheetId="1" hidden="0" function="0" vbProcedure="0">1</definedName>
    <definedName name="_xlnm.Print_Area" localSheetId="1">'HORAS_EXTRA'!$A$1:$J$36</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dddd&quot;,  &quot;dd&quot; de &quot;mmmm&quot; de &quot;yyyy"/>
    <numFmt numFmtId="165" formatCode="dd/mm/yy"/>
    <numFmt numFmtId="166" formatCode="[$-C0A]d/mmm\ yyyy;@"/>
    <numFmt numFmtId="167" formatCode="h:mm;@"/>
    <numFmt numFmtId="168" formatCode="0.000"/>
    <numFmt numFmtId="169" formatCode="0\ %"/>
  </numFmts>
  <fonts count="24">
    <font>
      <name val="Courier New"/>
      <charset val="134"/>
      <family val="0"/>
      <sz val="12"/>
    </font>
    <font>
      <name val="Arial"/>
      <family val="0"/>
      <sz val="10"/>
    </font>
    <font>
      <name val="Arial"/>
      <family val="0"/>
      <sz val="10"/>
    </font>
    <font>
      <name val="Arial"/>
      <family val="0"/>
      <sz val="10"/>
    </font>
    <font>
      <name val="Courier New"/>
      <charset val="134"/>
      <family val="0"/>
      <color rgb="FF000000"/>
      <sz val="1"/>
    </font>
    <font>
      <name val="Courier New"/>
      <charset val="134"/>
      <family val="0"/>
      <i val="1"/>
      <color rgb="FF000000"/>
      <sz val="1"/>
    </font>
    <font>
      <name val="Arial"/>
      <charset val="134"/>
      <family val="0"/>
      <sz val="10"/>
    </font>
    <font>
      <name val="Arial"/>
      <charset val="1"/>
      <family val="0"/>
      <sz val="10"/>
    </font>
    <font>
      <name val="Arial"/>
      <charset val="1"/>
      <family val="0"/>
      <b val="1"/>
      <sz val="10"/>
    </font>
    <font>
      <name val="Arial"/>
      <charset val="1"/>
      <family val="0"/>
      <b val="1"/>
      <sz val="14"/>
    </font>
    <font>
      <name val="Arial"/>
      <charset val="1"/>
      <family val="0"/>
      <sz val="12"/>
    </font>
    <font>
      <name val="Arial"/>
      <charset val="1"/>
      <family val="0"/>
      <sz val="14"/>
    </font>
    <font>
      <name val="Arial"/>
      <charset val="1"/>
      <family val="0"/>
      <color rgb="FFFFFFFF"/>
      <sz val="10"/>
    </font>
    <font>
      <name val="Aptos Display"/>
      <charset val="134"/>
      <family val="0"/>
      <b val="1"/>
      <color rgb="FF000000"/>
      <sz val="12"/>
    </font>
    <font>
      <name val="Aptos Display"/>
      <charset val="134"/>
      <family val="0"/>
      <sz val="12"/>
    </font>
    <font>
      <name val="Aptos Display"/>
      <charset val="134"/>
      <family val="0"/>
      <b val="1"/>
      <sz val="18"/>
    </font>
    <font>
      <name val="Aptos Display"/>
      <charset val="134"/>
      <family val="0"/>
      <b val="1"/>
      <color rgb="FF000000"/>
      <sz val="18"/>
    </font>
    <font>
      <name val="Aptos Display"/>
      <charset val="134"/>
      <family val="0"/>
      <b val="1"/>
      <sz val="12"/>
    </font>
    <font>
      <name val="Aptos Display"/>
      <charset val="134"/>
      <family val="0"/>
      <b val="1"/>
      <sz val="21"/>
    </font>
    <font>
      <name val="Aptos Display"/>
      <charset val="134"/>
      <family val="0"/>
      <color rgb="FF000000"/>
      <sz val="12"/>
    </font>
    <font>
      <name val="Times New Roman"/>
      <charset val="134"/>
      <family val="0"/>
      <b val="1"/>
      <sz val="21"/>
    </font>
    <font>
      <name val="Arial"/>
      <charset val="134"/>
      <family val="0"/>
      <b val="1"/>
      <sz val="10"/>
    </font>
    <font>
      <name val="Aptos Display"/>
      <charset val="134"/>
      <family val="0"/>
      <sz val="10"/>
    </font>
    <font>
      <name val="Aptos Display"/>
      <charset val="134"/>
      <family val="0"/>
      <b val="1"/>
      <sz val="10"/>
    </font>
  </fonts>
  <fills count="12">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FF99"/>
        <bgColor rgb="FFFFFFCC"/>
      </patternFill>
    </fill>
    <fill>
      <patternFill patternType="solid">
        <fgColor rgb="FFCCFFCC"/>
        <bgColor rgb="FFCCFFFF"/>
      </patternFill>
    </fill>
    <fill>
      <patternFill patternType="solid">
        <fgColor rgb="FF99CCFF"/>
        <bgColor rgb="FFCCCCFF"/>
      </patternFill>
    </fill>
    <fill>
      <patternFill patternType="solid">
        <fgColor rgb="FF333399"/>
        <bgColor rgb="FF003366"/>
      </patternFill>
    </fill>
    <fill>
      <patternFill patternType="solid">
        <fgColor rgb="FFFF8080"/>
        <bgColor rgb="FFFF99CC"/>
      </patternFill>
    </fill>
    <fill>
      <patternFill patternType="solid">
        <fgColor rgb="FFFF0000"/>
        <bgColor rgb="FF993300"/>
      </patternFill>
    </fill>
    <fill>
      <patternFill patternType="solid">
        <fgColor rgb="FFFFFFFF"/>
        <bgColor rgb="FFFFFFCC"/>
      </patternFill>
    </fill>
    <fill>
      <patternFill patternType="solid">
        <fgColor rgb="FF666699"/>
        <bgColor rgb="FF808080"/>
      </patternFill>
    </fill>
  </fills>
  <borders count="5">
    <border>
      <left/>
      <right/>
      <top/>
      <bottom/>
      <diagonal/>
    </border>
    <border>
      <left/>
      <right style="hair"/>
      <top/>
      <bottom/>
      <diagonal/>
    </border>
    <border>
      <left/>
      <right style="thin">
        <color rgb="FF0066CC"/>
      </right>
      <top/>
      <bottom/>
      <diagonal/>
    </border>
    <border>
      <left style="thin">
        <color rgb="FF0066CC"/>
      </left>
      <right/>
      <top style="thin">
        <color rgb="FF0066CC"/>
      </top>
      <bottom/>
      <diagonal/>
    </border>
    <border>
      <left style="thin">
        <color rgb="FF0066CC"/>
      </left>
      <right/>
      <top/>
      <bottom/>
      <diagonal/>
    </border>
  </borders>
  <cellStyleXfs count="14">
    <xf numFmtId="0" fontId="0" fillId="0" borderId="0" applyAlignment="1">
      <alignment horizontal="general" vertical="bottom"/>
    </xf>
    <xf numFmtId="43" fontId="3" fillId="0" borderId="0"/>
    <xf numFmtId="41" fontId="3" fillId="0" borderId="0"/>
    <xf numFmtId="44" fontId="3" fillId="0" borderId="0"/>
    <xf numFmtId="42" fontId="3" fillId="0" borderId="0"/>
    <xf numFmtId="169" fontId="0" fillId="0" borderId="0" applyAlignment="1">
      <alignment horizontal="general" vertical="bottom"/>
    </xf>
    <xf numFmtId="0" fontId="4"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5"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5" fillId="0" borderId="0" applyAlignment="1" applyProtection="1">
      <alignment horizontal="general" vertical="bottom"/>
      <protection locked="0" hidden="0"/>
    </xf>
    <xf numFmtId="0" fontId="6" fillId="0" borderId="0" applyAlignment="1">
      <alignment horizontal="general" vertical="bottom"/>
    </xf>
  </cellStyleXfs>
  <cellXfs count="119">
    <xf numFmtId="0" fontId="0"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0" borderId="0" applyAlignment="1" pivotButton="0" quotePrefix="0" xfId="0">
      <alignment horizontal="left" vertical="bottom"/>
    </xf>
    <xf numFmtId="165" fontId="7" fillId="0" borderId="0" applyAlignment="1" pivotButton="0" quotePrefix="0" xfId="0">
      <alignment horizontal="general" vertical="bottom"/>
    </xf>
    <xf numFmtId="0" fontId="9" fillId="0"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applyAlignment="1" pivotButton="0" quotePrefix="0" xfId="0">
      <alignment horizontal="center" vertical="center"/>
    </xf>
    <xf numFmtId="0" fontId="8" fillId="2" borderId="0" applyAlignment="1" pivotButton="0" quotePrefix="0" xfId="0">
      <alignment horizontal="left" vertical="bottom"/>
    </xf>
    <xf numFmtId="165" fontId="7" fillId="3" borderId="0" applyAlignment="1" pivotButton="0" quotePrefix="0" xfId="0">
      <alignment horizontal="general" vertical="bottom"/>
    </xf>
    <xf numFmtId="165" fontId="7" fillId="4" borderId="0" applyAlignment="1" pivotButton="0" quotePrefix="0" xfId="0">
      <alignment horizontal="general" vertical="bottom"/>
    </xf>
    <xf numFmtId="165" fontId="7" fillId="5" borderId="0" applyAlignment="1" pivotButton="0" quotePrefix="0" xfId="0">
      <alignment horizontal="general" vertical="bottom"/>
    </xf>
    <xf numFmtId="165" fontId="7" fillId="6" borderId="0" applyAlignment="1" pivotButton="0" quotePrefix="0" xfId="0">
      <alignment horizontal="general" vertical="bottom"/>
    </xf>
    <xf numFmtId="0" fontId="7" fillId="7" borderId="0" applyAlignment="1" pivotButton="0" quotePrefix="0" xfId="0">
      <alignment horizontal="general" vertical="bottom"/>
    </xf>
    <xf numFmtId="165" fontId="7" fillId="8" borderId="0" applyAlignment="1" pivotButton="0" quotePrefix="0" xfId="0">
      <alignment horizontal="general" vertical="bottom"/>
    </xf>
    <xf numFmtId="165" fontId="12" fillId="9"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6" fillId="0" borderId="0" applyAlignment="1" pivotButton="0" quotePrefix="0" xfId="0">
      <alignment horizontal="general" vertical="bottom"/>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4" fillId="0" borderId="0" applyAlignment="1" pivotButton="0" quotePrefix="0" xfId="0">
      <alignment horizontal="general" vertical="center"/>
    </xf>
    <xf numFmtId="0" fontId="14" fillId="0" borderId="0" applyAlignment="1" pivotButton="0" quotePrefix="0" xfId="0">
      <alignment horizontal="right" vertical="center"/>
    </xf>
    <xf numFmtId="2" fontId="15" fillId="0" borderId="0" applyAlignment="1" pivotButton="0" quotePrefix="0" xfId="0">
      <alignment horizontal="center" vertical="bottom"/>
    </xf>
    <xf numFmtId="0" fontId="16" fillId="0" borderId="0" applyAlignment="1" pivotButton="0" quotePrefix="0" xfId="0">
      <alignment horizontal="left" vertical="bottom"/>
    </xf>
    <xf numFmtId="0" fontId="17" fillId="0" borderId="0" applyAlignment="1" applyProtection="1" pivotButton="0" quotePrefix="0" xfId="0">
      <alignment horizontal="general" vertical="center"/>
      <protection locked="1" hidden="1"/>
    </xf>
    <xf numFmtId="0" fontId="18" fillId="0" borderId="0" applyAlignment="1" pivotButton="0" quotePrefix="0" xfId="0">
      <alignment horizontal="general" vertical="bottom"/>
    </xf>
    <xf numFmtId="2" fontId="0" fillId="0" borderId="0" applyAlignment="1" pivotButton="0" quotePrefix="0" xfId="0">
      <alignment horizontal="center" vertical="bottom"/>
    </xf>
    <xf numFmtId="0" fontId="19" fillId="0" borderId="0" applyAlignment="1" pivotButton="0" quotePrefix="0" xfId="0">
      <alignment horizontal="left" vertical="center"/>
    </xf>
    <xf numFmtId="0" fontId="20" fillId="0" borderId="0" applyAlignment="1" pivotButton="0" quotePrefix="0" xfId="0">
      <alignment horizontal="general" vertical="bottom"/>
    </xf>
    <xf numFmtId="0" fontId="21" fillId="10" borderId="0" applyAlignment="1" pivotButton="0" quotePrefix="0" xfId="0">
      <alignment horizontal="left" vertical="bottom"/>
    </xf>
    <xf numFmtId="0" fontId="6" fillId="10" borderId="0" applyAlignment="1" pivotButton="0" quotePrefix="0" xfId="0">
      <alignment horizontal="general" vertical="bottom"/>
    </xf>
    <xf numFmtId="0" fontId="17" fillId="0" borderId="0" applyAlignment="1" applyProtection="1" pivotButton="0" quotePrefix="0" xfId="0">
      <alignment horizontal="left" vertical="center"/>
      <protection locked="1" hidden="1"/>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13" fillId="0" borderId="0" applyAlignment="1" pivotButton="0" quotePrefix="0" xfId="0">
      <alignment horizontal="right" vertical="center" indent="1"/>
    </xf>
    <xf numFmtId="4" fontId="6" fillId="1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1" applyAlignment="1" pivotButton="0" quotePrefix="0" xfId="0">
      <alignment horizontal="general" vertical="top" wrapText="1"/>
    </xf>
    <xf numFmtId="0" fontId="6" fillId="10" borderId="0" applyAlignment="1" pivotButton="0" quotePrefix="0" xfId="19">
      <alignment horizontal="general" vertical="bottom"/>
    </xf>
    <xf numFmtId="0" fontId="17" fillId="11" borderId="0" applyAlignment="1" pivotButton="0" quotePrefix="0" xfId="0">
      <alignment horizontal="center" vertical="bottom"/>
    </xf>
    <xf numFmtId="0" fontId="17" fillId="11" borderId="2" applyAlignment="1" pivotButton="0" quotePrefix="0" xfId="0">
      <alignment horizontal="center" vertical="bottom"/>
    </xf>
    <xf numFmtId="0" fontId="17" fillId="0" borderId="0" applyAlignment="1" pivotButton="0" quotePrefix="0" xfId="0">
      <alignment horizontal="center" vertical="bottom"/>
    </xf>
    <xf numFmtId="0" fontId="23" fillId="0" borderId="0" applyAlignment="1" pivotButton="0" quotePrefix="0" xfId="0">
      <alignment horizontal="center" vertical="bottom"/>
    </xf>
    <xf numFmtId="4" fontId="23" fillId="10" borderId="0" applyAlignment="1" pivotButton="0" quotePrefix="0" xfId="0">
      <alignment horizontal="center" vertical="bottom"/>
    </xf>
    <xf numFmtId="0" fontId="23" fillId="10" borderId="0" applyAlignment="1" pivotButton="0" quotePrefix="0" xfId="0">
      <alignment horizontal="center" vertical="bottom"/>
    </xf>
    <xf numFmtId="0" fontId="23" fillId="10" borderId="0" applyAlignment="1" pivotButton="0" quotePrefix="0" xfId="19">
      <alignment horizontal="center" vertical="bottom"/>
    </xf>
    <xf numFmtId="0" fontId="14" fillId="0" borderId="0" applyAlignment="1" pivotButton="0" quotePrefix="0" xfId="0">
      <alignment horizontal="right" vertical="center"/>
    </xf>
    <xf numFmtId="166" fontId="14" fillId="0" borderId="2" applyAlignment="1" pivotButton="0" quotePrefix="0" xfId="0">
      <alignment horizontal="right" vertical="center"/>
    </xf>
    <xf numFmtId="167" fontId="14" fillId="0" borderId="0" applyAlignment="1" pivotButton="0" quotePrefix="0" xfId="0">
      <alignment horizontal="center" vertical="center"/>
    </xf>
    <xf numFmtId="167" fontId="14" fillId="0" borderId="2" applyAlignment="1" pivotButton="0" quotePrefix="0" xfId="0">
      <alignment horizontal="center" vertical="center"/>
    </xf>
    <xf numFmtId="0" fontId="14" fillId="0" borderId="3" applyAlignment="1" pivotButton="0" quotePrefix="0" xfId="0">
      <alignment horizontal="left" vertical="center" wrapText="1"/>
    </xf>
    <xf numFmtId="0" fontId="14" fillId="0" borderId="4" applyAlignment="1" pivotButton="0" quotePrefix="0" xfId="0">
      <alignment horizontal="left" vertical="center" wrapText="1"/>
    </xf>
    <xf numFmtId="0" fontId="14" fillId="0" borderId="0" applyAlignment="1" pivotButton="0" quotePrefix="0" xfId="0">
      <alignment horizontal="center" vertical="center"/>
    </xf>
    <xf numFmtId="0" fontId="14" fillId="0" borderId="0" applyAlignment="1" pivotButton="0" quotePrefix="0" xfId="0">
      <alignment horizontal="center" vertical="bottom"/>
    </xf>
    <xf numFmtId="0" fontId="6" fillId="0" borderId="0" applyAlignment="1" pivotButton="0" quotePrefix="0" xfId="0">
      <alignment horizontal="general" vertical="bottom"/>
    </xf>
    <xf numFmtId="0" fontId="6" fillId="0" borderId="0" applyAlignment="1" pivotButton="0" quotePrefix="0" xfId="19">
      <alignment horizontal="general" vertical="bottom"/>
    </xf>
    <xf numFmtId="0" fontId="6" fillId="10" borderId="0" applyAlignment="1" pivotButton="0" quotePrefix="0" xfId="0">
      <alignment horizontal="general" vertical="bottom"/>
    </xf>
    <xf numFmtId="0" fontId="6" fillId="4" borderId="0" applyAlignment="1" pivotButton="0" quotePrefix="0" xfId="0">
      <alignment horizontal="general" vertical="bottom"/>
    </xf>
    <xf numFmtId="2" fontId="6" fillId="10" borderId="0" applyAlignment="1" pivotButton="0" quotePrefix="0" xfId="0">
      <alignment horizontal="general" vertical="bottom"/>
    </xf>
    <xf numFmtId="168" fontId="6"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0" borderId="0" applyAlignment="1" pivotButton="0" quotePrefix="0" xfId="0">
      <alignment horizontal="left" vertical="bottom"/>
    </xf>
    <xf numFmtId="165" fontId="7" fillId="0" borderId="0" applyAlignment="1" pivotButton="0" quotePrefix="0" xfId="0">
      <alignment horizontal="general" vertical="bottom"/>
    </xf>
    <xf numFmtId="0" fontId="0" fillId="0" borderId="0" pivotButton="0" quotePrefix="0" xfId="0"/>
    <xf numFmtId="0" fontId="9" fillId="0"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applyAlignment="1" pivotButton="0" quotePrefix="0" xfId="0">
      <alignment horizontal="center" vertical="center"/>
    </xf>
    <xf numFmtId="0" fontId="8" fillId="2" borderId="0" applyAlignment="1" pivotButton="0" quotePrefix="0" xfId="0">
      <alignment horizontal="left" vertical="bottom"/>
    </xf>
    <xf numFmtId="165" fontId="7" fillId="3" borderId="0" applyAlignment="1" pivotButton="0" quotePrefix="0" xfId="0">
      <alignment horizontal="general" vertical="bottom"/>
    </xf>
    <xf numFmtId="165" fontId="7" fillId="4" borderId="0" applyAlignment="1" pivotButton="0" quotePrefix="0" xfId="0">
      <alignment horizontal="general" vertical="bottom"/>
    </xf>
    <xf numFmtId="165" fontId="7" fillId="5" borderId="0" applyAlignment="1" pivotButton="0" quotePrefix="0" xfId="0">
      <alignment horizontal="general" vertical="bottom"/>
    </xf>
    <xf numFmtId="165" fontId="7" fillId="6" borderId="0" applyAlignment="1" pivotButton="0" quotePrefix="0" xfId="0">
      <alignment horizontal="general" vertical="bottom"/>
    </xf>
    <xf numFmtId="0" fontId="7" fillId="7" borderId="0" applyAlignment="1" pivotButton="0" quotePrefix="0" xfId="0">
      <alignment horizontal="general" vertical="bottom"/>
    </xf>
    <xf numFmtId="165" fontId="7" fillId="8" borderId="0" applyAlignment="1" pivotButton="0" quotePrefix="0" xfId="0">
      <alignment horizontal="general" vertical="bottom"/>
    </xf>
    <xf numFmtId="165" fontId="12" fillId="9"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6" fillId="0" borderId="0" applyAlignment="1" pivotButton="0" quotePrefix="0" xfId="0">
      <alignment horizontal="general" vertical="bottom"/>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4" fillId="0" borderId="0" applyAlignment="1" pivotButton="0" quotePrefix="0" xfId="0">
      <alignment horizontal="general" vertical="center"/>
    </xf>
    <xf numFmtId="0" fontId="14" fillId="0" borderId="0" applyAlignment="1" pivotButton="0" quotePrefix="0" xfId="0">
      <alignment horizontal="right" vertical="center"/>
    </xf>
    <xf numFmtId="2" fontId="15" fillId="0" borderId="0" applyAlignment="1" pivotButton="0" quotePrefix="0" xfId="0">
      <alignment horizontal="center" vertical="bottom"/>
    </xf>
    <xf numFmtId="0" fontId="16" fillId="0" borderId="0" applyAlignment="1" pivotButton="0" quotePrefix="0" xfId="0">
      <alignment horizontal="left" vertical="bottom"/>
    </xf>
    <xf numFmtId="0" fontId="17" fillId="0" borderId="0" applyAlignment="1" applyProtection="1" pivotButton="0" quotePrefix="0" xfId="0">
      <alignment horizontal="general" vertical="center"/>
      <protection locked="1" hidden="1"/>
    </xf>
    <xf numFmtId="0" fontId="18" fillId="0" borderId="0" applyAlignment="1" pivotButton="0" quotePrefix="0" xfId="0">
      <alignment horizontal="general" vertical="bottom"/>
    </xf>
    <xf numFmtId="2" fontId="0" fillId="0" borderId="0" applyAlignment="1" pivotButton="0" quotePrefix="0" xfId="0">
      <alignment horizontal="center" vertical="bottom"/>
    </xf>
    <xf numFmtId="0" fontId="19" fillId="0" borderId="0" applyAlignment="1" pivotButton="0" quotePrefix="0" xfId="0">
      <alignment horizontal="left" vertical="center"/>
    </xf>
    <xf numFmtId="0" fontId="20" fillId="0" borderId="0" applyAlignment="1" pivotButton="0" quotePrefix="0" xfId="0">
      <alignment horizontal="general" vertical="bottom"/>
    </xf>
    <xf numFmtId="0" fontId="21" fillId="10" borderId="0" applyAlignment="1" pivotButton="0" quotePrefix="0" xfId="0">
      <alignment horizontal="left" vertical="bottom"/>
    </xf>
    <xf numFmtId="0" fontId="6" fillId="10" borderId="0" applyAlignment="1" pivotButton="0" quotePrefix="0" xfId="0">
      <alignment horizontal="general" vertical="bottom"/>
    </xf>
    <xf numFmtId="0" fontId="17" fillId="0" borderId="0" applyAlignment="1" applyProtection="1" pivotButton="0" quotePrefix="0" xfId="0">
      <alignment horizontal="left" vertical="center"/>
      <protection locked="1" hidden="1"/>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13" fillId="0" borderId="0" applyAlignment="1" pivotButton="0" quotePrefix="0" xfId="0">
      <alignment horizontal="right" vertical="center" indent="1"/>
    </xf>
    <xf numFmtId="4" fontId="6" fillId="1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1" applyAlignment="1" pivotButton="0" quotePrefix="0" xfId="0">
      <alignment horizontal="general" vertical="top" wrapText="1"/>
    </xf>
    <xf numFmtId="0" fontId="6" fillId="10" borderId="0" applyAlignment="1" pivotButton="0" quotePrefix="0" xfId="19">
      <alignment horizontal="general" vertical="bottom"/>
    </xf>
    <xf numFmtId="0" fontId="17" fillId="11" borderId="0" applyAlignment="1" pivotButton="0" quotePrefix="0" xfId="0">
      <alignment horizontal="center" vertical="bottom"/>
    </xf>
    <xf numFmtId="0" fontId="17" fillId="11" borderId="2" applyAlignment="1" pivotButton="0" quotePrefix="0" xfId="0">
      <alignment horizontal="center" vertical="bottom"/>
    </xf>
    <xf numFmtId="0" fontId="17" fillId="0" borderId="0" applyAlignment="1" pivotButton="0" quotePrefix="0" xfId="0">
      <alignment horizontal="center" vertical="bottom"/>
    </xf>
    <xf numFmtId="0" fontId="23" fillId="0" borderId="0" applyAlignment="1" pivotButton="0" quotePrefix="0" xfId="0">
      <alignment horizontal="center" vertical="bottom"/>
    </xf>
    <xf numFmtId="4" fontId="23" fillId="10" borderId="0" applyAlignment="1" pivotButton="0" quotePrefix="0" xfId="0">
      <alignment horizontal="center" vertical="bottom"/>
    </xf>
    <xf numFmtId="0" fontId="23" fillId="10" borderId="0" applyAlignment="1" pivotButton="0" quotePrefix="0" xfId="0">
      <alignment horizontal="center" vertical="bottom"/>
    </xf>
    <xf numFmtId="0" fontId="23" fillId="10" borderId="0" applyAlignment="1" pivotButton="0" quotePrefix="0" xfId="19">
      <alignment horizontal="center" vertical="bottom"/>
    </xf>
    <xf numFmtId="166" fontId="14" fillId="0" borderId="2" applyAlignment="1" pivotButton="0" quotePrefix="0" xfId="0">
      <alignment horizontal="right" vertical="center"/>
    </xf>
    <xf numFmtId="167" fontId="14" fillId="0" borderId="0" applyAlignment="1" pivotButton="0" quotePrefix="0" xfId="0">
      <alignment horizontal="center" vertical="center"/>
    </xf>
    <xf numFmtId="167" fontId="14" fillId="0" borderId="2" applyAlignment="1" pivotButton="0" quotePrefix="0" xfId="0">
      <alignment horizontal="center" vertical="center"/>
    </xf>
    <xf numFmtId="0" fontId="14" fillId="0" borderId="3" applyAlignment="1" pivotButton="0" quotePrefix="0" xfId="0">
      <alignment horizontal="left" vertical="center" wrapText="1"/>
    </xf>
    <xf numFmtId="0" fontId="14" fillId="0" borderId="4" applyAlignment="1" pivotButton="0" quotePrefix="0" xfId="0">
      <alignment horizontal="left" vertical="center" wrapText="1"/>
    </xf>
    <xf numFmtId="0" fontId="14" fillId="0" borderId="0" applyAlignment="1" pivotButton="0" quotePrefix="0" xfId="0">
      <alignment horizontal="center" vertical="center"/>
    </xf>
    <xf numFmtId="0" fontId="14" fillId="0" borderId="0" applyAlignment="1" pivotButton="0" quotePrefix="0" xfId="0">
      <alignment horizontal="center" vertical="bottom"/>
    </xf>
    <xf numFmtId="0" fontId="6" fillId="0" borderId="0" applyAlignment="1" pivotButton="0" quotePrefix="0" xfId="19">
      <alignment horizontal="general" vertical="bottom"/>
    </xf>
    <xf numFmtId="0" fontId="6" fillId="4" borderId="0" applyAlignment="1" pivotButton="0" quotePrefix="0" xfId="0">
      <alignment horizontal="general" vertical="bottom"/>
    </xf>
    <xf numFmtId="2" fontId="6" fillId="10" borderId="0" applyAlignment="1" pivotButton="0" quotePrefix="0" xfId="0">
      <alignment horizontal="general" vertical="bottom"/>
    </xf>
    <xf numFmtId="168" fontId="6" fillId="0" borderId="0" applyAlignment="1" pivotButton="0" quotePrefix="0" xfId="0">
      <alignment horizontal="general" vertical="bottom"/>
    </xf>
  </cellXfs>
  <cellStyles count="14">
    <cellStyle name="Normal" xfId="0" builtinId="0"/>
    <cellStyle name="Comma" xfId="1" builtinId="3"/>
    <cellStyle name="Comma [0]" xfId="2" builtinId="6"/>
    <cellStyle name="Currency" xfId="3" builtinId="4"/>
    <cellStyle name="Currency [0]" xfId="4" builtinId="7"/>
    <cellStyle name="Percent" xfId="5" builtinId="5"/>
    <cellStyle name="F2" xfId="6"/>
    <cellStyle name="F3" xfId="7"/>
    <cellStyle name="F4" xfId="8"/>
    <cellStyle name="F5" xfId="9"/>
    <cellStyle name="F6" xfId="10"/>
    <cellStyle name="F7" xfId="11"/>
    <cellStyle name="F8" xfId="12"/>
    <cellStyle name="Normal 2" xfId="13"/>
  </cellStyles>
  <dxfs count="4">
    <dxf>
      <font>
        <name val="Courier New"/>
        <charset val="1"/>
        <family val="0"/>
        <color rgb="FFFFFFFF"/>
        <sz val="12"/>
      </font>
      <fill>
        <patternFill>
          <bgColor rgb="FFC0C0C0"/>
        </patternFill>
      </fill>
    </dxf>
    <dxf>
      <font>
        <name val="Courier New"/>
        <charset val="134"/>
        <family val="0"/>
        <b val="1"/>
        <sz val="12"/>
      </font>
    </dxf>
    <dxf>
      <font>
        <color rgb="00FFFFFF"/>
      </font>
      <fill>
        <patternFill>
          <bgColor rgb="007030A0"/>
        </patternFill>
      </fill>
    </dxf>
    <dxf>
      <font>
        <b val="1"/>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37"/>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E22" activeCellId="0" sqref="6:36"/>
    </sheetView>
  </sheetViews>
  <sheetFormatPr baseColWidth="8" defaultColWidth="10.91015625" defaultRowHeight="16.5" customHeight="0" zeroHeight="0" outlineLevelRow="0"/>
  <cols>
    <col width="33.55" customWidth="1" style="61" min="1" max="1"/>
    <col width="27.33" customWidth="1" style="62" min="2" max="2"/>
    <col width="22.33" customWidth="1" style="61" min="3" max="3"/>
    <col width="28.77" customWidth="1" style="63" min="4" max="4"/>
    <col width="12.33" customWidth="1" style="63" min="5" max="5"/>
    <col width="14.33" customWidth="1" style="64" min="6" max="6"/>
    <col width="14.56" customWidth="1" style="61" min="7" max="7"/>
    <col width="25.55" customWidth="1" style="63" min="8" max="8"/>
    <col width="12.33" customWidth="1" style="64" min="9" max="9"/>
    <col width="13.66" customWidth="1" style="61" min="10" max="10"/>
  </cols>
  <sheetData>
    <row r="1" ht="26.85" customHeight="1" s="65">
      <c r="A1" s="66" t="inlineStr">
        <is>
          <t>Aplica</t>
        </is>
      </c>
      <c r="B1" s="66" t="inlineStr">
        <is>
          <t>Fecha</t>
        </is>
      </c>
      <c r="C1" s="66" t="inlineStr">
        <is>
          <t>Etiqueta</t>
        </is>
      </c>
      <c r="D1" s="66" t="inlineStr">
        <is>
          <t>TurnoAP</t>
        </is>
      </c>
      <c r="E1" s="66" t="n"/>
      <c r="F1" s="67" t="inlineStr">
        <is>
          <t>Colores (informativo)</t>
        </is>
      </c>
      <c r="H1" s="68" t="inlineStr">
        <is>
          <t>Reglas de colores aplicadas al documento</t>
        </is>
      </c>
      <c r="J1" s="68" t="inlineStr">
        <is>
          <t>Cuentas</t>
        </is>
      </c>
    </row>
    <row r="2" ht="16.5" customHeight="1" s="65">
      <c r="A2" s="69" t="inlineStr">
        <is>
          <t>TODOS</t>
        </is>
      </c>
      <c r="B2" s="62" t="n">
        <v>46023</v>
      </c>
      <c r="C2" s="61" t="inlineStr">
        <is>
          <t>“Día Festivo: Año Nuevo”</t>
        </is>
      </c>
      <c r="D2" s="62" t="n">
        <v>46034</v>
      </c>
      <c r="E2" s="62" t="n"/>
      <c r="F2" s="70" t="n"/>
      <c r="G2" s="61" t="inlineStr">
        <is>
          <t>sábado</t>
        </is>
      </c>
      <c r="J2" s="63" t="n"/>
    </row>
    <row r="3" ht="16.5" customHeight="1" s="65">
      <c r="A3" s="69" t="inlineStr">
        <is>
          <t>TODOS</t>
        </is>
      </c>
      <c r="B3" s="62" t="n">
        <v>46066</v>
      </c>
      <c r="C3" s="61" t="inlineStr">
        <is>
          <t>“Día Festivo: Día del Oriente Ecuatoriano”</t>
        </is>
      </c>
      <c r="D3" s="62" t="n">
        <v>46035</v>
      </c>
      <c r="E3" s="62" t="n"/>
      <c r="F3" s="71" t="n"/>
      <c r="G3" s="61" t="inlineStr">
        <is>
          <t>domingo</t>
        </is>
      </c>
      <c r="J3" s="63" t="inlineStr">
        <is>
          <t xml:space="preserve"> REDES</t>
        </is>
      </c>
    </row>
    <row r="4" ht="16.5" customHeight="1" s="65">
      <c r="A4" s="69" t="inlineStr">
        <is>
          <t>TODOS</t>
        </is>
      </c>
      <c r="B4" s="62" t="n">
        <v>46069</v>
      </c>
      <c r="C4" s="61" t="inlineStr">
        <is>
          <t>“Día Festivo: Carnaval (Lunes)”</t>
        </is>
      </c>
      <c r="D4" s="62" t="n">
        <v>46036</v>
      </c>
      <c r="E4" s="62" t="n"/>
      <c r="F4" s="72" t="n"/>
      <c r="G4" s="61" t="inlineStr">
        <is>
          <t>feriado</t>
        </is>
      </c>
      <c r="J4" s="63" t="inlineStr">
        <is>
          <t xml:space="preserve"> ALUMBRADO</t>
        </is>
      </c>
    </row>
    <row r="5" ht="16.5" customHeight="1" s="65">
      <c r="A5" s="69" t="inlineStr">
        <is>
          <t>TODOS</t>
        </is>
      </c>
      <c r="B5" s="62" t="n">
        <v>46070</v>
      </c>
      <c r="C5" s="61" t="inlineStr">
        <is>
          <t>“Día Festivo: Carnaval (Martes)”</t>
        </is>
      </c>
      <c r="D5" s="62" t="n">
        <v>46037</v>
      </c>
      <c r="E5" s="62" t="n"/>
      <c r="F5" s="73" t="n"/>
      <c r="G5" s="61" t="inlineStr">
        <is>
          <t>madrugada</t>
        </is>
      </c>
      <c r="J5" s="63" t="inlineStr">
        <is>
          <t xml:space="preserve"> ACOMETIDAS</t>
        </is>
      </c>
    </row>
    <row r="6" ht="16.5" customHeight="1" s="65">
      <c r="A6" s="69" t="inlineStr">
        <is>
          <t>TODOS</t>
        </is>
      </c>
      <c r="B6" s="62" t="n">
        <v>46115</v>
      </c>
      <c r="C6" s="61" t="inlineStr">
        <is>
          <t>“Día Festivo: Viernes Santo”</t>
        </is>
      </c>
      <c r="D6" s="62" t="n">
        <v>46038</v>
      </c>
      <c r="E6" s="62" t="n"/>
      <c r="F6" s="74" t="n"/>
      <c r="G6" s="61" t="inlineStr">
        <is>
          <t>cambio horario</t>
        </is>
      </c>
      <c r="H6" s="63" t="inlineStr">
        <is>
          <t>Cuadrilla AP cambio de horario</t>
        </is>
      </c>
      <c r="J6" s="63" t="inlineStr">
        <is>
          <t xml:space="preserve"> MEDIDORES</t>
        </is>
      </c>
    </row>
    <row r="7" ht="16.5" customHeight="1" s="65">
      <c r="A7" s="69" t="inlineStr">
        <is>
          <t>TODOS</t>
        </is>
      </c>
      <c r="B7" s="62" t="n">
        <v>46143</v>
      </c>
      <c r="C7" s="61" t="inlineStr">
        <is>
          <t>“Día Festivo: Día del Trabajo”</t>
        </is>
      </c>
      <c r="D7" s="62" t="n">
        <v>46055</v>
      </c>
      <c r="E7" s="62" t="n"/>
      <c r="F7" s="75" t="n"/>
      <c r="G7" s="61" t="inlineStr">
        <is>
          <t>revisar hora inicio</t>
        </is>
      </c>
      <c r="H7" s="63" t="inlineStr">
        <is>
          <t>debería ser hasta 08:00 am</t>
        </is>
      </c>
      <c r="J7" s="63" t="inlineStr">
        <is>
          <t xml:space="preserve"> informativa</t>
        </is>
      </c>
    </row>
    <row r="8" ht="16.5" customHeight="1" s="65">
      <c r="A8" s="69" t="inlineStr">
        <is>
          <t>TODOS</t>
        </is>
      </c>
      <c r="B8" s="62" t="n">
        <v>46167</v>
      </c>
      <c r="C8" s="61" t="inlineStr">
        <is>
          <t>“Día Festivo: Batalla de Pichincha”</t>
        </is>
      </c>
      <c r="D8" s="62" t="n">
        <v>46056</v>
      </c>
      <c r="E8" s="62" t="n"/>
      <c r="F8" s="75" t="n"/>
      <c r="G8" s="61" t="inlineStr">
        <is>
          <t>revisar hora final</t>
        </is>
      </c>
      <c r="H8" s="63" t="inlineStr">
        <is>
          <t>debería ser desde 17:00 pm</t>
        </is>
      </c>
      <c r="J8" s="63" t="inlineStr">
        <is>
          <t xml:space="preserve"> transporte</t>
        </is>
      </c>
    </row>
    <row r="9" ht="16.5" customHeight="1" s="65">
      <c r="A9" s="69" t="inlineStr">
        <is>
          <t>TODOS</t>
        </is>
      </c>
      <c r="B9" s="62" t="n">
        <v>46244</v>
      </c>
      <c r="C9" s="61" t="inlineStr">
        <is>
          <t xml:space="preserve">“Día Festivo. Primer Grito de Independencia” </t>
        </is>
      </c>
      <c r="D9" s="62" t="n">
        <v>46057</v>
      </c>
      <c r="E9" s="62" t="n"/>
      <c r="F9" s="76" t="inlineStr">
        <is>
          <t>DIVIDIR</t>
        </is>
      </c>
      <c r="G9" s="61" t="inlineStr">
        <is>
          <t xml:space="preserve">Separar MAD </t>
        </is>
      </c>
      <c r="H9" s="63" t="inlineStr">
        <is>
          <t>Dividir en dos --&gt;(06:00)&lt;--</t>
        </is>
      </c>
      <c r="J9" s="63" t="inlineStr">
        <is>
          <t xml:space="preserve"> SUBESTACION</t>
        </is>
      </c>
    </row>
    <row r="10" ht="16.5" customHeight="1" s="65">
      <c r="A10" s="69" t="inlineStr">
        <is>
          <t>TODOS</t>
        </is>
      </c>
      <c r="B10" s="62" t="n">
        <v>46304</v>
      </c>
      <c r="C10" s="61" t="inlineStr">
        <is>
          <t xml:space="preserve">“Día Festivo: Independencia de Guayaquil” </t>
        </is>
      </c>
      <c r="D10" s="62" t="n">
        <v>46058</v>
      </c>
      <c r="E10" s="62" t="n"/>
      <c r="J10" s="63" t="inlineStr">
        <is>
          <t xml:space="preserve"> SUBTRANSMISION</t>
        </is>
      </c>
    </row>
    <row r="11" ht="16.5" customHeight="1" s="65">
      <c r="A11" s="69" t="inlineStr">
        <is>
          <t>TODOS</t>
        </is>
      </c>
      <c r="B11" s="62" t="n">
        <v>46328</v>
      </c>
      <c r="C11" s="61" t="inlineStr">
        <is>
          <t>“Día Festivo: Santos Difuntos”</t>
        </is>
      </c>
      <c r="D11" s="62" t="n">
        <v>46076</v>
      </c>
      <c r="E11" s="62" t="n"/>
      <c r="J11" s="63" t="inlineStr">
        <is>
          <t xml:space="preserve"> Servicios_Ocasional</t>
        </is>
      </c>
    </row>
    <row r="12" ht="16.5" customHeight="1" s="65">
      <c r="A12" s="69" t="inlineStr">
        <is>
          <t>TODOS</t>
        </is>
      </c>
      <c r="B12" s="62" t="n">
        <v>46329</v>
      </c>
      <c r="C12" s="61" t="inlineStr">
        <is>
          <t>“Día Festivo: Independencia de Cuenca”</t>
        </is>
      </c>
      <c r="D12" s="62" t="n">
        <v>46118</v>
      </c>
      <c r="E12" s="62" t="n"/>
      <c r="J12" s="63" t="inlineStr">
        <is>
          <t xml:space="preserve"> PLANILL</t>
        </is>
      </c>
    </row>
    <row r="13" ht="16.5" customHeight="1" s="65">
      <c r="A13" s="69" t="inlineStr">
        <is>
          <t>TODOS</t>
        </is>
      </c>
      <c r="B13" s="62" t="n">
        <v>46335</v>
      </c>
      <c r="C13" s="61" t="inlineStr">
        <is>
          <t>“Día Festivo: Provincializacion”</t>
        </is>
      </c>
      <c r="D13" s="62" t="n"/>
      <c r="E13" s="62" t="n"/>
      <c r="J13" s="63" t="inlineStr">
        <is>
          <t xml:space="preserve"> Nuevos_Servici</t>
        </is>
      </c>
    </row>
    <row r="14" ht="16.5" customHeight="1" s="65">
      <c r="A14" s="69" t="inlineStr">
        <is>
          <t>TODOS</t>
        </is>
      </c>
      <c r="B14" s="62" t="n">
        <v>46381</v>
      </c>
      <c r="C14" s="61" t="inlineStr">
        <is>
          <t>“Día Festivo: Navidad”</t>
        </is>
      </c>
      <c r="D14" s="62" t="n"/>
      <c r="E14" s="62" t="n"/>
      <c r="J14" s="63" t="inlineStr">
        <is>
          <t xml:space="preserve"> se_labora</t>
        </is>
      </c>
    </row>
    <row r="15" ht="16.5" customHeight="1" s="65">
      <c r="A15" s="69" t="inlineStr">
        <is>
          <t>Zamora Z1 (Cuadrilla. Nro. 6)</t>
        </is>
      </c>
      <c r="B15" s="62" t="n">
        <v>46300</v>
      </c>
      <c r="C15" s="61" t="inlineStr">
        <is>
          <t>“Dia Festivo: Cantonizacion”</t>
        </is>
      </c>
      <c r="D15" s="62" t="n"/>
      <c r="E15" s="62" t="n"/>
      <c r="J15" s="63" t="inlineStr">
        <is>
          <t xml:space="preserve"> lunch</t>
        </is>
      </c>
    </row>
    <row r="16" ht="16.5" customHeight="1" s="65">
      <c r="A16" s="69" t="inlineStr">
        <is>
          <t>Zamora Z1 (Cuadrilla. AP Nro. 4)</t>
        </is>
      </c>
      <c r="B16" s="62" t="n">
        <v>46300</v>
      </c>
      <c r="C16" s="61" t="inlineStr">
        <is>
          <t>“Dia Festivo: Cantonizacion”</t>
        </is>
      </c>
      <c r="D16" s="62" t="n"/>
      <c r="E16" s="62" t="n"/>
      <c r="J16" s="63" t="inlineStr">
        <is>
          <t xml:space="preserve"> ?</t>
        </is>
      </c>
    </row>
    <row r="17" ht="16.5" customHeight="1" s="65">
      <c r="A17" s="69" t="inlineStr">
        <is>
          <t>Zamora (Agencia)</t>
        </is>
      </c>
      <c r="B17" s="62" t="n">
        <v>46300</v>
      </c>
      <c r="C17" s="61" t="inlineStr">
        <is>
          <t>“Dia Festivo: Cantonizacion”</t>
        </is>
      </c>
      <c r="D17" s="62" t="n"/>
      <c r="E17" s="62" t="n"/>
    </row>
    <row r="18" ht="16.5" customHeight="1" s="65">
      <c r="A18" s="69" t="inlineStr">
        <is>
          <t>Jefatura Zonal Zamora</t>
        </is>
      </c>
      <c r="B18" s="62" t="n">
        <v>46300</v>
      </c>
      <c r="C18" s="61" t="inlineStr">
        <is>
          <t>“Dia Festivo: Cantonizacion”</t>
        </is>
      </c>
      <c r="D18" s="62" t="n"/>
      <c r="E18" s="62" t="n"/>
    </row>
    <row r="19" ht="16.5" customHeight="1" s="65">
      <c r="A19" s="69" t="inlineStr">
        <is>
          <t>Yacuambi Z1 (Cuadrilla. Nro. 8)</t>
        </is>
      </c>
      <c r="B19" s="62" t="n">
        <v>46031</v>
      </c>
      <c r="C19" s="61" t="inlineStr">
        <is>
          <t>“Dia Festivo: Cantonizacion”</t>
        </is>
      </c>
      <c r="D19" s="62" t="n"/>
      <c r="E19" s="62" t="n"/>
    </row>
    <row r="20" ht="16.5" customHeight="1" s="65">
      <c r="A20" s="69" t="inlineStr">
        <is>
          <t>Yantzaza Z1 (Cuadrilla. Nro. 5)</t>
        </is>
      </c>
      <c r="B20" s="62" t="n">
        <v>46080</v>
      </c>
      <c r="C20" s="61" t="inlineStr">
        <is>
          <t>“Dia Festivo: Cantonizacion”</t>
        </is>
      </c>
      <c r="D20" s="62" t="n"/>
      <c r="E20" s="62" t="n"/>
    </row>
    <row r="21" ht="16.5" customHeight="1" s="65">
      <c r="A21" s="69" t="inlineStr">
        <is>
          <t>Líneas Energizadas (Cuadrilla  Nro.6)</t>
        </is>
      </c>
      <c r="B21" s="62" t="n">
        <v>46080</v>
      </c>
      <c r="C21" s="61" t="inlineStr">
        <is>
          <t>“Dia Festivo: Cantonizacion”</t>
        </is>
      </c>
      <c r="D21" s="62" t="n"/>
      <c r="E21" s="62" t="n"/>
    </row>
    <row r="22" ht="16.5" customHeight="1" s="65">
      <c r="A22" s="69" t="inlineStr">
        <is>
          <t>Yantzaza (Agencia)</t>
        </is>
      </c>
      <c r="B22" s="62" t="n">
        <v>46080</v>
      </c>
      <c r="C22" s="61" t="inlineStr">
        <is>
          <t>“Dia Festivo: Cantonizacion”</t>
        </is>
      </c>
      <c r="D22" s="62" t="n"/>
      <c r="E22" s="62" t="n"/>
    </row>
    <row r="23" ht="16.5" customHeight="1" s="65">
      <c r="A23" s="69" t="inlineStr">
        <is>
          <t>Paquisha Z1 (Cuadrilla Nro. 10)</t>
        </is>
      </c>
      <c r="B23" s="62" t="n">
        <v>46319</v>
      </c>
      <c r="C23" s="61" t="inlineStr">
        <is>
          <t>“Dia Festivo: Cantonizacion”</t>
        </is>
      </c>
      <c r="D23" s="62" t="n"/>
      <c r="E23" s="62" t="n"/>
    </row>
    <row r="24" ht="16.5" customHeight="1" s="65">
      <c r="A24" s="69" t="inlineStr">
        <is>
          <t>Guayzimi Z1 (Cuadrilla. Nro. 7)</t>
        </is>
      </c>
      <c r="B24" s="62" t="n">
        <v>46353</v>
      </c>
      <c r="C24" s="61" t="inlineStr">
        <is>
          <t>“Dia Festivo: Cantonizacion”</t>
        </is>
      </c>
      <c r="D24" s="62" t="n"/>
      <c r="E24" s="62" t="n"/>
    </row>
    <row r="25" ht="16.5" customHeight="1" s="65">
      <c r="A25" s="69" t="inlineStr">
        <is>
          <t>El Pangui Z1 (Cuadrilla. Nro. 4)</t>
        </is>
      </c>
      <c r="B25" s="62" t="n">
        <v>46065</v>
      </c>
      <c r="C25" s="61" t="inlineStr">
        <is>
          <t>“Dia Festivo: Cantonizacion”</t>
        </is>
      </c>
      <c r="D25" s="62" t="n"/>
      <c r="E25" s="62" t="n"/>
    </row>
    <row r="26" ht="16.5" customHeight="1" s="65">
      <c r="A26" s="69" t="inlineStr">
        <is>
          <t>El Pangui (Agencia)</t>
        </is>
      </c>
      <c r="B26" s="62" t="n">
        <v>46065</v>
      </c>
      <c r="C26" s="61" t="inlineStr">
        <is>
          <t>“Dia Festivo: Cantonizacion”</t>
        </is>
      </c>
      <c r="D26" s="62" t="n"/>
      <c r="E26" s="62" t="n"/>
    </row>
    <row r="27" ht="16.5" customHeight="1" s="65">
      <c r="A27" s="69" t="inlineStr">
        <is>
          <t>Gualaquiza Z1 (Cuadrilla. Nro. 3)</t>
        </is>
      </c>
      <c r="B27" s="62" t="n">
        <v>46251</v>
      </c>
      <c r="C27" s="61" t="inlineStr">
        <is>
          <t>“Dia Festivo: Cantonizacion”</t>
        </is>
      </c>
      <c r="D27" s="62" t="n"/>
      <c r="E27" s="62" t="n"/>
    </row>
    <row r="28" ht="16.5" customHeight="1" s="65">
      <c r="A28" s="69" t="inlineStr">
        <is>
          <t>Gualaquiza (Agencia)</t>
        </is>
      </c>
      <c r="B28" s="62" t="n">
        <v>46251</v>
      </c>
      <c r="C28" s="61" t="inlineStr">
        <is>
          <t>“Dia Festivo: Cantonizacion”</t>
        </is>
      </c>
      <c r="D28" s="62" t="n"/>
      <c r="E28" s="62" t="n"/>
    </row>
    <row r="29" ht="16.5" customHeight="1" s="65">
      <c r="D29" s="62" t="n"/>
      <c r="E29" s="62" t="n"/>
    </row>
    <row r="30" ht="16.5" customHeight="1" s="65">
      <c r="D30" s="62" t="n"/>
      <c r="E30" s="62" t="n"/>
    </row>
    <row r="31" ht="16.5" customHeight="1" s="65">
      <c r="D31" s="62" t="n"/>
      <c r="E31" s="62" t="n"/>
    </row>
    <row r="32" ht="16.5" customHeight="1" s="65">
      <c r="D32" s="62" t="n"/>
      <c r="E32" s="62" t="n"/>
    </row>
    <row r="33" ht="16.5" customHeight="1" s="65">
      <c r="D33" s="62" t="n"/>
      <c r="E33" s="62" t="n"/>
    </row>
    <row r="34" ht="16.5" customHeight="1" s="65">
      <c r="D34" s="62" t="n"/>
      <c r="E34" s="62" t="n"/>
    </row>
    <row r="35" ht="16.5" customHeight="1" s="65">
      <c r="D35" s="62" t="n"/>
      <c r="E35" s="62" t="n"/>
    </row>
    <row r="36" ht="16.5" customHeight="1" s="65">
      <c r="D36" s="62" t="n"/>
      <c r="E36" s="62" t="n"/>
    </row>
    <row r="37" ht="16.5" customHeight="1" s="65">
      <c r="D37" s="62" t="n"/>
      <c r="E37" s="62"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W191"/>
  <sheetViews>
    <sheetView showFormulas="0" showGridLines="0" showRowColHeaders="1" showZeros="1" rightToLeft="0" tabSelected="1" showOutlineSymbols="1" defaultGridColor="1" view="pageBreakPreview" topLeftCell="A1" colorId="64" zoomScale="100" zoomScaleNormal="70" zoomScalePageLayoutView="100" workbookViewId="0">
      <selection pane="topLeft" activeCell="A36" activeCellId="0" sqref="6:36"/>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46113</v>
      </c>
      <c r="C6" s="109" t="n"/>
      <c r="D6" s="110" t="n"/>
      <c r="E6" s="109" t="n"/>
      <c r="F6" s="110" t="n"/>
      <c r="G6" s="109" t="n"/>
      <c r="H6" s="110" t="n"/>
      <c r="I6" s="109" t="n">
        <v>0</v>
      </c>
      <c r="J6" s="111" t="n"/>
      <c r="R6" s="97" t="n"/>
      <c r="S6" s="92" t="n"/>
      <c r="T6" s="92" t="n"/>
      <c r="U6" s="100" t="n"/>
    </row>
    <row r="7" ht="30.65" customHeight="1" s="65">
      <c r="A7" s="83">
        <f>IF(B7&gt;0,PROPER(TEXT(B7,"dddd")),"")</f>
        <v/>
      </c>
      <c r="B7" s="108" t="n">
        <v>46114</v>
      </c>
      <c r="C7" s="109" t="n">
        <v>0.8034722222222223</v>
      </c>
      <c r="D7" s="110" t="n">
        <v>0.8652777777777778</v>
      </c>
      <c r="E7" s="109" t="n"/>
      <c r="F7" s="110" t="n"/>
      <c r="G7" s="109" t="n"/>
      <c r="H7" s="110" t="n"/>
      <c r="I7" s="109" t="n">
        <v>0.06180555555555556</v>
      </c>
      <c r="J7" s="112" t="inlineStr">
        <is>
          <t>OT # 173960. Guayusal, reivision y limpieza RBV rehabilitacion de trafo # 23459.</t>
        </is>
      </c>
      <c r="R7" s="97" t="n"/>
      <c r="S7" s="92" t="n"/>
      <c r="T7" s="92" t="n"/>
      <c r="U7" s="100" t="n"/>
    </row>
    <row r="8" ht="42.5" customHeight="1" s="65">
      <c r="A8" s="83">
        <f>IF(B8&gt;0,PROPER(TEXT(B8,"dddd")),"")</f>
        <v/>
      </c>
      <c r="B8" s="108" t="n">
        <v>46115</v>
      </c>
      <c r="C8" s="109" t="n">
        <v>0.3701388888888889</v>
      </c>
      <c r="D8" s="110" t="n">
        <v>0.5520833333333334</v>
      </c>
      <c r="E8" s="109" t="n">
        <v>0.7090277777777778</v>
      </c>
      <c r="F8" s="110" t="n">
        <v>0.7951388888888888</v>
      </c>
      <c r="G8" s="109" t="n"/>
      <c r="H8" s="110" t="n"/>
      <c r="I8" s="109" t="n">
        <v>0.2680555555555555</v>
      </c>
      <c r="J8" s="112" t="inlineStr">
        <is>
          <t>OT # 174080. FESTIVO. Naichap, restitución M# 194238 por 18-258039. Aguacate, restitución M# 194324 por 18-258040.</t>
        </is>
      </c>
      <c r="R8" s="97" t="n"/>
      <c r="S8" s="92" t="n"/>
      <c r="T8" s="92" t="n"/>
      <c r="U8" s="100" t="n"/>
    </row>
    <row r="9" ht="30.65" customHeight="1" s="65">
      <c r="A9" s="83">
        <f>IF(B9&gt;0,PROPER(TEXT(B9,"dddd")),"")</f>
        <v/>
      </c>
      <c r="B9" s="108" t="n">
        <v>46116</v>
      </c>
      <c r="C9" s="109" t="n">
        <v>0.6777777777777778</v>
      </c>
      <c r="D9" s="110" t="n">
        <v>0.7666666666666667</v>
      </c>
      <c r="E9" s="109" t="n"/>
      <c r="F9" s="110" t="n"/>
      <c r="G9" s="109" t="n"/>
      <c r="H9" s="110" t="n"/>
      <c r="I9" s="109" t="n">
        <v>0.08888888888888889</v>
      </c>
      <c r="J9" s="112" t="inlineStr">
        <is>
          <t>OT # 174083. Guayusal, Est 291765 cambio tirafusible 25A-T</t>
        </is>
      </c>
      <c r="R9" s="97" t="n"/>
      <c r="S9" s="92" t="n"/>
      <c r="T9" s="92" t="n"/>
      <c r="U9" s="100" t="n"/>
    </row>
    <row r="10" ht="30.65" customHeight="1" s="65">
      <c r="A10" s="83">
        <f>IF(B10&gt;0,PROPER(TEXT(B10,"dddd")),"")</f>
        <v/>
      </c>
      <c r="B10" s="108" t="n">
        <v>46117</v>
      </c>
      <c r="C10" s="109" t="n">
        <v>0.3666666666666666</v>
      </c>
      <c r="D10" s="110" t="n">
        <v>0.4506944444444445</v>
      </c>
      <c r="E10" s="109" t="n"/>
      <c r="F10" s="110" t="n"/>
      <c r="G10" s="109" t="n"/>
      <c r="H10" s="110" t="n"/>
      <c r="I10" s="109" t="n">
        <v>0.08402777777777778</v>
      </c>
      <c r="J10" s="112" t="inlineStr">
        <is>
          <t>OT # 174084. Chumpias, Est 028535 cambio tirafusible 25A-T</t>
        </is>
      </c>
      <c r="R10" s="97" t="n"/>
      <c r="S10" s="92" t="n"/>
      <c r="T10" s="92" t="n"/>
      <c r="U10" s="100" t="n"/>
    </row>
    <row r="11" ht="30.65" customHeight="1" s="65">
      <c r="A11" s="83">
        <f>IF(B11&gt;0,PROPER(TEXT(B11,"dddd")),"")</f>
        <v/>
      </c>
      <c r="B11" s="108" t="n">
        <v>46118</v>
      </c>
      <c r="C11" s="109" t="n">
        <v>0.7986111111111112</v>
      </c>
      <c r="D11" s="110" t="n">
        <v>0.8854166666666666</v>
      </c>
      <c r="E11" s="109" t="n"/>
      <c r="F11" s="110" t="n"/>
      <c r="G11" s="109" t="n"/>
      <c r="H11" s="110" t="n"/>
      <c r="I11" s="109" t="n">
        <v>0.08680555555555555</v>
      </c>
      <c r="J11" s="112" t="inlineStr">
        <is>
          <t>OT # 174310. La Pradera, se arregla acometida M# 240908, se rehabilita trafo # 20916</t>
        </is>
      </c>
      <c r="R11" s="97" t="n"/>
      <c r="S11" s="92" t="n"/>
      <c r="T11" s="92" t="n"/>
      <c r="U11" s="100" t="n"/>
    </row>
    <row r="12" ht="30.65" customHeight="1" s="65">
      <c r="A12" s="83">
        <f>IF(B12&gt;0,PROPER(TEXT(B12,"dddd")),"")</f>
        <v/>
      </c>
      <c r="B12" s="108" t="n">
        <v>46119</v>
      </c>
      <c r="C12" s="109" t="n">
        <v>0.75</v>
      </c>
      <c r="D12" s="110" t="n">
        <v>0.8472222222222222</v>
      </c>
      <c r="E12" s="109" t="n"/>
      <c r="F12" s="110" t="n"/>
      <c r="G12" s="109" t="n"/>
      <c r="H12" s="110" t="n"/>
      <c r="I12" s="109" t="n">
        <v>0.09722222222222222</v>
      </c>
      <c r="J12" s="112" t="inlineStr">
        <is>
          <t>OT # 174313. Shiramentza, Est 22357 cambi0 tirafusible de 1.3A-SR</t>
        </is>
      </c>
      <c r="R12" s="97" t="n"/>
      <c r="S12" s="92" t="n"/>
      <c r="T12" s="92" t="n"/>
      <c r="U12" s="100" t="n"/>
    </row>
    <row r="13" ht="30.65" customHeight="1" s="65">
      <c r="A13" s="83">
        <f>IF(B13&gt;0,PROPER(TEXT(B13,"dddd")),"")</f>
        <v/>
      </c>
      <c r="B13" s="108" t="n">
        <v>46120</v>
      </c>
      <c r="C13" s="109" t="n"/>
      <c r="D13" s="110" t="n"/>
      <c r="E13" s="109" t="n"/>
      <c r="F13" s="110" t="n"/>
      <c r="G13" s="109" t="n"/>
      <c r="H13" s="110" t="n"/>
      <c r="I13" s="109" t="n">
        <v>0</v>
      </c>
      <c r="J13" s="112" t="n"/>
      <c r="R13" s="97" t="n"/>
      <c r="S13" s="92" t="n"/>
      <c r="T13" s="92" t="n"/>
      <c r="U13" s="100" t="n"/>
    </row>
    <row r="14" ht="30.65" customHeight="1" s="65">
      <c r="A14" s="83">
        <f>IF(B14&gt;0,PROPER(TEXT(B14,"dddd")),"")</f>
        <v/>
      </c>
      <c r="B14" s="108" t="n">
        <v>46121</v>
      </c>
      <c r="C14" s="109" t="n"/>
      <c r="D14" s="110" t="n"/>
      <c r="E14" s="109" t="n"/>
      <c r="F14" s="110" t="n"/>
      <c r="G14" s="109" t="n"/>
      <c r="H14" s="110" t="n"/>
      <c r="I14" s="109" t="n">
        <v>0</v>
      </c>
      <c r="J14" s="112" t="n"/>
      <c r="R14" s="97" t="n"/>
      <c r="S14" s="92" t="n"/>
      <c r="T14" s="92" t="n"/>
      <c r="U14" s="100" t="n"/>
    </row>
    <row r="15" ht="30.65" customHeight="1" s="65">
      <c r="A15" s="83">
        <f>IF(B15&gt;0,PROPER(TEXT(B15,"dddd")),"")</f>
        <v/>
      </c>
      <c r="B15" s="108" t="n">
        <v>46122</v>
      </c>
      <c r="C15" s="109" t="n">
        <v>0.7270833333333333</v>
      </c>
      <c r="D15" s="110" t="n">
        <v>0.8173611111111111</v>
      </c>
      <c r="E15" s="109" t="n"/>
      <c r="F15" s="110" t="n"/>
      <c r="G15" s="109" t="n"/>
      <c r="H15" s="110" t="n"/>
      <c r="I15" s="109" t="n">
        <v>0.09027777777777778</v>
      </c>
      <c r="J15" s="112" t="inlineStr">
        <is>
          <t>OT # 174486.Tutus, Est 91980 cambio de tirafusible 12A-T</t>
        </is>
      </c>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rank="0" priority="2" equalAverage="0" aboveAverage="0" dxfId="0" text="" percent="0" bottom="0">
      <formula>OR(PROPER(TEXT($B6,"dddd"))=PROPER(TEXT("04/04/2026", "dddd")),PROPER(TEXT($B6,"dddd"))=PROPER(TEXT("05/04/2026", "dddd")),ISNUMBER(FIND("FESTIVO",$J6)))</formula>
    </cfRule>
  </conditionalFormatting>
  <conditionalFormatting sqref="A6:I36">
    <cfRule type="expression" rank="0" priority="3" equalAverage="0" aboveAverage="0" dxfId="1" text="" percent="0" bottom="0">
      <formula>ISNUMBER(FIND("FESTIVO",$J6))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headerFooter differentOddEven="0" differentFirst="0">
    <oddHeader>&amp;C&amp;"Aptos,Normal"&amp;12 GERENCIA DE OPERACIÓN Y MANTENIMIENTO_x000a_SUPERINTENDENCIA DE OPERACIÓN Y MANTENIMIENTO ZONA 1_x000a_Reporte Horas Extraordinarias </oddHeader>
    <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0.7083333333333334</v>
      </c>
      <c r="D9" s="110" t="n">
        <v>0.7826388888888889</v>
      </c>
      <c r="E9" s="109" t="n">
        <v/>
      </c>
      <c r="F9" s="110" t="n">
        <v/>
      </c>
      <c r="G9" s="109" t="n">
        <v/>
      </c>
      <c r="H9" s="110" t="n">
        <v/>
      </c>
      <c r="I9" s="109">
        <f>SUM(D9-C9, F9-E9, H9-G9)</f>
        <v/>
      </c>
      <c r="J9" s="112" t="inlineStr">
        <is>
          <t>OT # 175603. Chuchumbletza, apoyo a Grupo de Línea Energizada en cambio de secuencia de fases AP Bomboiza; medición y pruebas para comprobar secuencia de fases, se normaliza la topologia de la red.</t>
        </is>
      </c>
      <c r="K9">
        <f>SUM((D9-C9)*1.5*24)</f>
        <v/>
      </c>
      <c r="R9" s="97" t="n"/>
      <c r="S9" s="92" t="n"/>
      <c r="T9" s="92" t="n"/>
      <c r="U9" s="100" t="n"/>
    </row>
    <row r="10" ht="30.65" customHeight="1" s="65">
      <c r="A10" s="83">
        <f>IF(B10&gt;0,PROPER(TEXT(B10,"dddd")),"")</f>
        <v/>
      </c>
      <c r="B10" s="108" t="n">
        <v>46137</v>
      </c>
      <c r="C10" s="109" t="n">
        <v>0.2916666666666667</v>
      </c>
      <c r="D10" s="110" t="n">
        <v>0.5416666666666666</v>
      </c>
      <c r="E10" s="109" t="n">
        <v>0.5833333333333334</v>
      </c>
      <c r="F10" s="110" t="n">
        <v>0.75</v>
      </c>
      <c r="G10" s="109" t="n">
        <v/>
      </c>
      <c r="H10" s="110" t="n">
        <v/>
      </c>
      <c r="I10" s="109">
        <f>SUM(D10-C10, F10-E10, H10-G10)</f>
        <v/>
      </c>
      <c r="J10" s="112" t="inlineStr">
        <is>
          <t>OT # 175605. Tunduli, se coordina con personal de SEDEMI paso de cuerda manila en Torres de 69 kV; Se coordina maniobras con el Centro de Control.</t>
        </is>
      </c>
      <c r="K10">
        <f>SUM((D10-C10)*2.0*24,(F10-E10)*2.0*24)</f>
        <v/>
      </c>
      <c r="R10" s="97" t="n"/>
      <c r="S10" s="92" t="n"/>
      <c r="T10" s="92" t="n"/>
      <c r="U10" s="100" t="n"/>
    </row>
    <row r="11" ht="30.65" customHeight="1" s="65">
      <c r="A11" s="83">
        <f>IF(B11&gt;0,PROPER(TEXT(B11,"dddd")),"")</f>
        <v/>
      </c>
      <c r="B11" s="108" t="n">
        <v>46138</v>
      </c>
      <c r="C11" s="109" t="n">
        <v>0.2916666666666667</v>
      </c>
      <c r="D11" s="110" t="n">
        <v>0.5416666666666666</v>
      </c>
      <c r="E11" s="109" t="n">
        <v>0.5833333333333334</v>
      </c>
      <c r="F11" s="110" t="n">
        <v>0.7083333333333334</v>
      </c>
      <c r="G11" s="109" t="n">
        <v>0.75</v>
      </c>
      <c r="H11" s="110" t="n">
        <v>0.8645833333333334</v>
      </c>
      <c r="I11" s="109">
        <f>SUM(D11-C11, F11-E11, H11-G11)</f>
        <v/>
      </c>
      <c r="J11" s="112" t="inlineStr">
        <is>
          <t>OT # 175610. Tunduli, se coordina con personal de SEDEMI paso de cuerda manila en Torres de 69 kV; Se coordina maniobras con el Centro de Control.</t>
        </is>
      </c>
      <c r="K11">
        <f>SUM((D11-C11)*2.0*24,(F11-E11)*2.0*24,(H11-G11)*2.0*24)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0.7083333333333334</v>
      </c>
      <c r="D6" s="110" t="n">
        <v>0.7868055555555555</v>
      </c>
      <c r="E6" s="109" t="n">
        <v/>
      </c>
      <c r="F6" s="110" t="n">
        <v/>
      </c>
      <c r="G6" s="109" t="n">
        <v/>
      </c>
      <c r="H6" s="110" t="n">
        <v/>
      </c>
      <c r="I6" s="109">
        <f>SUM(D6-C6, F6-E6, H6-G6)</f>
        <v/>
      </c>
      <c r="J6" s="111" t="inlineStr">
        <is>
          <t>OT # 175190. San Marcos, Med # 18-219157 falla interna. Jamboe Bajo, Med # 249208 acometida arrancada por vehículo, se empalma.</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0.7291666666666666</v>
      </c>
      <c r="D9" s="110" t="n">
        <v>0.7847222222222222</v>
      </c>
      <c r="E9" s="109" t="n">
        <v/>
      </c>
      <c r="F9" s="110" t="n">
        <v/>
      </c>
      <c r="G9" s="109" t="n">
        <v/>
      </c>
      <c r="H9" s="110" t="n">
        <v/>
      </c>
      <c r="I9" s="109">
        <f>SUM(D9-C9, F9-E9, H9-G9)</f>
        <v/>
      </c>
      <c r="J9" s="112" t="inlineStr">
        <is>
          <t>OT # 175428. Quebrada de Cumbaratza, Med. 18-208984 acometida arrancada, se empalma.</t>
        </is>
      </c>
      <c r="K9">
        <f>SUM((D9-C9)*1.5*24)</f>
        <v/>
      </c>
      <c r="R9" s="97" t="n"/>
      <c r="S9" s="92" t="n"/>
      <c r="T9" s="92" t="n"/>
      <c r="U9" s="100" t="n"/>
    </row>
    <row r="10" ht="30.65" customHeight="1" s="65">
      <c r="A10" s="83">
        <f>IF(B10&gt;0,PROPER(TEXT(B10,"dddd")),"")</f>
        <v/>
      </c>
      <c r="B10" s="108" t="n">
        <v>46137</v>
      </c>
      <c r="C10" s="109" t="n">
        <v>0.3645833333333333</v>
      </c>
      <c r="D10" s="110" t="n">
        <v>0.5708333333333333</v>
      </c>
      <c r="E10" s="109" t="n">
        <v>0.8701388888888889</v>
      </c>
      <c r="F10" s="110" t="n">
        <v>0.9173611111111111</v>
      </c>
      <c r="G10" s="109" t="n">
        <v>0.9256944444444445</v>
      </c>
      <c r="H10" s="110" t="n">
        <v>0.9951388888888889</v>
      </c>
      <c r="I10" s="109">
        <f>SUM(D10-C10, F10-E10, H10-G10)</f>
        <v/>
      </c>
      <c r="J10" s="112" t="inlineStr">
        <is>
          <t>OT # 175503. Yaguarzongo, Med # 1000418192 ajustes de conexiones, se normaliza. Nambija Bajo, Med # 18-232857 acometida en mal estado, se cambia 30m de triplex.</t>
        </is>
      </c>
      <c r="K10">
        <f>SUM((D10-C10)*2.0*24,(F10-E10)*2.0*24,(H10-G10)*2.0*24)</f>
        <v/>
      </c>
      <c r="R10" s="97" t="n"/>
      <c r="S10" s="92" t="n"/>
      <c r="T10" s="92" t="n"/>
      <c r="U10" s="100" t="n"/>
    </row>
    <row r="11" ht="30.65" customHeight="1" s="65">
      <c r="A11" s="83">
        <f>IF(B11&gt;0,PROPER(TEXT(B11,"dddd")),"")</f>
        <v/>
      </c>
      <c r="B11" s="108" t="n">
        <v>46138</v>
      </c>
      <c r="C11" s="109" t="n">
        <v>0.3784722222222222</v>
      </c>
      <c r="D11" s="110" t="n">
        <v>0.4638888888888889</v>
      </c>
      <c r="E11" s="109" t="n">
        <v>0.5625</v>
      </c>
      <c r="F11" s="110" t="n">
        <v>0.6145833333333334</v>
      </c>
      <c r="G11" s="109" t="n">
        <v/>
      </c>
      <c r="H11" s="110" t="n">
        <v/>
      </c>
      <c r="I11" s="109">
        <f>SUM(D11-C11, F11-E11, H11-G11)</f>
        <v/>
      </c>
      <c r="J11" s="112" t="inlineStr">
        <is>
          <t>OT # 175529. Namirez Alto, se revisa LMV, no se encuentra novedades, se cambia fusible de 25A-T en Est 217381; Causa: Descargas atmosféricas.</t>
        </is>
      </c>
      <c r="K11">
        <f>SUM((D11-C11)*2.0*24,(F11-E11)*2.0*24)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0.7083333333333334</v>
      </c>
      <c r="D6" s="110" t="n">
        <v>0.7868055555555555</v>
      </c>
      <c r="E6" s="109" t="n">
        <v/>
      </c>
      <c r="F6" s="110" t="n">
        <v/>
      </c>
      <c r="G6" s="109" t="n">
        <v/>
      </c>
      <c r="H6" s="110" t="n">
        <v/>
      </c>
      <c r="I6" s="109">
        <f>SUM(D6-C6, F6-E6, H6-G6)</f>
        <v/>
      </c>
      <c r="J6" s="111" t="inlineStr">
        <is>
          <t>OT # 175190. San Marcos, Med # 18-219157 falla interna. Jamboe Bajo, Med # 249208 acometida arrancada por vehículo, se empalma.</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0.7291666666666666</v>
      </c>
      <c r="D9" s="110" t="n">
        <v>0.7847222222222222</v>
      </c>
      <c r="E9" s="109" t="n">
        <v/>
      </c>
      <c r="F9" s="110" t="n">
        <v/>
      </c>
      <c r="G9" s="109" t="n">
        <v/>
      </c>
      <c r="H9" s="110" t="n">
        <v/>
      </c>
      <c r="I9" s="109">
        <f>SUM(D9-C9, F9-E9, H9-G9)</f>
        <v/>
      </c>
      <c r="J9" s="112" t="inlineStr">
        <is>
          <t>OT # 175428. Quebrada de Cumbaratza, Med. 18-208984 acometida arrancada, se empalma.</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0.7083333333333334</v>
      </c>
      <c r="D6" s="110" t="n">
        <v>0.7868055555555555</v>
      </c>
      <c r="E6" s="109" t="n">
        <v/>
      </c>
      <c r="F6" s="110" t="n">
        <v/>
      </c>
      <c r="G6" s="109" t="n">
        <v/>
      </c>
      <c r="H6" s="110" t="n">
        <v/>
      </c>
      <c r="I6" s="109">
        <f>SUM(D6-C6, F6-E6, H6-G6)</f>
        <v/>
      </c>
      <c r="J6" s="111" t="inlineStr">
        <is>
          <t>OT # 175190. San Marcos, Med # 18-219157 falla interna. Jamboe Bajo, Med # 249208 acometida arrancada por vehículo, se empalma.</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0.7291666666666666</v>
      </c>
      <c r="D9" s="110" t="n">
        <v>0.7847222222222222</v>
      </c>
      <c r="E9" s="109" t="n">
        <v/>
      </c>
      <c r="F9" s="110" t="n">
        <v/>
      </c>
      <c r="G9" s="109" t="n">
        <v/>
      </c>
      <c r="H9" s="110" t="n">
        <v/>
      </c>
      <c r="I9" s="109">
        <f>SUM(D9-C9, F9-E9, H9-G9)</f>
        <v/>
      </c>
      <c r="J9" s="112" t="inlineStr">
        <is>
          <t>OT # 175428. Quebrada de Cumbaratza, Med. 18-208984 acometida arrancada, se empalma.</t>
        </is>
      </c>
      <c r="K9">
        <f>SUM((D9-C9)*1.5*24)</f>
        <v/>
      </c>
      <c r="R9" s="97" t="n"/>
      <c r="S9" s="92" t="n"/>
      <c r="T9" s="92" t="n"/>
      <c r="U9" s="100" t="n"/>
    </row>
    <row r="10" ht="30.65" customHeight="1" s="65">
      <c r="A10" s="83">
        <f>IF(B10&gt;0,PROPER(TEXT(B10,"dddd")),"")</f>
        <v/>
      </c>
      <c r="B10" s="108" t="n">
        <v>46137</v>
      </c>
      <c r="C10" s="109" t="n">
        <v>0.3645833333333333</v>
      </c>
      <c r="D10" s="110" t="n">
        <v>0.5708333333333333</v>
      </c>
      <c r="E10" s="109" t="n">
        <v>0.8701388888888889</v>
      </c>
      <c r="F10" s="110" t="n">
        <v>0.9173611111111111</v>
      </c>
      <c r="G10" s="109" t="n">
        <v>0.9256944444444445</v>
      </c>
      <c r="H10" s="110" t="n">
        <v>0.9951388888888889</v>
      </c>
      <c r="I10" s="109">
        <f>SUM(D10-C10, F10-E10, H10-G10)</f>
        <v/>
      </c>
      <c r="J10" s="112" t="inlineStr">
        <is>
          <t>OT # 175503. Yaguarzongo, Med # 1000418192 ajustes de conexiones, se normaliza. Nambija Bajo, Med # 18-232857 acometida en mal estado, se cambia 30m de triplex.</t>
        </is>
      </c>
      <c r="K10">
        <f>SUM((D10-C10)*2.0*24,(F10-E10)*2.0*24,(H10-G10)*2.0*24)</f>
        <v/>
      </c>
      <c r="R10" s="97" t="n"/>
      <c r="S10" s="92" t="n"/>
      <c r="T10" s="92" t="n"/>
      <c r="U10" s="100" t="n"/>
    </row>
    <row r="11" ht="30.65" customHeight="1" s="65">
      <c r="A11" s="83">
        <f>IF(B11&gt;0,PROPER(TEXT(B11,"dddd")),"")</f>
        <v/>
      </c>
      <c r="B11" s="108" t="n">
        <v>46138</v>
      </c>
      <c r="C11" s="109" t="n">
        <v>0.3784722222222222</v>
      </c>
      <c r="D11" s="110" t="n">
        <v>0.4638888888888889</v>
      </c>
      <c r="E11" s="109" t="n">
        <v>0.5625</v>
      </c>
      <c r="F11" s="110" t="n">
        <v>0.6145833333333334</v>
      </c>
      <c r="G11" s="109" t="n">
        <v/>
      </c>
      <c r="H11" s="110" t="n">
        <v/>
      </c>
      <c r="I11" s="109">
        <f>SUM(D11-C11, F11-E11, H11-G11)</f>
        <v/>
      </c>
      <c r="J11" s="112" t="inlineStr">
        <is>
          <t>OT # 175529. Namirez Alto, se revisa LMV, no se encuentra novedades, se cambia fusible de 25A-T en Est 217381; Causa: Descargas atmosféricas.</t>
        </is>
      </c>
      <c r="K11">
        <f>SUM((D11-C11)*2.0*24,(F11-E11)*2.0*24)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0.7291666666666666</v>
      </c>
      <c r="D9" s="110" t="n">
        <v>0.7847222222222222</v>
      </c>
      <c r="E9" s="109" t="n">
        <v/>
      </c>
      <c r="F9" s="110" t="n">
        <v/>
      </c>
      <c r="G9" s="109" t="n">
        <v/>
      </c>
      <c r="H9" s="110" t="n">
        <v/>
      </c>
      <c r="I9" s="109">
        <f>SUM(D9-C9, F9-E9, H9-G9)</f>
        <v/>
      </c>
      <c r="J9" s="112" t="inlineStr">
        <is>
          <t>OT # 175428. Quebrada de Cumbaratza, Med. 18-208984 acometida arrancada, se empalma.</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0.7291666666666666</v>
      </c>
      <c r="D9" s="110" t="n">
        <v>0.7847222222222222</v>
      </c>
      <c r="E9" s="109" t="n">
        <v/>
      </c>
      <c r="F9" s="110" t="n">
        <v/>
      </c>
      <c r="G9" s="109" t="n">
        <v/>
      </c>
      <c r="H9" s="110" t="n">
        <v/>
      </c>
      <c r="I9" s="109">
        <f>SUM(D9-C9, F9-E9, H9-G9)</f>
        <v/>
      </c>
      <c r="J9" s="112" t="inlineStr">
        <is>
          <t>OT # 175428. Quebrada de Cumbaratza, Med. 18-208984 acometida arrancada, se empalma.</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0.7083333333333334</v>
      </c>
      <c r="D8" s="110" t="n">
        <v>0.8006944444444445</v>
      </c>
      <c r="E8" s="109" t="n">
        <v>0.8284722222222223</v>
      </c>
      <c r="F8" s="110" t="n">
        <v>0.9993055555555556</v>
      </c>
      <c r="G8" s="109" t="n">
        <v/>
      </c>
      <c r="H8" s="110" t="n">
        <v/>
      </c>
      <c r="I8" s="109">
        <f>SUM(D8-C8, F8-E8, H8-G8)</f>
        <v/>
      </c>
      <c r="J8" s="112" t="inlineStr">
        <is>
          <t>OT # 175403. Conchay, Med # 197261 acometida arrancada por maquinaria, se empalma; Retorno a Yacuambi.</t>
        </is>
      </c>
      <c r="K8">
        <f>SUM((D8-C8)*1.5*24,(F8-E8)*1.5*24)</f>
        <v/>
      </c>
      <c r="R8" s="97" t="n"/>
      <c r="S8" s="92" t="n"/>
      <c r="T8" s="92" t="n"/>
      <c r="U8" s="100" t="n"/>
    </row>
    <row r="9" ht="30.65" customHeight="1" s="65">
      <c r="A9" s="83">
        <f>IF(B9&gt;0,PROPER(TEXT(B9,"dddd")),"")</f>
        <v/>
      </c>
      <c r="B9" s="108" t="n">
        <v>46136</v>
      </c>
      <c r="C9" s="109" t="n">
        <v>0.7083333333333334</v>
      </c>
      <c r="D9" s="110" t="n">
        <v>0.8333333333333334</v>
      </c>
      <c r="E9" s="109" t="n">
        <v/>
      </c>
      <c r="F9" s="110" t="n">
        <v/>
      </c>
      <c r="G9" s="109" t="n">
        <v/>
      </c>
      <c r="H9" s="110" t="n">
        <v/>
      </c>
      <c r="I9" s="109">
        <f>SUM(D9-C9, F9-E9, H9-G9)</f>
        <v/>
      </c>
      <c r="J9" s="112" t="inlineStr">
        <is>
          <t>OT # 175436. Desde Namakuntza Alto a Piuntza de La Paz, Med # 245925 acometida antihuro arrancada por maquinaria, se empalma 10 metros.</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0.7083333333333334</v>
      </c>
      <c r="D8" s="110" t="n">
        <v>0.8006944444444445</v>
      </c>
      <c r="E8" s="109" t="n">
        <v>0.8284722222222223</v>
      </c>
      <c r="F8" s="110" t="n">
        <v>0.9993055555555556</v>
      </c>
      <c r="G8" s="109" t="n">
        <v/>
      </c>
      <c r="H8" s="110" t="n">
        <v/>
      </c>
      <c r="I8" s="109">
        <f>SUM(D8-C8, F8-E8, H8-G8)</f>
        <v/>
      </c>
      <c r="J8" s="112" t="inlineStr">
        <is>
          <t>OT # 175403. Conchay, Med # 197261 acometida arrancada por maquinaria, se empalma; Retorno a Yacuambi.</t>
        </is>
      </c>
      <c r="K8">
        <f>SUM((D8-C8)*1.5*24,(F8-E8)*1.5*24)</f>
        <v/>
      </c>
      <c r="R8" s="97" t="n"/>
      <c r="S8" s="92" t="n"/>
      <c r="T8" s="92" t="n"/>
      <c r="U8" s="100" t="n"/>
    </row>
    <row r="9" ht="30.65" customHeight="1" s="65">
      <c r="A9" s="83">
        <f>IF(B9&gt;0,PROPER(TEXT(B9,"dddd")),"")</f>
        <v/>
      </c>
      <c r="B9" s="108" t="n">
        <v>46136</v>
      </c>
      <c r="C9" s="109" t="n">
        <v>0.7083333333333334</v>
      </c>
      <c r="D9" s="110" t="n">
        <v>0.8333333333333334</v>
      </c>
      <c r="E9" s="109" t="n">
        <v/>
      </c>
      <c r="F9" s="110" t="n">
        <v/>
      </c>
      <c r="G9" s="109" t="n">
        <v/>
      </c>
      <c r="H9" s="110" t="n">
        <v/>
      </c>
      <c r="I9" s="109">
        <f>SUM(D9-C9, F9-E9, H9-G9)</f>
        <v/>
      </c>
      <c r="J9" s="112" t="inlineStr">
        <is>
          <t>OT # 175436. Desde Namakuntza Alto a Piuntza de La Paz, Med # 245925 acometida antihuro arrancada por maquinaria, se empalma 10 metros.</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0.7083333333333334</v>
      </c>
      <c r="D8" s="110" t="n">
        <v>0.8006944444444445</v>
      </c>
      <c r="E8" s="109" t="n">
        <v/>
      </c>
      <c r="F8" s="110" t="n">
        <v/>
      </c>
      <c r="G8" s="109" t="n">
        <v/>
      </c>
      <c r="H8" s="110" t="n">
        <v/>
      </c>
      <c r="I8" s="109">
        <f>SUM(D8-C8, F8-E8, H8-G8)</f>
        <v/>
      </c>
      <c r="J8" s="112" t="inlineStr">
        <is>
          <t>OT # 175403. Conchay, Med # 197261 acometida arrancada por maquinaria, se empalma; Retorno a Yacuambi.</t>
        </is>
      </c>
      <c r="K8">
        <f>SUM((D8-C8)*1.5*24)</f>
        <v/>
      </c>
      <c r="R8" s="97" t="n"/>
      <c r="S8" s="92" t="n"/>
      <c r="T8" s="92" t="n"/>
      <c r="U8" s="100" t="n"/>
    </row>
    <row r="9" ht="30.65" customHeight="1" s="65">
      <c r="A9" s="83">
        <f>IF(B9&gt;0,PROPER(TEXT(B9,"dddd")),"")</f>
        <v/>
      </c>
      <c r="B9" s="108" t="n">
        <v>46136</v>
      </c>
      <c r="C9" s="109" t="n">
        <v>0.7083333333333334</v>
      </c>
      <c r="D9" s="110" t="n">
        <v>0.8333333333333334</v>
      </c>
      <c r="E9" s="109" t="n">
        <v/>
      </c>
      <c r="F9" s="110" t="n">
        <v/>
      </c>
      <c r="G9" s="109" t="n">
        <v/>
      </c>
      <c r="H9" s="110" t="n">
        <v/>
      </c>
      <c r="I9" s="109">
        <f>SUM(D9-C9, F9-E9, H9-G9)</f>
        <v/>
      </c>
      <c r="J9" s="112" t="inlineStr">
        <is>
          <t>OT # 175436. Desde Namakuntza Alto a Piuntza de La Paz, Med # 245925 acometida antihuro arrancada por maquinaria, se empalma 10 metros.</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0.05347222222222222</v>
      </c>
      <c r="D6" s="110" t="n">
        <v>0.1145833333333333</v>
      </c>
      <c r="E6" s="109" t="n">
        <v>0.1180555555555556</v>
      </c>
      <c r="F6" s="110" t="n">
        <v>0.1368055555555556</v>
      </c>
      <c r="G6" s="109" t="n">
        <v/>
      </c>
      <c r="H6" s="110" t="n">
        <v/>
      </c>
      <c r="I6" s="109">
        <f>SUM(D6-C6, F6-E6, H6-G6)</f>
        <v/>
      </c>
      <c r="J6" s="111" t="inlineStr">
        <is>
          <t>OT # 175513. DAÑO REPORTADO POR EL Centro de Control. Mensaje de WhatsApp. Y llamada telefónica. Nos trasladamos desde la Agencia Yantzaza a la Panguitza. Informan estructura de A/P chocado.se cambia llanta rota del vehiculo 2-11 Panguitza se encuentra estructura de alumbrado publico numero 2674569 chocado por vehículo desconocido se informa al centro de control. se retira luminarias dañadas y estructura para despejar la via.</t>
        </is>
      </c>
      <c r="K6">
        <f>SUM((D6-C6)*2.0*24,(F6-E6)*2.0*24)</f>
        <v/>
      </c>
      <c r="R6" s="97" t="n"/>
      <c r="S6" s="92" t="n"/>
      <c r="T6" s="92" t="n"/>
      <c r="U6" s="100" t="n"/>
    </row>
    <row r="7" ht="30.65" customHeight="1" s="65">
      <c r="A7" s="83">
        <f>IF(B7&gt;0,PROPER(TEXT(B7,"dddd")),"")</f>
        <v/>
      </c>
      <c r="B7" s="108" t="n">
        <v>46134</v>
      </c>
      <c r="C7" s="109" t="n">
        <v>0.7083333333333334</v>
      </c>
      <c r="D7" s="110" t="n">
        <v>0.8340277777777778</v>
      </c>
      <c r="E7" s="109" t="n">
        <v>0.8541666666666666</v>
      </c>
      <c r="F7" s="110" t="n">
        <v>0.9381944444444444</v>
      </c>
      <c r="G7" s="109" t="n">
        <v/>
      </c>
      <c r="H7" s="110" t="n">
        <v/>
      </c>
      <c r="I7" s="109">
        <f>SUM(D7-C7, F7-E7, H7-G7)</f>
        <v/>
      </c>
      <c r="J7" s="112" t="inlineStr">
        <is>
          <t>OT # 175521. DAÑO REPORTADO POR EL Centro de Control. Mensaje de WhatsApp. Nos trasladamos desde la Agencia Yantzaza a la Florida. Informan cliente sin Servicio, se espera al compañero Luis Poma que llegue para salir. La Florida se revisa medidor 20222059011 se encuentra breaker bloqueado se resetea se hace mediciones de voltaje y corriente queda normal el servicio eléctrico ( 18:08) DAÑO REPORTADO POR EL Centro de Control. Mensaje de WhatsApp. Nos trasladamos desde la Florida a Muchime. Informan cliente sin Servicio. Muchime se revisa medidor 18-35227 se encuentra normal el servicio se llama al cliente y manifiesta que no tiene servicio se revisa se le indica en un daño interno en la caja de breaker que debe hace Revisar con personal calificado queda normal el servicio ( 19:15) Se retorna a Yantzaza. Segunda jornada de trabajo.</t>
        </is>
      </c>
      <c r="K7">
        <f>SUM((D7-C7)*1.5*24,(F7-E7)*1.5*24)</f>
        <v/>
      </c>
      <c r="R7" s="97" t="n"/>
      <c r="S7" s="92" t="n"/>
      <c r="T7" s="92" t="n"/>
      <c r="U7" s="100" t="n"/>
    </row>
    <row r="8" ht="42.5" customHeight="1" s="65">
      <c r="A8" s="83">
        <f>IF(B8&gt;0,PROPER(TEXT(B8,"dddd")),"")</f>
        <v/>
      </c>
      <c r="B8" s="108" t="n">
        <v>46135</v>
      </c>
      <c r="C8" s="109" t="n">
        <v>0.8506944444444444</v>
      </c>
      <c r="D8" s="110" t="n">
        <v>0.8645833333333334</v>
      </c>
      <c r="E8" s="109" t="n">
        <v>0.8506944444444444</v>
      </c>
      <c r="F8" s="110" t="n">
        <v>0.9180555555555555</v>
      </c>
      <c r="G8" s="109" t="n">
        <v/>
      </c>
      <c r="H8" s="110" t="n">
        <v/>
      </c>
      <c r="I8" s="109">
        <f>SUM(D8-C8, F8-E8, H8-G8)</f>
        <v/>
      </c>
      <c r="J8" s="112" t="inlineStr">
        <is>
          <t>OT # 175551. DAÑO REPORTADO POR EL Centro de Control. Mensaje de WhatsApp. Nos trasladamos desde Yantzaza a Quirigue. Informan clientes sin Servicio.</t>
        </is>
      </c>
      <c r="K8">
        <f>SUM((D8-C8)*1.5*24,(F8-E8)*1.5*24)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0.4805555555555556</v>
      </c>
      <c r="D10" s="110" t="n">
        <v>0.5138888888888888</v>
      </c>
      <c r="E10" s="109" t="n">
        <v/>
      </c>
      <c r="F10" s="110" t="n">
        <v/>
      </c>
      <c r="G10" s="109" t="n">
        <v/>
      </c>
      <c r="H10" s="110" t="n">
        <v/>
      </c>
      <c r="I10" s="109">
        <f>SUM(D10-C10, F10-E10, H10-G10)</f>
        <v/>
      </c>
      <c r="J10" s="112" t="inlineStr">
        <is>
          <t>OT # 175553. Barrio Norte, Med # 1000400554 en la Est 273878 caja de distribución pre ensamblado recalentado. Se limpia y se ajusta conexiones queda normal el servicio eléctrico.</t>
        </is>
      </c>
      <c r="K10">
        <f>SUM((D10-C10)*2.0*24)</f>
        <v/>
      </c>
      <c r="R10" s="97" t="n"/>
      <c r="S10" s="92" t="n"/>
      <c r="T10" s="92" t="n"/>
      <c r="U10" s="100" t="n"/>
    </row>
    <row r="11" ht="30.65" customHeight="1" s="65">
      <c r="A11" s="83">
        <f>IF(B11&gt;0,PROPER(TEXT(B11,"dddd")),"")</f>
        <v/>
      </c>
      <c r="B11" s="108" t="n">
        <v>46138</v>
      </c>
      <c r="C11" s="109" t="n">
        <v>0.5826388888888889</v>
      </c>
      <c r="D11" s="110" t="n">
        <v>0.6256944444444444</v>
      </c>
      <c r="E11" s="109" t="n">
        <v/>
      </c>
      <c r="F11" s="110" t="n">
        <v/>
      </c>
      <c r="G11" s="109" t="n">
        <v/>
      </c>
      <c r="H11" s="110" t="n">
        <v/>
      </c>
      <c r="I11" s="109">
        <f>SUM(D11-C11, F11-E11, H11-G11)</f>
        <v/>
      </c>
      <c r="J11" s="112" t="inlineStr">
        <is>
          <t>OT # 175554. Y de Chicaña, Med # 18-230935 se revisa LM/T, se encuentra una hoja de Guarumbo la estructura 272276, se corta vegetación, se cambia tira fusible de 20A-T</t>
        </is>
      </c>
      <c r="K11">
        <f>SUM((D11-C11)*2.0*24)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0.05347222222222222</v>
      </c>
      <c r="D6" s="110" t="n">
        <v>0.1145833333333333</v>
      </c>
      <c r="E6" s="109" t="n">
        <v>0.1180555555555556</v>
      </c>
      <c r="F6" s="110" t="n">
        <v>0.1368055555555556</v>
      </c>
      <c r="G6" s="109" t="n">
        <v/>
      </c>
      <c r="H6" s="110" t="n">
        <v/>
      </c>
      <c r="I6" s="109">
        <f>SUM(D6-C6, F6-E6, H6-G6)</f>
        <v/>
      </c>
      <c r="J6" s="111" t="inlineStr">
        <is>
          <t>OT # 175513. DAÑO REPORTADO POR EL Centro de Control. Mensaje de WhatsApp. Y llamada telefónica. Nos trasladamos desde la Agencia Yantzaza a la Panguitza. Informan estructura de A/P chocado.se cambia llanta rota del vehiculo 2-11 Panguitza se encuentra estructura de alumbrado publico numero 2674569 chocado por vehículo desconocido se informa al centro de control. se retira luminarias dañadas y estructura para despejar la via.</t>
        </is>
      </c>
      <c r="K6">
        <f>SUM((D6-C6)*2.0*24,(F6-E6)*2.0*24)</f>
        <v/>
      </c>
      <c r="R6" s="97" t="n"/>
      <c r="S6" s="92" t="n"/>
      <c r="T6" s="92" t="n"/>
      <c r="U6" s="100" t="n"/>
    </row>
    <row r="7" ht="30.65" customHeight="1" s="65">
      <c r="A7" s="83">
        <f>IF(B7&gt;0,PROPER(TEXT(B7,"dddd")),"")</f>
        <v/>
      </c>
      <c r="B7" s="108" t="n">
        <v>46134</v>
      </c>
      <c r="C7" s="109" t="n">
        <v>0.7083333333333334</v>
      </c>
      <c r="D7" s="110" t="n">
        <v>0.8340277777777778</v>
      </c>
      <c r="E7" s="109" t="n">
        <v>0.8541666666666666</v>
      </c>
      <c r="F7" s="110" t="n">
        <v>0.9381944444444444</v>
      </c>
      <c r="G7" s="109" t="n">
        <v/>
      </c>
      <c r="H7" s="110" t="n">
        <v/>
      </c>
      <c r="I7" s="109">
        <f>SUM(D7-C7, F7-E7, H7-G7)</f>
        <v/>
      </c>
      <c r="J7" s="112" t="inlineStr">
        <is>
          <t>OT # 175521. DAÑO REPORTADO POR EL Centro de Control. Mensaje de WhatsApp. Nos trasladamos desde la Agencia Yantzaza a la Florida. Informan cliente sin Servicio, se espera al compañero Luis Poma que llegue para salir. La Florida se revisa medidor 20222059011 se encuentra breaker bloqueado se resetea se hace mediciones de voltaje y corriente queda normal el servicio eléctrico ( 18:08) DAÑO REPORTADO POR EL Centro de Control. Mensaje de WhatsApp. Nos trasladamos desde la Florida a Muchime. Informan cliente sin Servicio. Muchime se revisa medidor 18-35227 se encuentra normal el servicio se llama al cliente y manifiesta que no tiene servicio se revisa se le indica en un daño interno en la caja de breaker que debe hace Revisar con personal calificado queda normal el servicio ( 19:15) Se retorna a Yantzaza. Segunda jornada de trabajo.</t>
        </is>
      </c>
      <c r="K7">
        <f>SUM((D7-C7)*1.5*24,(F7-E7)*1.5*24)</f>
        <v/>
      </c>
      <c r="R7" s="97" t="n"/>
      <c r="S7" s="92" t="n"/>
      <c r="T7" s="92" t="n"/>
      <c r="U7" s="100" t="n"/>
    </row>
    <row r="8" ht="42.5" customHeight="1" s="65">
      <c r="A8" s="83">
        <f>IF(B8&gt;0,PROPER(TEXT(B8,"dddd")),"")</f>
        <v/>
      </c>
      <c r="B8" s="108" t="n">
        <v>46135</v>
      </c>
      <c r="C8" s="109" t="n">
        <v>0.8506944444444444</v>
      </c>
      <c r="D8" s="110" t="n">
        <v>0.8645833333333334</v>
      </c>
      <c r="E8" s="109" t="n">
        <v>0.8506944444444444</v>
      </c>
      <c r="F8" s="110" t="n">
        <v>0.9180555555555555</v>
      </c>
      <c r="G8" s="109" t="n">
        <v/>
      </c>
      <c r="H8" s="110" t="n">
        <v/>
      </c>
      <c r="I8" s="109">
        <f>SUM(D8-C8, F8-E8, H8-G8)</f>
        <v/>
      </c>
      <c r="J8" s="112" t="inlineStr">
        <is>
          <t>OT # 175551. DAÑO REPORTADO POR EL Centro de Control. Mensaje de WhatsApp. Nos trasladamos desde Yantzaza a Quirigue. Informan clientes sin Servicio.</t>
        </is>
      </c>
      <c r="K8">
        <f>SUM((D8-C8)*1.5*24,(F8-E8)*1.5*24)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0.4805555555555556</v>
      </c>
      <c r="D10" s="110" t="n">
        <v>0.5138888888888888</v>
      </c>
      <c r="E10" s="109" t="n">
        <v/>
      </c>
      <c r="F10" s="110" t="n">
        <v/>
      </c>
      <c r="G10" s="109" t="n">
        <v/>
      </c>
      <c r="H10" s="110" t="n">
        <v/>
      </c>
      <c r="I10" s="109">
        <f>SUM(D10-C10, F10-E10, H10-G10)</f>
        <v/>
      </c>
      <c r="J10" s="112" t="inlineStr">
        <is>
          <t>OT # 175553. Barrio Norte, Med # 1000400554 en la Est 273878 caja de distribución pre ensamblado recalentado. Se limpia y se ajusta conexiones queda normal el servicio eléctrico.</t>
        </is>
      </c>
      <c r="K10">
        <f>SUM((D10-C10)*2.0*24)</f>
        <v/>
      </c>
      <c r="R10" s="97" t="n"/>
      <c r="S10" s="92" t="n"/>
      <c r="T10" s="92" t="n"/>
      <c r="U10" s="100" t="n"/>
    </row>
    <row r="11" ht="30.65" customHeight="1" s="65">
      <c r="A11" s="83">
        <f>IF(B11&gt;0,PROPER(TEXT(B11,"dddd")),"")</f>
        <v/>
      </c>
      <c r="B11" s="108" t="n">
        <v>46138</v>
      </c>
      <c r="C11" s="109" t="n">
        <v>0.5826388888888889</v>
      </c>
      <c r="D11" s="110" t="n">
        <v>0.6256944444444444</v>
      </c>
      <c r="E11" s="109" t="n">
        <v/>
      </c>
      <c r="F11" s="110" t="n">
        <v/>
      </c>
      <c r="G11" s="109" t="n">
        <v/>
      </c>
      <c r="H11" s="110" t="n">
        <v/>
      </c>
      <c r="I11" s="109">
        <f>SUM(D11-C11, F11-E11, H11-G11)</f>
        <v/>
      </c>
      <c r="J11" s="112" t="inlineStr">
        <is>
          <t>OT # 175554. Y de Chicaña, Med # 18-230935 se revisa LM/T, se encuentra una hoja de Guarumbo la estructura 272276, se corta vegetación, se cambia tira fusible de 20A-T</t>
        </is>
      </c>
      <c r="K11">
        <f>SUM((D11-C11)*2.0*24)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0.2395833333333333</v>
      </c>
      <c r="D8" s="110" t="n">
        <v>0.3333333333333333</v>
      </c>
      <c r="E8" s="109" t="n">
        <v/>
      </c>
      <c r="F8" s="110" t="n">
        <v/>
      </c>
      <c r="G8" s="109" t="n">
        <v/>
      </c>
      <c r="H8" s="110" t="n">
        <v/>
      </c>
      <c r="I8" s="109">
        <f>SUM(D8-C8, F8-E8, H8-G8)</f>
        <v/>
      </c>
      <c r="J8" s="112" t="inlineStr">
        <is>
          <t>OT # 175336. Muchime, Reguladores de Voltaje de Los Encuentros, se ejecuta maniobras en cordinación con SCADA</t>
        </is>
      </c>
      <c r="K8">
        <f>SUM((D8-C8)*2.0*24)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0.7083333333333334</v>
      </c>
      <c r="D7" s="110" t="n">
        <v>0.8680555555555556</v>
      </c>
      <c r="E7" s="109" t="n">
        <v/>
      </c>
      <c r="F7" s="110" t="n">
        <v/>
      </c>
      <c r="G7" s="109" t="n">
        <v/>
      </c>
      <c r="H7" s="110" t="n">
        <v/>
      </c>
      <c r="I7" s="109">
        <f>SUM(D7-C7, F7-E7, H7-G7)</f>
        <v/>
      </c>
      <c r="J7" s="112" t="inlineStr">
        <is>
          <t>OT # 175327. Chucumbleza: estructura 1980063 - 179767 se abre puentes de variante manofásica y se retira linea y se habilita recierre del reconectador Santiago Paty, trabajos conjuntamente con Grupo de Edwin Poma. Chucumbleza - Subestacion Yantzaza- Agencia Yantzaza. Laboran: LA,CB, RM, CO, SR de 08:00 a 20:50. Recorrido canasta 2-146: Inicial: 2506 FINAL: 2593</t>
        </is>
      </c>
      <c r="K7">
        <f>SUM((D7-C7)*1.5*24)</f>
        <v/>
      </c>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0.7395833333333334</v>
      </c>
      <c r="D9" s="110" t="n">
        <v>0.8472222222222222</v>
      </c>
      <c r="E9" s="109" t="n">
        <v/>
      </c>
      <c r="F9" s="110" t="n">
        <v/>
      </c>
      <c r="G9" s="109" t="n">
        <v/>
      </c>
      <c r="H9" s="110" t="n">
        <v/>
      </c>
      <c r="I9" s="109">
        <f>SUM(D9-C9, F9-E9, H9-G9)</f>
        <v/>
      </c>
      <c r="J9" s="112" t="inlineStr">
        <is>
          <t>OT # 175390. Chucumbleza:Se cierra Rec Chuchumbleza se mide secuencia de fase estructura 28533 cambio de pararrayo y cierre de puentes de puentes de media tensión, cierre de sec fusibles para normalizar el sistema. Chuchumbleza - Subestación Yantzaza - Agencia Yantzaza. Laboran: LA, CB, RM, CO, SR de 08:00 a 20:20. Kilometraje canasta 2-146: Inicial: 2630 final: 2790. Materiales: 6 conectores ranuras paralelas, 1 cruceta de 1.20m, pie amigo de 0,75, 1 perno U, 1 perno de 5/8 x 18nro10, 2 seccionadores barra vertical, 1 cruceta de 2,40, 2 pernos de 1/2 x 1 1/2¨".</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0.8305555555555556</v>
      </c>
      <c r="D8" s="110" t="n">
        <v>0.8965277777777778</v>
      </c>
      <c r="E8" s="109" t="n">
        <v/>
      </c>
      <c r="F8" s="110" t="n">
        <v/>
      </c>
      <c r="G8" s="109" t="n">
        <v/>
      </c>
      <c r="H8" s="110" t="n">
        <v/>
      </c>
      <c r="I8" s="109">
        <f>SUM(D8-C8, F8-E8, H8-G8)</f>
        <v/>
      </c>
      <c r="J8" s="112" t="inlineStr">
        <is>
          <t>OT # 175382. El Milagro, Est 32658 se recorre LMV hasta 32696, sin novedad; Se repone tirafusible de 6A-T, se reestablece el servicio.</t>
        </is>
      </c>
      <c r="K8">
        <f>SUM((D8-C8)*1.5*24)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0.6638888888888889</v>
      </c>
      <c r="D10" s="110" t="n">
        <v>0.875</v>
      </c>
      <c r="E10" s="109" t="n">
        <v/>
      </c>
      <c r="F10" s="110" t="n">
        <v/>
      </c>
      <c r="G10" s="109" t="n">
        <v/>
      </c>
      <c r="H10" s="110" t="n">
        <v/>
      </c>
      <c r="I10" s="109">
        <f>SUM(D10-C10, F10-E10, H10-G10)</f>
        <v/>
      </c>
      <c r="J10" s="112" t="inlineStr">
        <is>
          <t>OT # 175505. Santa Cecilia, Est 34653, se recorre hasta Est 245424, sin novedad; Se repone tirafusible de 6A-T se reestablece el servicio. Guanwintza, Est 34643 Med #1262554 árbol desplomado sobre la acometida, desbroce de vegetación, se empalma 2m de triplex, se rehabilita trafo 15268.</t>
        </is>
      </c>
      <c r="K10">
        <f>SUM((D10-C10)*2.0*24)</f>
        <v/>
      </c>
      <c r="R10" s="97" t="n"/>
      <c r="S10" s="92" t="n"/>
      <c r="T10" s="92" t="n"/>
      <c r="U10" s="100" t="n"/>
    </row>
    <row r="11" ht="30.65" customHeight="1" s="65">
      <c r="A11" s="83">
        <f>IF(B11&gt;0,PROPER(TEXT(B11,"dddd")),"")</f>
        <v/>
      </c>
      <c r="B11" s="108" t="n">
        <v>46138</v>
      </c>
      <c r="C11" s="109" t="n">
        <v>0.5784722222222223</v>
      </c>
      <c r="D11" s="110" t="n">
        <v>0.6465277777777778</v>
      </c>
      <c r="E11" s="109" t="n">
        <v/>
      </c>
      <c r="F11" s="110" t="n">
        <v/>
      </c>
      <c r="G11" s="109" t="n">
        <v/>
      </c>
      <c r="H11" s="110" t="n">
        <v/>
      </c>
      <c r="I11" s="109">
        <f>SUM(D11-C11, F11-E11, H11-G11)</f>
        <v/>
      </c>
      <c r="J11" s="112" t="inlineStr">
        <is>
          <t>OT # 175511. Santa Cecilia, se camina a la estructura 34657 (20min), mediciones de voltaje se encuentra transformador 11778 de 3 KVA en mal estado, se planifica cambio.</t>
        </is>
      </c>
      <c r="K11">
        <f>SUM((D11-C11)*2.0*24)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0.8305555555555556</v>
      </c>
      <c r="D8" s="110" t="n">
        <v>0.8965277777777778</v>
      </c>
      <c r="E8" s="109" t="n">
        <v/>
      </c>
      <c r="F8" s="110" t="n">
        <v/>
      </c>
      <c r="G8" s="109" t="n">
        <v/>
      </c>
      <c r="H8" s="110" t="n">
        <v/>
      </c>
      <c r="I8" s="109">
        <f>SUM(D8-C8, F8-E8, H8-G8)</f>
        <v/>
      </c>
      <c r="J8" s="112" t="inlineStr">
        <is>
          <t>OT # 175382. El Milagro, Est 32658 se recorre LMV hasta 32696, sin novedad; Se repone tirafusible de 6A-T, se reestablece el servicio.</t>
        </is>
      </c>
      <c r="K8">
        <f>SUM((D8-C8)*1.5*24)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0.6638888888888889</v>
      </c>
      <c r="D10" s="110" t="n">
        <v>0.875</v>
      </c>
      <c r="E10" s="109" t="n">
        <v/>
      </c>
      <c r="F10" s="110" t="n">
        <v/>
      </c>
      <c r="G10" s="109" t="n">
        <v/>
      </c>
      <c r="H10" s="110" t="n">
        <v/>
      </c>
      <c r="I10" s="109">
        <f>SUM(D10-C10, F10-E10, H10-G10)</f>
        <v/>
      </c>
      <c r="J10" s="112" t="inlineStr">
        <is>
          <t>OT # 175505. Santa Cecilia, Est 34653, se recorre hasta Est 245424, sin novedad; Se repone tirafusible de 6A-T se reestablece el servicio. Guanwintza, Est 34643 Med #1262554 árbol desplomado sobre la acometida, desbroce de vegetación, se empalma 2m de triplex, se rehabilita trafo 15268.</t>
        </is>
      </c>
      <c r="K10">
        <f>SUM((D10-C10)*2.0*24)</f>
        <v/>
      </c>
      <c r="R10" s="97" t="n"/>
      <c r="S10" s="92" t="n"/>
      <c r="T10" s="92" t="n"/>
      <c r="U10" s="100" t="n"/>
    </row>
    <row r="11" ht="30.65" customHeight="1" s="65">
      <c r="A11" s="83">
        <f>IF(B11&gt;0,PROPER(TEXT(B11,"dddd")),"")</f>
        <v/>
      </c>
      <c r="B11" s="108" t="n">
        <v>46138</v>
      </c>
      <c r="C11" s="109" t="n">
        <v>0.5784722222222223</v>
      </c>
      <c r="D11" s="110" t="n">
        <v>0.6465277777777778</v>
      </c>
      <c r="E11" s="109" t="n">
        <v/>
      </c>
      <c r="F11" s="110" t="n">
        <v/>
      </c>
      <c r="G11" s="109" t="n">
        <v/>
      </c>
      <c r="H11" s="110" t="n">
        <v/>
      </c>
      <c r="I11" s="109">
        <f>SUM(D11-C11, F11-E11, H11-G11)</f>
        <v/>
      </c>
      <c r="J11" s="112" t="inlineStr">
        <is>
          <t>OT # 175511. Santa Cecilia, se camina a la estructura 34657 (20min), mediciones de voltaje se encuentra transformador 11778 de 3 KVA en mal estado, se planifica cambio.</t>
        </is>
      </c>
      <c r="K11">
        <f>SUM((D11-C11)*2.0*24)</f>
        <v/>
      </c>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0.7083333333333334</v>
      </c>
      <c r="D7" s="110" t="n">
        <v>0.7576388888888889</v>
      </c>
      <c r="E7" s="109" t="n">
        <v/>
      </c>
      <c r="F7" s="110" t="n">
        <v/>
      </c>
      <c r="G7" s="109" t="n">
        <v/>
      </c>
      <c r="H7" s="110" t="n">
        <v/>
      </c>
      <c r="I7" s="109">
        <f>SUM(D7-C7, F7-E7, H7-G7)</f>
        <v/>
      </c>
      <c r="J7" s="112" t="inlineStr">
        <is>
          <t>OT # 175259. Traslado de Nuevo Paraíso a Santa Rosa, Est 32723 se rehabilita trafo # 7197; Causa: Acometida cortocircuito y arrancada por vehículo.</t>
        </is>
      </c>
      <c r="K7">
        <f>SUM((D7-C7)*1.5*24)</f>
        <v/>
      </c>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0.7083333333333334</v>
      </c>
      <c r="D7" s="110" t="n">
        <v>0.7576388888888889</v>
      </c>
      <c r="E7" s="109" t="n">
        <v/>
      </c>
      <c r="F7" s="110" t="n">
        <v/>
      </c>
      <c r="G7" s="109" t="n">
        <v/>
      </c>
      <c r="H7" s="110" t="n">
        <v/>
      </c>
      <c r="I7" s="109">
        <f>SUM(D7-C7, F7-E7, H7-G7)</f>
        <v/>
      </c>
      <c r="J7" s="112" t="inlineStr">
        <is>
          <t>OT # 175259. Traslado de Nuevo Paraíso a Santa Rosa, Est 32723 se rehabilita trafo # 7197; Causa: Acometida cortocircuito y arrancada por vehículo.</t>
        </is>
      </c>
      <c r="K7">
        <f>SUM((D7-C7)*1.5*24)</f>
        <v/>
      </c>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0.3083333333333333</v>
      </c>
      <c r="D8" s="110" t="n">
        <v>0.3333333333333333</v>
      </c>
      <c r="E8" s="109" t="n">
        <v/>
      </c>
      <c r="F8" s="110" t="n">
        <v/>
      </c>
      <c r="G8" s="109" t="n">
        <v/>
      </c>
      <c r="H8" s="110" t="n">
        <v/>
      </c>
      <c r="I8" s="109">
        <f>SUM(D8-C8, F8-E8, H8-G8)</f>
        <v/>
      </c>
      <c r="J8" s="112" t="inlineStr">
        <is>
          <t>OT # 175378. Reconectador Chuchumbletza, se revisa el Reconectador se ejecutan maniobras.</t>
        </is>
      </c>
      <c r="K8">
        <f>SUM((D8-C8)*1.5*24)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0.3083333333333333</v>
      </c>
      <c r="D8" s="110" t="n">
        <v>0.3333333333333333</v>
      </c>
      <c r="E8" s="109" t="n">
        <v/>
      </c>
      <c r="F8" s="110" t="n">
        <v/>
      </c>
      <c r="G8" s="109" t="n">
        <v/>
      </c>
      <c r="H8" s="110" t="n">
        <v/>
      </c>
      <c r="I8" s="109">
        <f>SUM(D8-C8, F8-E8, H8-G8)</f>
        <v/>
      </c>
      <c r="J8" s="112" t="inlineStr">
        <is>
          <t>OT # 175378. Reconectador Chuchumbletza, se revisa el Reconectador se ejecutan maniobras.</t>
        </is>
      </c>
      <c r="K8">
        <f>SUM((D8-C8)*1.5*24)</f>
        <v/>
      </c>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0.7083333333333334</v>
      </c>
      <c r="D6" s="110" t="n">
        <v>0.7743055555555556</v>
      </c>
      <c r="E6" s="109" t="n">
        <v/>
      </c>
      <c r="F6" s="110" t="n">
        <v/>
      </c>
      <c r="G6" s="109" t="n">
        <v/>
      </c>
      <c r="H6" s="110" t="n">
        <v/>
      </c>
      <c r="I6" s="109">
        <f>SUM(D6-C6, F6-E6, H6-G6)</f>
        <v/>
      </c>
      <c r="J6" s="111" t="inlineStr">
        <is>
          <t>OT # 175166. Kurintza, se instala N/S 18-264157 desde la Est 272136.</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0.7083333333333334</v>
      </c>
      <c r="D6" s="110" t="n">
        <v>0.7743055555555556</v>
      </c>
      <c r="E6" s="109" t="n">
        <v/>
      </c>
      <c r="F6" s="110" t="n">
        <v/>
      </c>
      <c r="G6" s="109" t="n">
        <v/>
      </c>
      <c r="H6" s="110" t="n">
        <v/>
      </c>
      <c r="I6" s="109">
        <f>SUM(D6-C6, F6-E6, H6-G6)</f>
        <v/>
      </c>
      <c r="J6" s="111" t="inlineStr">
        <is>
          <t>OT # 175166. Kurintza, se instala N/S 18-264157 desde la Est 272136.</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0.7597222222222222</v>
      </c>
      <c r="D6" s="110" t="n">
        <v>0.8395833333333333</v>
      </c>
      <c r="E6" s="109" t="n">
        <v/>
      </c>
      <c r="F6" s="110" t="n">
        <v/>
      </c>
      <c r="G6" s="109" t="n">
        <v/>
      </c>
      <c r="H6" s="110" t="n">
        <v/>
      </c>
      <c r="I6" s="109">
        <f>SUM(D6-C6, F6-E6, H6-G6)</f>
        <v/>
      </c>
      <c r="J6" s="111" t="inlineStr">
        <is>
          <t>OT # 175158. El Quimi, se arregla RBV arrancada por volquete entre los postes 195181 y 282295, se rehabilita Trafo # 16802</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0.7597222222222222</v>
      </c>
      <c r="D6" s="110" t="n">
        <v>0.8395833333333333</v>
      </c>
      <c r="E6" s="109" t="n">
        <v/>
      </c>
      <c r="F6" s="110" t="n">
        <v/>
      </c>
      <c r="G6" s="109" t="n">
        <v/>
      </c>
      <c r="H6" s="110" t="n">
        <v/>
      </c>
      <c r="I6" s="109">
        <f>SUM(D6-C6, F6-E6, H6-G6)</f>
        <v/>
      </c>
      <c r="J6" s="111" t="inlineStr">
        <is>
          <t>OT # 175158. El Quimi, se arregla RBV arrancada por volquete entre los postes 195181 y 282295, se rehabilita Trafo # 16802</t>
        </is>
      </c>
      <c r="K6">
        <f>SUM((D6-C6)*1.5*24)</f>
        <v/>
      </c>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
      </c>
      <c r="D9" s="110" t="n">
        <v/>
      </c>
      <c r="E9" s="109" t="n">
        <v/>
      </c>
      <c r="F9" s="110" t="n">
        <v/>
      </c>
      <c r="G9" s="109" t="n">
        <v/>
      </c>
      <c r="H9" s="110" t="n">
        <v/>
      </c>
      <c r="I9" s="109">
        <f>SUM(D9-C9, F9-E9, H9-G9)</f>
        <v/>
      </c>
      <c r="J9" s="112" t="n">
        <v/>
      </c>
      <c r="K9" t="inlineStr"/>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0.7395833333333334</v>
      </c>
      <c r="D9" s="110" t="n">
        <v>0.8083333333333333</v>
      </c>
      <c r="E9" s="109" t="n">
        <v/>
      </c>
      <c r="F9" s="110" t="n">
        <v/>
      </c>
      <c r="G9" s="109" t="n">
        <v/>
      </c>
      <c r="H9" s="110" t="n">
        <v/>
      </c>
      <c r="I9" s="109">
        <f>SUM(D9-C9, F9-E9, H9-G9)</f>
        <v/>
      </c>
      <c r="J9" s="112" t="inlineStr">
        <is>
          <t>OT # 175420. Bomboiza, acometida arrancada del Med # 1000407925, se reemplaza 18 mts de triplex y se repone caja Anti Hurto, estructura 303905.</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W191"/>
  <sheetViews>
    <sheetView workbookViewId="0">
      <selection activeCell="A1" sqref="A1"/>
    </sheetView>
  </sheetViews>
  <sheetFormatPr baseColWidth="8" defaultColWidth="9.7734375" defaultRowHeight="16.5" customHeight="0" zeroHeight="0" outlineLevelRow="0"/>
  <cols>
    <col width="7.66" customWidth="1" style="77" min="1" max="1"/>
    <col width="12.72" customWidth="1" style="77" min="2" max="2"/>
    <col width="6.98" customWidth="1" style="77" min="3" max="8"/>
    <col width="9.880000000000001" customWidth="1" style="78" min="9" max="9"/>
    <col width="96.22" customWidth="1" style="77" min="10" max="10"/>
    <col width="6.43" customWidth="1" style="77" min="11" max="11"/>
    <col width="8.56" customWidth="1" style="77" min="12" max="12"/>
    <col width="12.22" customWidth="1" style="77" min="13" max="13"/>
    <col width="3.33" customWidth="1" style="77" min="14" max="14"/>
    <col width="8.56" customWidth="1" style="77" min="15" max="15"/>
    <col width="8.98" customWidth="1" style="77" min="16" max="16"/>
    <col width="2.99" customWidth="1" style="79" min="17" max="17"/>
    <col width="22.98" customWidth="1" style="79" min="18" max="18"/>
    <col width="12.77" customWidth="1" style="79" min="19" max="22"/>
    <col width="4.88" customWidth="1" style="79" min="23" max="23"/>
    <col width="9.77" customWidth="1" style="79" min="24" max="24"/>
    <col width="12.33" customWidth="1" style="79" min="25" max="25"/>
    <col width="13.77" customWidth="1" style="79" min="26" max="26"/>
    <col width="9.77" customWidth="1" style="79" min="27" max="257"/>
  </cols>
  <sheetData>
    <row r="1" ht="21.75" customHeight="1" s="65">
      <c r="A1" s="80" t="inlineStr">
        <is>
          <t xml:space="preserve">Nombre del trabajador: </t>
        </is>
      </c>
      <c r="B1" s="80" t="n"/>
      <c r="C1" s="80" t="n"/>
      <c r="D1" s="80" t="n"/>
      <c r="E1" s="81" t="n"/>
      <c r="F1" s="81" t="n"/>
      <c r="G1" s="82" t="n"/>
      <c r="H1" s="83" t="inlineStr">
        <is>
          <t>CARTUCHE SILVA GERARDO PATRICIO</t>
        </is>
      </c>
      <c r="I1" s="84">
        <f>SUM(K6:K36)</f>
        <v/>
      </c>
      <c r="J1" s="85" t="inlineStr">
        <is>
          <t>TOTAL</t>
        </is>
      </c>
    </row>
    <row r="2" ht="18.75" customHeight="1" s="65">
      <c r="A2" s="86" t="inlineStr">
        <is>
          <t>Cuadrilla o Agencia:</t>
        </is>
      </c>
      <c r="B2" s="86" t="n"/>
      <c r="C2" s="86" t="n"/>
      <c r="D2" s="86" t="n"/>
      <c r="E2" s="87" t="n"/>
      <c r="F2" s="87" t="n"/>
      <c r="G2" s="87" t="n"/>
      <c r="H2" s="83" t="inlineStr">
        <is>
          <t>AGENCIA GUALAQUIZA</t>
        </is>
      </c>
      <c r="I2" s="88">
        <f>SUM(I6:I36)*24</f>
        <v/>
      </c>
      <c r="J2" s="89" t="inlineStr">
        <is>
          <t>(horas reloj)</t>
        </is>
      </c>
      <c r="K2" s="90" t="n"/>
      <c r="L2" s="90" t="n"/>
      <c r="M2" s="90" t="n"/>
      <c r="N2" s="90" t="n"/>
      <c r="O2" s="90" t="n"/>
      <c r="P2" s="90" t="n"/>
      <c r="R2" s="91" t="n"/>
      <c r="S2" s="92" t="n"/>
      <c r="T2" s="92" t="n"/>
      <c r="U2" s="92" t="n"/>
    </row>
    <row r="3" ht="15" customHeight="1" s="65">
      <c r="A3" s="93" t="inlineStr">
        <is>
          <t>Parte:</t>
        </is>
      </c>
      <c r="B3" s="93" t="n"/>
      <c r="C3" s="93" t="n"/>
      <c r="D3" s="93" t="n"/>
      <c r="E3" s="94" t="n"/>
      <c r="F3" s="94" t="n"/>
      <c r="G3" s="94" t="n"/>
      <c r="H3" s="83" t="inlineStr">
        <is>
          <t>ABRIL 2026</t>
        </is>
      </c>
      <c r="I3" s="95" t="n"/>
      <c r="J3" s="96" t="inlineStr">
        <is>
          <t xml:space="preserve">                      Trabajador                                                                    Jefe Zonal                                                                Ingeniero 1                </t>
        </is>
      </c>
      <c r="K3" s="79" t="n"/>
      <c r="L3" s="79" t="n"/>
      <c r="M3" s="79" t="n"/>
      <c r="N3" s="79" t="n"/>
      <c r="O3" s="79" t="n"/>
      <c r="P3" s="79" t="n"/>
      <c r="R3" s="97" t="n"/>
      <c r="S3" s="92" t="n"/>
      <c r="T3" s="92" t="n"/>
      <c r="U3" s="92" t="n"/>
      <c r="V3" s="98" t="n"/>
      <c r="W3" s="98" t="n"/>
      <c r="X3" s="98" t="n"/>
      <c r="Y3" s="98" t="n"/>
      <c r="Z3" s="98" t="n"/>
      <c r="AA3" s="98" t="n"/>
      <c r="AB3" s="98" t="n"/>
      <c r="AC3" s="98" t="n"/>
      <c r="AD3" s="98" t="n"/>
      <c r="AE3" s="98" t="n"/>
      <c r="AF3" s="98" t="n"/>
      <c r="AG3" s="98" t="n"/>
      <c r="AH3" s="98" t="n"/>
      <c r="AI3" s="98" t="n"/>
      <c r="AJ3" s="99" t="n"/>
    </row>
    <row r="4" ht="6.75" customHeight="1" s="65">
      <c r="R4" s="97" t="n"/>
      <c r="S4" s="92" t="n"/>
      <c r="T4" s="92" t="n"/>
      <c r="U4" s="100" t="n"/>
    </row>
    <row r="5" ht="16.5" customHeight="1" s="65">
      <c r="A5" s="101" t="inlineStr">
        <is>
          <t>DIA</t>
        </is>
      </c>
      <c r="B5" s="102" t="inlineStr">
        <is>
          <t>FECHA</t>
        </is>
      </c>
      <c r="C5" s="101" t="inlineStr">
        <is>
          <t>Extra 1</t>
        </is>
      </c>
      <c r="D5" s="101" t="inlineStr">
        <is>
          <t>Fin 1</t>
        </is>
      </c>
      <c r="E5" s="101" t="inlineStr">
        <is>
          <t>Extra 2</t>
        </is>
      </c>
      <c r="F5" s="102" t="inlineStr">
        <is>
          <t>Fin 2</t>
        </is>
      </c>
      <c r="G5" s="101" t="inlineStr">
        <is>
          <t>Extra 3</t>
        </is>
      </c>
      <c r="H5" s="101" t="inlineStr">
        <is>
          <t>Fin 3</t>
        </is>
      </c>
      <c r="I5" s="101" t="inlineStr">
        <is>
          <t>Horas</t>
        </is>
      </c>
      <c r="J5" s="101" t="inlineStr">
        <is>
          <t>BREVE EXPLICACION</t>
        </is>
      </c>
      <c r="K5" s="103" t="n"/>
      <c r="L5" s="103" t="n"/>
      <c r="M5" s="103" t="n"/>
      <c r="N5" s="103" t="n"/>
      <c r="O5" s="103" t="n"/>
      <c r="P5" s="103" t="n"/>
      <c r="Q5" s="104" t="n"/>
      <c r="R5" s="105" t="n"/>
      <c r="S5" s="106" t="n"/>
      <c r="T5" s="106" t="n"/>
      <c r="U5" s="107"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c r="FR5" s="104" t="n"/>
      <c r="FS5" s="104" t="n"/>
      <c r="FT5" s="104" t="n"/>
      <c r="FU5" s="104" t="n"/>
      <c r="FV5" s="104" t="n"/>
      <c r="FW5" s="104" t="n"/>
      <c r="FX5" s="104" t="n"/>
      <c r="FY5" s="104" t="n"/>
      <c r="FZ5" s="104" t="n"/>
      <c r="GA5" s="104" t="n"/>
      <c r="GB5" s="104" t="n"/>
      <c r="GC5" s="104" t="n"/>
      <c r="GD5" s="104" t="n"/>
      <c r="GE5" s="104" t="n"/>
      <c r="GF5" s="104" t="n"/>
      <c r="GG5" s="104" t="n"/>
      <c r="GH5" s="104" t="n"/>
      <c r="GI5" s="104" t="n"/>
      <c r="GJ5" s="104" t="n"/>
      <c r="GK5" s="104" t="n"/>
      <c r="GL5" s="104" t="n"/>
      <c r="GM5" s="104" t="n"/>
      <c r="GN5" s="104" t="n"/>
      <c r="GO5" s="104" t="n"/>
      <c r="GP5" s="104" t="n"/>
      <c r="GQ5" s="104" t="n"/>
      <c r="GR5" s="104" t="n"/>
      <c r="GS5" s="104" t="n"/>
      <c r="GT5" s="104" t="n"/>
      <c r="GU5" s="104" t="n"/>
      <c r="GV5" s="104" t="n"/>
      <c r="GW5" s="104" t="n"/>
      <c r="GX5" s="104" t="n"/>
      <c r="GY5" s="104" t="n"/>
      <c r="GZ5" s="104" t="n"/>
      <c r="HA5" s="104" t="n"/>
      <c r="HB5" s="104" t="n"/>
      <c r="HC5" s="104" t="n"/>
      <c r="HD5" s="104" t="n"/>
      <c r="HE5" s="104" t="n"/>
      <c r="HF5" s="104" t="n"/>
      <c r="HG5" s="104" t="n"/>
      <c r="HH5" s="104" t="n"/>
      <c r="HI5" s="104" t="n"/>
      <c r="HJ5" s="104" t="n"/>
      <c r="HK5" s="104" t="n"/>
      <c r="HL5" s="104" t="n"/>
      <c r="HM5" s="104" t="n"/>
      <c r="HN5" s="104" t="n"/>
      <c r="HO5" s="104" t="n"/>
      <c r="HP5" s="104" t="n"/>
      <c r="HQ5" s="104" t="n"/>
      <c r="HR5" s="104" t="n"/>
      <c r="HS5" s="104" t="n"/>
      <c r="HT5" s="104" t="n"/>
      <c r="HU5" s="104" t="n"/>
      <c r="HV5" s="104" t="n"/>
      <c r="HW5" s="104" t="n"/>
      <c r="HX5" s="104" t="n"/>
      <c r="HY5" s="104" t="n"/>
      <c r="HZ5" s="104" t="n"/>
      <c r="IA5" s="104" t="n"/>
      <c r="IB5" s="104" t="n"/>
      <c r="IC5" s="104" t="n"/>
      <c r="ID5" s="104" t="n"/>
      <c r="IE5" s="104" t="n"/>
      <c r="IF5" s="104" t="n"/>
      <c r="IG5" s="104" t="n"/>
      <c r="IH5" s="104" t="n"/>
      <c r="II5" s="104" t="n"/>
      <c r="IJ5" s="104" t="n"/>
      <c r="IK5" s="104" t="n"/>
      <c r="IL5" s="104" t="n"/>
      <c r="IM5" s="104" t="n"/>
      <c r="IN5" s="104" t="n"/>
      <c r="IO5" s="104" t="n"/>
      <c r="IP5" s="104" t="n"/>
      <c r="IQ5" s="104" t="n"/>
      <c r="IR5" s="104" t="n"/>
      <c r="IS5" s="104" t="n"/>
      <c r="IT5" s="104" t="n"/>
      <c r="IU5" s="104" t="n"/>
      <c r="IV5" s="104" t="n"/>
      <c r="IW5" s="104" t="n"/>
    </row>
    <row r="6" ht="30.65" customHeight="1" s="65">
      <c r="A6" s="83">
        <f>IF(B6&gt;0,PROPER(TEXT(B6,"dddd")),"")</f>
        <v/>
      </c>
      <c r="B6" s="108" t="n">
        <v>46133</v>
      </c>
      <c r="C6" s="109" t="n">
        <v/>
      </c>
      <c r="D6" s="110" t="n">
        <v/>
      </c>
      <c r="E6" s="109" t="n">
        <v/>
      </c>
      <c r="F6" s="110" t="n">
        <v/>
      </c>
      <c r="G6" s="109" t="n">
        <v/>
      </c>
      <c r="H6" s="110" t="n">
        <v/>
      </c>
      <c r="I6" s="109">
        <f>SUM(D6-C6, F6-E6, H6-G6)</f>
        <v/>
      </c>
      <c r="J6" s="111" t="n">
        <v/>
      </c>
      <c r="K6" t="inlineStr"/>
      <c r="R6" s="97" t="n"/>
      <c r="S6" s="92" t="n"/>
      <c r="T6" s="92" t="n"/>
      <c r="U6" s="100" t="n"/>
    </row>
    <row r="7" ht="30.65" customHeight="1" s="65">
      <c r="A7" s="83">
        <f>IF(B7&gt;0,PROPER(TEXT(B7,"dddd")),"")</f>
        <v/>
      </c>
      <c r="B7" s="108" t="n">
        <v>46134</v>
      </c>
      <c r="C7" s="109" t="n">
        <v/>
      </c>
      <c r="D7" s="110" t="n">
        <v/>
      </c>
      <c r="E7" s="109" t="n">
        <v/>
      </c>
      <c r="F7" s="110" t="n">
        <v/>
      </c>
      <c r="G7" s="109" t="n">
        <v/>
      </c>
      <c r="H7" s="110" t="n">
        <v/>
      </c>
      <c r="I7" s="109">
        <f>SUM(D7-C7, F7-E7, H7-G7)</f>
        <v/>
      </c>
      <c r="J7" s="112" t="n">
        <v/>
      </c>
      <c r="K7" t="inlineStr"/>
      <c r="R7" s="97" t="n"/>
      <c r="S7" s="92" t="n"/>
      <c r="T7" s="92" t="n"/>
      <c r="U7" s="100" t="n"/>
    </row>
    <row r="8" ht="42.5" customHeight="1" s="65">
      <c r="A8" s="83">
        <f>IF(B8&gt;0,PROPER(TEXT(B8,"dddd")),"")</f>
        <v/>
      </c>
      <c r="B8" s="108" t="n">
        <v>46135</v>
      </c>
      <c r="C8" s="109" t="n">
        <v/>
      </c>
      <c r="D8" s="110" t="n">
        <v/>
      </c>
      <c r="E8" s="109" t="n">
        <v/>
      </c>
      <c r="F8" s="110" t="n">
        <v/>
      </c>
      <c r="G8" s="109" t="n">
        <v/>
      </c>
      <c r="H8" s="110" t="n">
        <v/>
      </c>
      <c r="I8" s="109">
        <f>SUM(D8-C8, F8-E8, H8-G8)</f>
        <v/>
      </c>
      <c r="J8" s="112" t="n">
        <v/>
      </c>
      <c r="K8" t="inlineStr"/>
      <c r="R8" s="97" t="n"/>
      <c r="S8" s="92" t="n"/>
      <c r="T8" s="92" t="n"/>
      <c r="U8" s="100" t="n"/>
    </row>
    <row r="9" ht="30.65" customHeight="1" s="65">
      <c r="A9" s="83">
        <f>IF(B9&gt;0,PROPER(TEXT(B9,"dddd")),"")</f>
        <v/>
      </c>
      <c r="B9" s="108" t="n">
        <v>46136</v>
      </c>
      <c r="C9" s="109" t="n">
        <v>0.7395833333333334</v>
      </c>
      <c r="D9" s="110" t="n">
        <v>0.8083333333333333</v>
      </c>
      <c r="E9" s="109" t="n">
        <v/>
      </c>
      <c r="F9" s="110" t="n">
        <v/>
      </c>
      <c r="G9" s="109" t="n">
        <v/>
      </c>
      <c r="H9" s="110" t="n">
        <v/>
      </c>
      <c r="I9" s="109">
        <f>SUM(D9-C9, F9-E9, H9-G9)</f>
        <v/>
      </c>
      <c r="J9" s="112" t="inlineStr">
        <is>
          <t>OT # 175420. Bomboiza, acometida arrancada del Med # 1000407925, se reemplaza 18 mts de triplex y se repone caja Anti Hurto, estructura 303905.</t>
        </is>
      </c>
      <c r="K9">
        <f>SUM((D9-C9)*1.5*24)</f>
        <v/>
      </c>
      <c r="R9" s="97" t="n"/>
      <c r="S9" s="92" t="n"/>
      <c r="T9" s="92" t="n"/>
      <c r="U9" s="100" t="n"/>
    </row>
    <row r="10" ht="30.65" customHeight="1" s="65">
      <c r="A10" s="83">
        <f>IF(B10&gt;0,PROPER(TEXT(B10,"dddd")),"")</f>
        <v/>
      </c>
      <c r="B10" s="108" t="n">
        <v>46137</v>
      </c>
      <c r="C10" s="109" t="n">
        <v/>
      </c>
      <c r="D10" s="110" t="n">
        <v/>
      </c>
      <c r="E10" s="109" t="n">
        <v/>
      </c>
      <c r="F10" s="110" t="n">
        <v/>
      </c>
      <c r="G10" s="109" t="n">
        <v/>
      </c>
      <c r="H10" s="110" t="n">
        <v/>
      </c>
      <c r="I10" s="109">
        <f>SUM(D10-C10, F10-E10, H10-G10)</f>
        <v/>
      </c>
      <c r="J10" s="112" t="n">
        <v/>
      </c>
      <c r="K10" t="inlineStr"/>
      <c r="R10" s="97" t="n"/>
      <c r="S10" s="92" t="n"/>
      <c r="T10" s="92" t="n"/>
      <c r="U10" s="100" t="n"/>
    </row>
    <row r="11" ht="30.65" customHeight="1" s="65">
      <c r="A11" s="83">
        <f>IF(B11&gt;0,PROPER(TEXT(B11,"dddd")),"")</f>
        <v/>
      </c>
      <c r="B11" s="108" t="n">
        <v>46138</v>
      </c>
      <c r="C11" s="109" t="n">
        <v/>
      </c>
      <c r="D11" s="110" t="n">
        <v/>
      </c>
      <c r="E11" s="109" t="n">
        <v/>
      </c>
      <c r="F11" s="110" t="n">
        <v/>
      </c>
      <c r="G11" s="109" t="n">
        <v/>
      </c>
      <c r="H11" s="110" t="n">
        <v/>
      </c>
      <c r="I11" s="109">
        <f>SUM(D11-C11, F11-E11, H11-G11)</f>
        <v/>
      </c>
      <c r="J11" s="112" t="n">
        <v/>
      </c>
      <c r="K11" t="inlineStr"/>
      <c r="R11" s="97" t="n"/>
      <c r="S11" s="92" t="n"/>
      <c r="T11" s="92" t="n"/>
      <c r="U11" s="100" t="n"/>
    </row>
    <row r="12" ht="30.65" customHeight="1" s="65">
      <c r="A12" s="83">
        <f>IF(B12&gt;0,PROPER(TEXT(B12,"dddd")),"")</f>
        <v/>
      </c>
      <c r="B12" s="108" t="n">
        <v>46139</v>
      </c>
      <c r="C12" s="109" t="n">
        <v/>
      </c>
      <c r="D12" s="110" t="n">
        <v/>
      </c>
      <c r="E12" s="109" t="n">
        <v/>
      </c>
      <c r="F12" s="110" t="n">
        <v/>
      </c>
      <c r="G12" s="109" t="n">
        <v/>
      </c>
      <c r="H12" s="110" t="n">
        <v/>
      </c>
      <c r="I12" s="109">
        <f>SUM(D12-C12, F12-E12, H12-G12)</f>
        <v/>
      </c>
      <c r="J12" s="112" t="n">
        <v/>
      </c>
      <c r="K12" t="inlineStr"/>
      <c r="R12" s="97" t="n"/>
      <c r="S12" s="92" t="n"/>
      <c r="T12" s="92" t="n"/>
      <c r="U12" s="100" t="n"/>
    </row>
    <row r="13" ht="30.65" customHeight="1" s="65">
      <c r="A13" s="83">
        <f>IF(B13&gt;0,PROPER(TEXT(B13,"dddd")),"")</f>
        <v/>
      </c>
      <c r="B13" s="108" t="n">
        <v>46140</v>
      </c>
      <c r="C13" s="109" t="n">
        <v/>
      </c>
      <c r="D13" s="110" t="n">
        <v/>
      </c>
      <c r="E13" s="109" t="n">
        <v/>
      </c>
      <c r="F13" s="110" t="n">
        <v/>
      </c>
      <c r="G13" s="109" t="n">
        <v/>
      </c>
      <c r="H13" s="110" t="n">
        <v/>
      </c>
      <c r="I13" s="109">
        <f>SUM(D13-C13, F13-E13, H13-G13)</f>
        <v/>
      </c>
      <c r="J13" s="112" t="n">
        <v/>
      </c>
      <c r="K13" t="inlineStr"/>
      <c r="R13" s="97" t="n"/>
      <c r="S13" s="92" t="n"/>
      <c r="T13" s="92" t="n"/>
      <c r="U13" s="100" t="n"/>
    </row>
    <row r="14" ht="30.65" customHeight="1" s="65">
      <c r="A14" s="83">
        <f>IF(B14&gt;0,PROPER(TEXT(B14,"dddd")),"")</f>
        <v/>
      </c>
      <c r="B14" s="108" t="n">
        <v>46141</v>
      </c>
      <c r="C14" s="109" t="n">
        <v/>
      </c>
      <c r="D14" s="110" t="n">
        <v/>
      </c>
      <c r="E14" s="109" t="n">
        <v/>
      </c>
      <c r="F14" s="110" t="n">
        <v/>
      </c>
      <c r="G14" s="109" t="n">
        <v/>
      </c>
      <c r="H14" s="110" t="n">
        <v/>
      </c>
      <c r="I14" s="109">
        <f>SUM(D14-C14, F14-E14, H14-G14)</f>
        <v/>
      </c>
      <c r="J14" s="112" t="n">
        <v/>
      </c>
      <c r="K14" t="inlineStr"/>
      <c r="R14" s="97" t="n"/>
      <c r="S14" s="92" t="n"/>
      <c r="T14" s="92" t="n"/>
      <c r="U14" s="100" t="n"/>
    </row>
    <row r="15" ht="30.65" customHeight="1" s="65">
      <c r="A15" s="83">
        <f>IF(B15&gt;0,PROPER(TEXT(B15,"dddd")),"")</f>
        <v/>
      </c>
      <c r="B15" s="108" t="n">
        <v>46142</v>
      </c>
      <c r="C15" s="109" t="n">
        <v/>
      </c>
      <c r="D15" s="110" t="n">
        <v/>
      </c>
      <c r="E15" s="109" t="n">
        <v/>
      </c>
      <c r="F15" s="110" t="n">
        <v/>
      </c>
      <c r="G15" s="109" t="n">
        <v/>
      </c>
      <c r="H15" s="110" t="n">
        <v/>
      </c>
      <c r="I15" s="109">
        <f>SUM(D15-C15, F15-E15, H15-G15)</f>
        <v/>
      </c>
      <c r="J15" s="112" t="n">
        <v/>
      </c>
      <c r="K15" t="inlineStr"/>
      <c r="R15" s="97" t="n"/>
      <c r="S15" s="92" t="n"/>
      <c r="T15" s="92" t="n"/>
      <c r="U15" s="100" t="n"/>
    </row>
    <row r="16" ht="30.65" customHeight="1" s="65">
      <c r="A16" s="83">
        <f>IF(B16&gt;0,PROPER(TEXT(B16,"dddd")),"")</f>
        <v/>
      </c>
      <c r="B16" s="108" t="n">
        <v>46123</v>
      </c>
      <c r="C16" s="109" t="n"/>
      <c r="D16" s="110" t="n"/>
      <c r="E16" s="109" t="n"/>
      <c r="F16" s="110" t="n"/>
      <c r="G16" s="109" t="n"/>
      <c r="H16" s="110" t="n"/>
      <c r="I16" s="109" t="n">
        <v>0</v>
      </c>
      <c r="J16" s="112" t="n"/>
      <c r="R16" s="97" t="n"/>
      <c r="S16" s="92" t="n"/>
      <c r="T16" s="92" t="n"/>
      <c r="U16" s="100" t="n"/>
    </row>
    <row r="17" ht="30.65" customHeight="1" s="65">
      <c r="A17" s="83">
        <f>IF(B17&gt;0,PROPER(TEXT(B17,"dddd")),"")</f>
        <v/>
      </c>
      <c r="B17" s="108" t="n">
        <v>46124</v>
      </c>
      <c r="C17" s="109" t="n"/>
      <c r="D17" s="110" t="n"/>
      <c r="E17" s="109" t="n"/>
      <c r="F17" s="110" t="n"/>
      <c r="G17" s="109" t="n"/>
      <c r="H17" s="110" t="n"/>
      <c r="I17" s="109" t="n">
        <v>0</v>
      </c>
      <c r="J17" s="112" t="n"/>
      <c r="R17" s="97" t="n"/>
      <c r="S17" s="92" t="n"/>
      <c r="T17" s="92" t="n"/>
      <c r="U17" s="100" t="n"/>
    </row>
    <row r="18" ht="30.65" customHeight="1" s="65">
      <c r="A18" s="83">
        <f>IF(B18&gt;0,PROPER(TEXT(B18,"dddd")),"")</f>
        <v/>
      </c>
      <c r="B18" s="108" t="n">
        <v>46125</v>
      </c>
      <c r="C18" s="109" t="n"/>
      <c r="D18" s="110" t="n"/>
      <c r="E18" s="109" t="n"/>
      <c r="F18" s="110" t="n"/>
      <c r="G18" s="109" t="n"/>
      <c r="H18" s="110" t="n"/>
      <c r="I18" s="109">
        <f>SUM(C18:H18)</f>
        <v/>
      </c>
      <c r="J18" s="112" t="n"/>
      <c r="R18" s="97" t="n"/>
      <c r="S18" s="92" t="n"/>
      <c r="T18" s="92" t="n"/>
      <c r="U18" s="100" t="n"/>
    </row>
    <row r="19" ht="30.65" customHeight="1" s="65">
      <c r="A19" s="83">
        <f>IF(B19&gt;0,PROPER(TEXT(B19,"dddd")),"")</f>
        <v/>
      </c>
      <c r="B19" s="108" t="n">
        <v>46126</v>
      </c>
      <c r="C19" s="109" t="n"/>
      <c r="D19" s="110" t="n"/>
      <c r="E19" s="109" t="n"/>
      <c r="F19" s="110" t="n"/>
      <c r="G19" s="109" t="n"/>
      <c r="H19" s="110" t="n"/>
      <c r="I19" s="109">
        <f>SUM(C19:H19)</f>
        <v/>
      </c>
      <c r="J19" s="112" t="n"/>
      <c r="R19" s="97" t="n"/>
      <c r="S19" s="92" t="n"/>
      <c r="T19" s="92" t="n"/>
      <c r="U19" s="100" t="n"/>
    </row>
    <row r="20" ht="30.65" customHeight="1" s="65">
      <c r="A20" s="83">
        <f>IF(B20&gt;0,PROPER(TEXT(B20,"dddd")),"")</f>
        <v/>
      </c>
      <c r="B20" s="108" t="n">
        <v>46127</v>
      </c>
      <c r="C20" s="109" t="n"/>
      <c r="D20" s="110" t="n"/>
      <c r="E20" s="109" t="n"/>
      <c r="F20" s="110" t="n"/>
      <c r="G20" s="109" t="n"/>
      <c r="H20" s="110" t="n"/>
      <c r="I20" s="109">
        <f>SUM(C20:H20)</f>
        <v/>
      </c>
      <c r="J20" s="112" t="n"/>
      <c r="R20" s="97" t="n"/>
      <c r="S20" s="92" t="n"/>
      <c r="T20" s="92" t="n"/>
      <c r="U20" s="100" t="n"/>
    </row>
    <row r="21" ht="30.65" customHeight="1" s="65">
      <c r="A21" s="83">
        <f>IF(B21&gt;0,PROPER(TEXT(B21,"dddd")),"")</f>
        <v/>
      </c>
      <c r="B21" s="108" t="n">
        <v>46128</v>
      </c>
      <c r="C21" s="109" t="n"/>
      <c r="D21" s="110" t="n"/>
      <c r="E21" s="109" t="n"/>
      <c r="F21" s="110" t="n"/>
      <c r="G21" s="109" t="n"/>
      <c r="H21" s="110" t="n"/>
      <c r="I21" s="109">
        <f>SUM(C21:H21)</f>
        <v/>
      </c>
      <c r="J21" s="112" t="n"/>
      <c r="R21" s="97" t="n"/>
      <c r="S21" s="92" t="n"/>
      <c r="T21" s="92" t="n"/>
      <c r="U21" s="100" t="n"/>
    </row>
    <row r="22" ht="30.65" customHeight="1" s="65">
      <c r="A22" s="83">
        <f>IF(B22&gt;0,PROPER(TEXT(B22,"dddd")),"")</f>
        <v/>
      </c>
      <c r="B22" s="108" t="n">
        <v>46129</v>
      </c>
      <c r="C22" s="109" t="n"/>
      <c r="D22" s="110" t="n"/>
      <c r="E22" s="109" t="n"/>
      <c r="F22" s="110" t="n"/>
      <c r="G22" s="109" t="n"/>
      <c r="H22" s="110" t="n"/>
      <c r="I22" s="109">
        <f>SUM(C22:H22)</f>
        <v/>
      </c>
      <c r="J22" s="112" t="n"/>
      <c r="R22" s="97" t="n"/>
      <c r="S22" s="92" t="n"/>
      <c r="T22" s="92" t="n"/>
      <c r="U22" s="100" t="n"/>
    </row>
    <row r="23" ht="30.65" customHeight="1" s="65">
      <c r="A23" s="83">
        <f>IF(B23&gt;0,PROPER(TEXT(B23,"dddd")),"")</f>
        <v/>
      </c>
      <c r="B23" s="108" t="n">
        <v>46130</v>
      </c>
      <c r="C23" s="109" t="n"/>
      <c r="D23" s="110" t="n"/>
      <c r="E23" s="109" t="n"/>
      <c r="F23" s="110" t="n"/>
      <c r="G23" s="109" t="n"/>
      <c r="H23" s="110" t="n"/>
      <c r="I23" s="109">
        <f>SUM(C23:H23)</f>
        <v/>
      </c>
      <c r="J23" s="112" t="n"/>
      <c r="R23" s="97" t="n"/>
      <c r="S23" s="92" t="n"/>
      <c r="T23" s="92" t="n"/>
      <c r="U23" s="100" t="n"/>
    </row>
    <row r="24" ht="30.65" customHeight="1" s="65">
      <c r="A24" s="83">
        <f>IF(B24&gt;0,PROPER(TEXT(B24,"dddd")),"")</f>
        <v/>
      </c>
      <c r="B24" s="108" t="n">
        <v>46131</v>
      </c>
      <c r="C24" s="109" t="n"/>
      <c r="D24" s="110" t="n"/>
      <c r="E24" s="109" t="n"/>
      <c r="F24" s="110" t="n"/>
      <c r="G24" s="109" t="n"/>
      <c r="H24" s="110" t="n"/>
      <c r="I24" s="109">
        <f>SUM(C24:H24)</f>
        <v/>
      </c>
      <c r="J24" s="112" t="n"/>
      <c r="R24" s="97" t="n"/>
      <c r="S24" s="92" t="n"/>
      <c r="T24" s="92" t="n"/>
      <c r="U24" s="100" t="n"/>
    </row>
    <row r="25" ht="30.65" customHeight="1" s="65">
      <c r="A25" s="83">
        <f>IF(B25&gt;0,PROPER(TEXT(B25,"dddd")),"")</f>
        <v/>
      </c>
      <c r="B25" s="108" t="n">
        <v>46132</v>
      </c>
      <c r="C25" s="109" t="n"/>
      <c r="D25" s="110" t="n"/>
      <c r="E25" s="109" t="n"/>
      <c r="F25" s="110" t="n"/>
      <c r="G25" s="109" t="n"/>
      <c r="H25" s="110" t="n"/>
      <c r="I25" s="109">
        <f>SUM(C25:H25)</f>
        <v/>
      </c>
      <c r="J25" s="112" t="n"/>
      <c r="R25" s="97" t="n"/>
      <c r="S25" s="92" t="n"/>
      <c r="T25" s="92" t="n"/>
      <c r="U25" s="100" t="n"/>
    </row>
    <row r="26" ht="30.65" customHeight="1" s="65">
      <c r="A26" s="83">
        <f>IF(B26&gt;0,PROPER(TEXT(B26,"dddd")),"")</f>
        <v/>
      </c>
      <c r="B26" s="108" t="n">
        <v>46133</v>
      </c>
      <c r="C26" s="109" t="n"/>
      <c r="D26" s="110" t="n"/>
      <c r="E26" s="109" t="n"/>
      <c r="F26" s="110" t="n"/>
      <c r="G26" s="109" t="n"/>
      <c r="H26" s="110" t="n"/>
      <c r="I26" s="109">
        <f>SUM(C26:H26)</f>
        <v/>
      </c>
      <c r="J26" s="112" t="n"/>
      <c r="R26" s="97" t="n"/>
      <c r="S26" s="92" t="n"/>
      <c r="T26" s="92" t="n"/>
      <c r="U26" s="100" t="n"/>
    </row>
    <row r="27" ht="30.65" customHeight="1" s="65">
      <c r="A27" s="83">
        <f>IF(B27&gt;0,PROPER(TEXT(B27,"dddd")),"")</f>
        <v/>
      </c>
      <c r="B27" s="108" t="n">
        <v>46134</v>
      </c>
      <c r="C27" s="109" t="n"/>
      <c r="D27" s="110" t="n"/>
      <c r="E27" s="109" t="n"/>
      <c r="F27" s="110" t="n"/>
      <c r="G27" s="109" t="n"/>
      <c r="H27" s="110" t="n"/>
      <c r="I27" s="109">
        <f>SUM(C27:H27)</f>
        <v/>
      </c>
      <c r="J27" s="112" t="n"/>
      <c r="R27" s="97" t="n"/>
      <c r="S27" s="92" t="n"/>
      <c r="T27" s="92" t="n"/>
      <c r="U27" s="100" t="n"/>
    </row>
    <row r="28" ht="30.65" customHeight="1" s="65">
      <c r="A28" s="83">
        <f>IF(B28&gt;0,PROPER(TEXT(B28,"dddd")),"")</f>
        <v/>
      </c>
      <c r="B28" s="108" t="n">
        <v>46135</v>
      </c>
      <c r="C28" s="109" t="n"/>
      <c r="D28" s="110" t="n"/>
      <c r="E28" s="109" t="n"/>
      <c r="F28" s="110" t="n"/>
      <c r="G28" s="109" t="n"/>
      <c r="H28" s="110" t="n"/>
      <c r="I28" s="109">
        <f>SUM(C28:H28)</f>
        <v/>
      </c>
      <c r="J28" s="112" t="n"/>
      <c r="R28" s="97" t="n"/>
      <c r="S28" s="92" t="n"/>
      <c r="T28" s="92" t="n"/>
      <c r="U28" s="100" t="n"/>
    </row>
    <row r="29" ht="30.65" customHeight="1" s="65">
      <c r="A29" s="83">
        <f>IF(B29&gt;0,PROPER(TEXT(B29,"dddd")),"")</f>
        <v/>
      </c>
      <c r="B29" s="108" t="n">
        <v>46136</v>
      </c>
      <c r="C29" s="109" t="n"/>
      <c r="D29" s="110" t="n"/>
      <c r="E29" s="109" t="n"/>
      <c r="F29" s="110" t="n"/>
      <c r="G29" s="109" t="n"/>
      <c r="H29" s="110" t="n"/>
      <c r="I29" s="109">
        <f>SUM(C29:H29)</f>
        <v/>
      </c>
      <c r="J29" s="112" t="n"/>
      <c r="R29" s="97" t="n"/>
      <c r="S29" s="92" t="n"/>
      <c r="T29" s="92" t="n"/>
      <c r="U29" s="100" t="n"/>
    </row>
    <row r="30" ht="30.65" customHeight="1" s="65">
      <c r="A30" s="83">
        <f>IF(B30&gt;0,PROPER(TEXT(B30,"dddd")),"")</f>
        <v/>
      </c>
      <c r="B30" s="108" t="n">
        <v>46137</v>
      </c>
      <c r="C30" s="109" t="n"/>
      <c r="D30" s="110" t="n"/>
      <c r="E30" s="109" t="n"/>
      <c r="F30" s="110" t="n"/>
      <c r="G30" s="109" t="n"/>
      <c r="H30" s="110" t="n"/>
      <c r="I30" s="109">
        <f>SUM(C30:H30)</f>
        <v/>
      </c>
      <c r="J30" s="112" t="n"/>
      <c r="R30" s="97" t="n"/>
      <c r="S30" s="92" t="n"/>
      <c r="T30" s="92" t="n"/>
      <c r="U30" s="100" t="n"/>
    </row>
    <row r="31" ht="30.65" customHeight="1" s="65">
      <c r="A31" s="83">
        <f>IF(B31&gt;0,PROPER(TEXT(B31,"dddd")),"")</f>
        <v/>
      </c>
      <c r="B31" s="108" t="n">
        <v>46138</v>
      </c>
      <c r="C31" s="109" t="n"/>
      <c r="D31" s="110" t="n"/>
      <c r="E31" s="109" t="n"/>
      <c r="F31" s="110" t="n"/>
      <c r="G31" s="109" t="n"/>
      <c r="H31" s="110" t="n"/>
      <c r="I31" s="109">
        <f>SUM(C31:H31)</f>
        <v/>
      </c>
      <c r="J31" s="112" t="n"/>
      <c r="R31" s="97" t="n"/>
      <c r="S31" s="92" t="n"/>
      <c r="T31" s="92" t="n"/>
      <c r="U31" s="100" t="n"/>
    </row>
    <row r="32" ht="30.65" customHeight="1" s="65">
      <c r="A32" s="83">
        <f>IF(B32&gt;0,PROPER(TEXT(B32,"dddd")),"")</f>
        <v/>
      </c>
      <c r="B32" s="108" t="n">
        <v>46139</v>
      </c>
      <c r="C32" s="109" t="n"/>
      <c r="D32" s="110" t="n"/>
      <c r="E32" s="109" t="n"/>
      <c r="F32" s="110" t="n"/>
      <c r="G32" s="109" t="n"/>
      <c r="H32" s="110" t="n"/>
      <c r="I32" s="109">
        <f>SUM(C32:H32)</f>
        <v/>
      </c>
      <c r="J32" s="112" t="n"/>
      <c r="R32" s="97" t="n"/>
      <c r="S32" s="92" t="n"/>
      <c r="T32" s="92" t="n"/>
      <c r="U32" s="100" t="n"/>
    </row>
    <row r="33" ht="30.65" customHeight="1" s="65">
      <c r="A33" s="83">
        <f>IF(B33&gt;0,PROPER(TEXT(B33,"dddd")),"")</f>
        <v/>
      </c>
      <c r="B33" s="108" t="n">
        <v>46140</v>
      </c>
      <c r="C33" s="109" t="n"/>
      <c r="D33" s="110" t="n"/>
      <c r="E33" s="109" t="n"/>
      <c r="F33" s="110" t="n"/>
      <c r="G33" s="109" t="n"/>
      <c r="H33" s="110" t="n"/>
      <c r="I33" s="109">
        <f>SUM(C33:H33)</f>
        <v/>
      </c>
      <c r="J33" s="112" t="n"/>
      <c r="R33" s="97" t="n"/>
      <c r="S33" s="92" t="n"/>
      <c r="T33" s="92" t="n"/>
      <c r="U33" s="100" t="n"/>
    </row>
    <row r="34" ht="30.65" customHeight="1" s="65">
      <c r="A34" s="83">
        <f>IF(B34&gt;0,PROPER(TEXT(B34,"dddd")),"")</f>
        <v/>
      </c>
      <c r="B34" s="108" t="n">
        <v>46141</v>
      </c>
      <c r="C34" s="109" t="n"/>
      <c r="D34" s="110" t="n"/>
      <c r="E34" s="109" t="n"/>
      <c r="F34" s="110" t="n"/>
      <c r="G34" s="109" t="n"/>
      <c r="H34" s="110" t="n"/>
      <c r="I34" s="109">
        <f>SUM(C34:H34)</f>
        <v/>
      </c>
      <c r="J34" s="112" t="n"/>
      <c r="R34" s="97" t="n"/>
      <c r="S34" s="92" t="n"/>
      <c r="T34" s="92" t="n"/>
      <c r="U34" s="100" t="n"/>
    </row>
    <row r="35" ht="30.65" customHeight="1" s="65">
      <c r="A35" s="83">
        <f>IF(B35&gt;0,PROPER(TEXT(B35,"dddd")),"")</f>
        <v/>
      </c>
      <c r="B35" s="108" t="n">
        <v>46142</v>
      </c>
      <c r="C35" s="109" t="n"/>
      <c r="D35" s="110" t="n"/>
      <c r="E35" s="109" t="n"/>
      <c r="F35" s="110" t="n"/>
      <c r="G35" s="109" t="n"/>
      <c r="H35" s="110" t="n"/>
      <c r="I35" s="109">
        <f>SUM(C35:H35)</f>
        <v/>
      </c>
      <c r="J35" s="112" t="n"/>
      <c r="R35" s="97" t="n"/>
      <c r="S35" s="92" t="n"/>
      <c r="T35" s="92" t="n"/>
      <c r="U35" s="100" t="n"/>
    </row>
    <row r="36" ht="30.65" customHeight="1" s="65">
      <c r="A36" s="83">
        <f>IF(B36&gt;0,PROPER(TEXT(B36,"dddd")),"")</f>
        <v/>
      </c>
      <c r="B36" s="108" t="n"/>
      <c r="C36" s="109" t="n"/>
      <c r="D36" s="110" t="n"/>
      <c r="E36" s="109" t="n"/>
      <c r="F36" s="110" t="n"/>
      <c r="G36" s="109" t="n"/>
      <c r="H36" s="110" t="n"/>
      <c r="I36" s="109">
        <f>SUM(C36:H36)</f>
        <v/>
      </c>
      <c r="J36" s="112" t="n"/>
      <c r="R36" s="97" t="n"/>
      <c r="S36" s="92" t="n"/>
      <c r="T36" s="92" t="n"/>
      <c r="U36" s="100" t="n"/>
    </row>
    <row r="37" ht="16.5" customHeight="1" s="65">
      <c r="A37" s="113" t="n"/>
      <c r="B37" s="81" t="n"/>
      <c r="C37" s="81" t="n"/>
      <c r="D37" s="81" t="n"/>
      <c r="E37" s="81" t="n"/>
      <c r="F37" s="81" t="n"/>
      <c r="G37" s="81" t="n"/>
      <c r="H37" s="81" t="n"/>
      <c r="I37" s="114" t="n"/>
      <c r="J37" s="81" t="n"/>
      <c r="R37" s="97" t="n"/>
      <c r="S37" s="92" t="n"/>
      <c r="T37" s="92" t="n"/>
      <c r="U37" s="100" t="n"/>
    </row>
    <row r="38" ht="16.5" customHeight="1" s="65">
      <c r="A38" s="81" t="n"/>
      <c r="B38" s="81" t="n"/>
      <c r="C38" s="81" t="n"/>
      <c r="D38" s="81" t="n"/>
      <c r="E38" s="81" t="n"/>
      <c r="F38" s="81" t="n"/>
      <c r="G38" s="81" t="n"/>
      <c r="H38" s="81" t="n"/>
      <c r="I38" s="114" t="n"/>
      <c r="J38" s="81" t="n"/>
      <c r="R38" s="97" t="n"/>
      <c r="S38" s="92" t="n"/>
      <c r="T38" s="92" t="n"/>
      <c r="U38" s="100" t="n"/>
    </row>
    <row r="39" ht="16.5" customHeight="1" s="65">
      <c r="A39" s="81" t="n"/>
      <c r="B39" s="81" t="n"/>
      <c r="C39" s="81" t="n"/>
      <c r="D39" s="81" t="n"/>
      <c r="E39" s="81" t="n"/>
      <c r="F39" s="81" t="n"/>
      <c r="G39" s="81" t="n"/>
      <c r="H39" s="81" t="n"/>
      <c r="I39" s="114" t="n"/>
      <c r="J39" s="81" t="n"/>
      <c r="R39" s="97" t="n"/>
      <c r="S39" s="92" t="n"/>
      <c r="T39" s="92" t="n"/>
      <c r="U39" s="100" t="n"/>
    </row>
    <row r="40" ht="16.5" customHeight="1" s="65">
      <c r="A40" s="81" t="n"/>
      <c r="B40" s="81" t="n"/>
      <c r="C40" s="81" t="n"/>
      <c r="D40" s="81" t="n"/>
      <c r="E40" s="81" t="n"/>
      <c r="F40" s="81" t="n"/>
      <c r="G40" s="81" t="n"/>
      <c r="H40" s="81" t="n"/>
      <c r="I40" s="114" t="n"/>
      <c r="J40" s="81" t="n"/>
      <c r="R40" s="97" t="n"/>
      <c r="S40" s="92" t="n"/>
      <c r="T40" s="79" t="n"/>
      <c r="U40" s="115" t="n"/>
    </row>
    <row r="41" ht="16.5" customHeight="1" s="65">
      <c r="A41" s="81" t="n"/>
      <c r="B41" s="81" t="n"/>
      <c r="C41" s="81" t="n"/>
      <c r="D41" s="81" t="n"/>
      <c r="E41" s="81" t="n"/>
      <c r="F41" s="81" t="n"/>
      <c r="G41" s="81" t="n"/>
      <c r="H41" s="81" t="n"/>
      <c r="I41" s="114" t="n"/>
      <c r="J41" s="81" t="n"/>
      <c r="R41" s="97" t="n"/>
      <c r="S41" s="92" t="n"/>
      <c r="T41" s="79" t="n"/>
      <c r="U41" s="115" t="n"/>
    </row>
    <row r="42" ht="16.5" customHeight="1" s="65">
      <c r="A42" s="81" t="n"/>
      <c r="B42" s="81" t="n"/>
      <c r="C42" s="81" t="n"/>
      <c r="D42" s="81" t="n"/>
      <c r="E42" s="81" t="n"/>
      <c r="F42" s="81" t="n"/>
      <c r="G42" s="81" t="n"/>
      <c r="H42" s="81" t="n"/>
      <c r="I42" s="114" t="n"/>
      <c r="J42" s="81" t="n"/>
      <c r="R42" s="97" t="n"/>
      <c r="S42" s="92" t="n"/>
      <c r="T42" s="79" t="n"/>
      <c r="U42" s="115" t="n"/>
    </row>
    <row r="43" ht="16.5" customHeight="1" s="65">
      <c r="A43" s="81" t="n"/>
      <c r="B43" s="81" t="n"/>
      <c r="C43" s="81" t="n"/>
      <c r="D43" s="81" t="n"/>
      <c r="E43" s="81" t="n"/>
      <c r="F43" s="81" t="n"/>
      <c r="G43" s="81" t="n"/>
      <c r="H43" s="81" t="n"/>
      <c r="I43" s="114" t="n"/>
      <c r="J43" s="81" t="n"/>
      <c r="R43" s="97" t="n"/>
      <c r="S43" s="92" t="n"/>
      <c r="T43" s="79" t="n"/>
      <c r="U43" s="115" t="n"/>
    </row>
    <row r="44" ht="16.5" customHeight="1" s="65">
      <c r="A44" s="81" t="n"/>
      <c r="B44" s="81" t="n"/>
      <c r="C44" s="81" t="n"/>
      <c r="D44" s="81" t="n"/>
      <c r="E44" s="81" t="n"/>
      <c r="F44" s="81" t="n"/>
      <c r="G44" s="81" t="n"/>
      <c r="H44" s="81" t="n"/>
      <c r="I44" s="114" t="n"/>
      <c r="J44" s="81" t="n"/>
      <c r="R44" s="97" t="n"/>
      <c r="S44" s="92" t="n"/>
      <c r="T44" s="79" t="n"/>
      <c r="U44" s="115" t="n"/>
    </row>
    <row r="45" ht="16.5" customHeight="1" s="65">
      <c r="Q45" s="92" t="n"/>
      <c r="R45" s="97" t="n"/>
      <c r="S45" s="92" t="n"/>
      <c r="T45" s="79" t="n"/>
      <c r="U45" s="115" t="n"/>
      <c r="AJ45" s="92" t="n"/>
      <c r="AK45" s="92" t="n"/>
      <c r="AL45" s="92" t="n"/>
      <c r="AM45" s="92" t="n"/>
      <c r="AN45" s="92" t="n"/>
      <c r="AO45" s="92" t="n"/>
      <c r="AP45" s="92" t="n"/>
      <c r="AQ45" s="92" t="n"/>
      <c r="AR45" s="92" t="n"/>
      <c r="AS45" s="92" t="n"/>
      <c r="AT45" s="92" t="n"/>
      <c r="AU45" s="92" t="n"/>
      <c r="AV45" s="92" t="n"/>
      <c r="AW45" s="92" t="n"/>
      <c r="AX45" s="92" t="n"/>
      <c r="AY45" s="92" t="n"/>
      <c r="AZ45" s="92" t="n"/>
      <c r="BA45" s="92" t="n"/>
      <c r="BB45" s="92" t="n"/>
      <c r="BC45" s="92" t="n"/>
      <c r="BD45" s="92" t="n"/>
      <c r="BE45" s="92" t="n"/>
      <c r="BF45" s="92" t="n"/>
      <c r="BG45" s="92" t="n"/>
      <c r="BH45" s="92" t="n"/>
      <c r="BI45" s="92" t="n"/>
      <c r="BJ45" s="92" t="n"/>
      <c r="BK45" s="92" t="n"/>
      <c r="BL45" s="92" t="n"/>
      <c r="BM45" s="92" t="n"/>
      <c r="BN45" s="92" t="n"/>
      <c r="BO45" s="92" t="n"/>
      <c r="BP45" s="92" t="n"/>
      <c r="BQ45" s="92" t="n"/>
      <c r="BR45" s="92" t="n"/>
      <c r="BS45" s="92" t="n"/>
      <c r="BT45" s="92" t="n"/>
      <c r="BU45" s="92" t="n"/>
      <c r="BV45" s="92" t="n"/>
      <c r="BW45" s="92" t="n"/>
      <c r="BX45" s="92" t="n"/>
      <c r="BY45" s="92" t="n"/>
      <c r="BZ45" s="92" t="n"/>
      <c r="CA45" s="92" t="n"/>
      <c r="CB45" s="92" t="n"/>
      <c r="CC45" s="92" t="n"/>
      <c r="CD45" s="92" t="n"/>
      <c r="CE45" s="92" t="n"/>
      <c r="CF45" s="92" t="n"/>
      <c r="CG45" s="92" t="n"/>
      <c r="CH45" s="92" t="n"/>
      <c r="CI45" s="92" t="n"/>
      <c r="CJ45" s="92" t="n"/>
      <c r="CK45" s="92" t="n"/>
      <c r="CL45" s="92" t="n"/>
      <c r="CM45" s="92" t="n"/>
      <c r="CN45" s="92" t="n"/>
      <c r="CO45" s="92" t="n"/>
      <c r="CP45" s="92" t="n"/>
      <c r="CQ45" s="92" t="n"/>
      <c r="CR45" s="92" t="n"/>
      <c r="CS45" s="92" t="n"/>
      <c r="CT45" s="92" t="n"/>
      <c r="CU45" s="92" t="n"/>
      <c r="CV45" s="92" t="n"/>
      <c r="CW45" s="92" t="n"/>
      <c r="CX45" s="92" t="n"/>
      <c r="CY45" s="92" t="n"/>
      <c r="CZ45" s="92" t="n"/>
      <c r="DA45" s="92" t="n"/>
      <c r="DB45" s="92" t="n"/>
      <c r="DC45" s="92" t="n"/>
      <c r="DD45" s="92" t="n"/>
      <c r="DE45" s="92" t="n"/>
      <c r="DF45" s="92" t="n"/>
      <c r="DG45" s="92" t="n"/>
      <c r="DH45" s="92" t="n"/>
      <c r="DI45" s="92" t="n"/>
      <c r="DJ45" s="92" t="n"/>
      <c r="DK45" s="92" t="n"/>
      <c r="DL45" s="92" t="n"/>
      <c r="DM45" s="92" t="n"/>
      <c r="DN45" s="92" t="n"/>
      <c r="DO45" s="92" t="n"/>
      <c r="DP45" s="92" t="n"/>
      <c r="DQ45" s="92" t="n"/>
      <c r="DR45" s="92" t="n"/>
      <c r="DS45" s="92" t="n"/>
      <c r="DT45" s="92" t="n"/>
      <c r="DU45" s="92" t="n"/>
      <c r="DV45" s="92" t="n"/>
      <c r="DW45" s="92" t="n"/>
      <c r="DX45" s="92" t="n"/>
      <c r="DY45" s="92" t="n"/>
      <c r="DZ45" s="92" t="n"/>
      <c r="EA45" s="92" t="n"/>
      <c r="EB45" s="92" t="n"/>
      <c r="EC45" s="92" t="n"/>
      <c r="ED45" s="92" t="n"/>
      <c r="EE45" s="92" t="n"/>
      <c r="EF45" s="92" t="n"/>
      <c r="EG45" s="92" t="n"/>
      <c r="EH45" s="92" t="n"/>
      <c r="EI45" s="92" t="n"/>
      <c r="EJ45" s="92" t="n"/>
      <c r="EK45" s="92" t="n"/>
      <c r="EL45" s="92" t="n"/>
      <c r="EM45" s="92" t="n"/>
      <c r="EN45" s="92" t="n"/>
      <c r="EO45" s="92" t="n"/>
      <c r="EP45" s="92" t="n"/>
      <c r="EQ45" s="92" t="n"/>
      <c r="ER45" s="92" t="n"/>
      <c r="ES45" s="92" t="n"/>
      <c r="ET45" s="92" t="n"/>
      <c r="EU45" s="92" t="n"/>
      <c r="EV45" s="92" t="n"/>
      <c r="EW45" s="92" t="n"/>
      <c r="EX45" s="92" t="n"/>
      <c r="EY45" s="92" t="n"/>
      <c r="EZ45" s="92" t="n"/>
      <c r="FA45" s="92" t="n"/>
      <c r="FB45" s="92" t="n"/>
      <c r="FC45" s="92" t="n"/>
      <c r="FD45" s="92" t="n"/>
      <c r="FE45" s="92" t="n"/>
      <c r="FF45" s="92" t="n"/>
      <c r="FG45" s="92" t="n"/>
      <c r="FH45" s="92" t="n"/>
      <c r="FI45" s="92" t="n"/>
      <c r="FJ45" s="92" t="n"/>
      <c r="FK45" s="92" t="n"/>
      <c r="FL45" s="92" t="n"/>
      <c r="FM45" s="92" t="n"/>
      <c r="FN45" s="92" t="n"/>
      <c r="FO45" s="92" t="n"/>
      <c r="FP45" s="92" t="n"/>
      <c r="FQ45" s="92" t="n"/>
      <c r="FR45" s="92" t="n"/>
      <c r="FS45" s="92" t="n"/>
      <c r="FT45" s="92" t="n"/>
      <c r="FU45" s="92" t="n"/>
      <c r="FV45" s="92" t="n"/>
      <c r="FW45" s="92" t="n"/>
      <c r="FX45" s="92" t="n"/>
      <c r="FY45" s="92" t="n"/>
      <c r="FZ45" s="92" t="n"/>
      <c r="GA45" s="92" t="n"/>
      <c r="GB45" s="92" t="n"/>
      <c r="GC45" s="92" t="n"/>
      <c r="GD45" s="92" t="n"/>
      <c r="GE45" s="92" t="n"/>
      <c r="GF45" s="92" t="n"/>
      <c r="GG45" s="92" t="n"/>
      <c r="GH45" s="92" t="n"/>
      <c r="GI45" s="92" t="n"/>
      <c r="GJ45" s="92" t="n"/>
      <c r="GK45" s="92" t="n"/>
      <c r="GL45" s="92" t="n"/>
      <c r="GM45" s="92" t="n"/>
      <c r="GN45" s="92" t="n"/>
      <c r="GO45" s="92" t="n"/>
      <c r="GP45" s="92" t="n"/>
      <c r="GQ45" s="92" t="n"/>
      <c r="GR45" s="92" t="n"/>
      <c r="GS45" s="92" t="n"/>
      <c r="GT45" s="92" t="n"/>
      <c r="GU45" s="92" t="n"/>
      <c r="GV45" s="92" t="n"/>
      <c r="GW45" s="92" t="n"/>
      <c r="GX45" s="92" t="n"/>
      <c r="GY45" s="92" t="n"/>
      <c r="GZ45" s="92" t="n"/>
      <c r="HA45" s="92" t="n"/>
      <c r="HB45" s="92" t="n"/>
      <c r="HC45" s="92" t="n"/>
      <c r="HD45" s="92" t="n"/>
      <c r="HE45" s="92" t="n"/>
      <c r="HF45" s="92" t="n"/>
      <c r="HG45" s="92" t="n"/>
      <c r="HH45" s="92" t="n"/>
      <c r="HI45" s="92" t="n"/>
      <c r="HJ45" s="92" t="n"/>
      <c r="HK45" s="92" t="n"/>
      <c r="HL45" s="92" t="n"/>
      <c r="HM45" s="92" t="n"/>
      <c r="HN45" s="92" t="n"/>
      <c r="HO45" s="92" t="n"/>
      <c r="HP45" s="92" t="n"/>
      <c r="HQ45" s="92" t="n"/>
      <c r="HR45" s="92" t="n"/>
      <c r="HS45" s="92" t="n"/>
      <c r="HT45" s="92" t="n"/>
      <c r="HU45" s="92" t="n"/>
      <c r="HV45" s="92" t="n"/>
      <c r="HW45" s="92" t="n"/>
      <c r="HX45" s="92" t="n"/>
      <c r="HY45" s="92" t="n"/>
      <c r="HZ45" s="92" t="n"/>
      <c r="IA45" s="92" t="n"/>
      <c r="IB45" s="92" t="n"/>
      <c r="IC45" s="92" t="n"/>
      <c r="ID45" s="92" t="n"/>
      <c r="IE45" s="92" t="n"/>
      <c r="IF45" s="92" t="n"/>
      <c r="IG45" s="92" t="n"/>
      <c r="IH45" s="92" t="n"/>
      <c r="II45" s="92" t="n"/>
      <c r="IJ45" s="92" t="n"/>
      <c r="IK45" s="92" t="n"/>
      <c r="IL45" s="92" t="n"/>
      <c r="IM45" s="92" t="n"/>
      <c r="IN45" s="92" t="n"/>
      <c r="IO45" s="92" t="n"/>
      <c r="IP45" s="92" t="n"/>
      <c r="IQ45" s="92" t="n"/>
      <c r="IR45" s="92" t="n"/>
      <c r="IS45" s="92" t="n"/>
      <c r="IT45" s="92" t="n"/>
      <c r="IU45" s="92" t="n"/>
      <c r="IV45" s="92" t="n"/>
      <c r="IW45" s="92" t="n"/>
    </row>
    <row r="46" ht="16.5" customHeight="1" s="65">
      <c r="R46" s="97" t="n"/>
      <c r="S46" s="92" t="n"/>
      <c r="T46" s="79" t="n"/>
      <c r="U46" s="115" t="n"/>
      <c r="AJ46" s="116" t="n"/>
      <c r="AK46" s="116" t="n"/>
      <c r="AL46" s="116" t="n"/>
      <c r="AM46" s="116" t="n"/>
      <c r="AN46" s="116" t="n"/>
      <c r="AO46" s="116" t="n"/>
      <c r="AP46" s="116" t="n"/>
      <c r="AQ46" s="116" t="n"/>
      <c r="AR46" s="116" t="n"/>
      <c r="AS46" s="116" t="n"/>
      <c r="AT46" s="116" t="n"/>
      <c r="AU46" s="116" t="n"/>
      <c r="AV46" s="116" t="n"/>
      <c r="AW46" s="116" t="n"/>
      <c r="AX46" s="116" t="n"/>
      <c r="AY46" s="116" t="n"/>
      <c r="AZ46" s="116" t="n"/>
      <c r="BA46" s="116" t="n"/>
      <c r="BB46" s="116" t="n"/>
      <c r="BC46" s="116" t="n"/>
      <c r="BD46" s="116" t="n"/>
      <c r="BE46" s="116" t="n"/>
      <c r="BF46" s="116" t="n"/>
      <c r="BG46" s="116" t="n"/>
      <c r="BH46" s="116" t="n"/>
      <c r="BI46" s="116" t="n"/>
      <c r="BJ46" s="116" t="n"/>
      <c r="BK46" s="116" t="n"/>
      <c r="BL46" s="116" t="n"/>
      <c r="BM46" s="116" t="n"/>
      <c r="BN46" s="116" t="n"/>
      <c r="BO46" s="116" t="n"/>
      <c r="BP46" s="116" t="n"/>
      <c r="BQ46" s="116" t="n"/>
      <c r="BR46" s="116" t="n"/>
      <c r="BS46" s="116" t="n"/>
      <c r="BT46" s="116" t="n"/>
      <c r="BU46" s="116" t="n"/>
      <c r="BV46" s="116" t="n"/>
      <c r="BW46" s="116" t="n"/>
      <c r="BX46" s="116" t="n"/>
      <c r="BY46" s="116" t="n"/>
      <c r="BZ46" s="116" t="n"/>
      <c r="CA46" s="116" t="n"/>
      <c r="CB46" s="116" t="n"/>
      <c r="CC46" s="116" t="n"/>
      <c r="CD46" s="116" t="n"/>
      <c r="CE46" s="116" t="n"/>
      <c r="CF46" s="116" t="n"/>
      <c r="CG46" s="116" t="n"/>
      <c r="CH46" s="116" t="n"/>
      <c r="CI46" s="116" t="n"/>
      <c r="CJ46" s="116" t="n"/>
      <c r="CK46" s="116" t="n"/>
      <c r="CL46" s="116" t="n"/>
      <c r="CM46" s="116" t="n"/>
      <c r="CN46" s="116" t="n"/>
      <c r="CO46" s="116" t="n"/>
      <c r="CP46" s="116" t="n"/>
      <c r="CQ46" s="116" t="n"/>
      <c r="CR46" s="116" t="n"/>
      <c r="CS46" s="116" t="n"/>
      <c r="CT46" s="116" t="n"/>
      <c r="CU46" s="116" t="n"/>
      <c r="CV46" s="116" t="n"/>
      <c r="CW46" s="116" t="n"/>
      <c r="CX46" s="116" t="n"/>
      <c r="CY46" s="116" t="n"/>
      <c r="CZ46" s="116" t="n"/>
      <c r="DA46" s="116" t="n"/>
      <c r="DB46" s="116" t="n"/>
      <c r="DC46" s="116" t="n"/>
      <c r="DD46" s="116" t="n"/>
      <c r="DE46" s="116" t="n"/>
      <c r="DF46" s="116" t="n"/>
      <c r="DG46" s="116" t="n"/>
      <c r="DH46" s="116" t="n"/>
      <c r="DI46" s="116" t="n"/>
      <c r="DJ46" s="116" t="n"/>
      <c r="DK46" s="116" t="n"/>
      <c r="DL46" s="116" t="n"/>
      <c r="DM46" s="116" t="n"/>
      <c r="DN46" s="116" t="n"/>
      <c r="DO46" s="116" t="n"/>
      <c r="DP46" s="116" t="n"/>
      <c r="DQ46" s="116" t="n"/>
      <c r="DR46" s="116" t="n"/>
      <c r="DS46" s="116" t="n"/>
      <c r="DT46" s="116" t="n"/>
      <c r="DU46" s="116" t="n"/>
      <c r="DV46" s="116" t="n"/>
      <c r="DW46" s="116" t="n"/>
      <c r="DX46" s="116" t="n"/>
      <c r="DY46" s="116" t="n"/>
      <c r="DZ46" s="116" t="n"/>
      <c r="EA46" s="116" t="n"/>
      <c r="EB46" s="116" t="n"/>
      <c r="EC46" s="116" t="n"/>
      <c r="ED46" s="116" t="n"/>
      <c r="EE46" s="116" t="n"/>
      <c r="EF46" s="116" t="n"/>
      <c r="EG46" s="116" t="n"/>
      <c r="EH46" s="116" t="n"/>
      <c r="EI46" s="116" t="n"/>
      <c r="EJ46" s="116" t="n"/>
      <c r="EK46" s="116" t="n"/>
      <c r="EL46" s="116" t="n"/>
      <c r="EM46" s="116" t="n"/>
      <c r="EN46" s="116" t="n"/>
      <c r="EO46" s="116" t="n"/>
      <c r="EP46" s="116" t="n"/>
      <c r="EQ46" s="116" t="n"/>
      <c r="ER46" s="116" t="n"/>
      <c r="ES46" s="116" t="n"/>
      <c r="ET46" s="116" t="n"/>
      <c r="EU46" s="116" t="n"/>
      <c r="EV46" s="116" t="n"/>
      <c r="EW46" s="116" t="n"/>
      <c r="EX46" s="116" t="n"/>
      <c r="EY46" s="116" t="n"/>
      <c r="EZ46" s="116" t="n"/>
      <c r="FA46" s="116" t="n"/>
      <c r="FB46" s="116" t="n"/>
      <c r="FC46" s="116" t="n"/>
      <c r="FD46" s="116" t="n"/>
      <c r="FE46" s="116" t="n"/>
      <c r="FF46" s="116" t="n"/>
      <c r="FG46" s="116" t="n"/>
      <c r="FH46" s="116" t="n"/>
      <c r="FI46" s="116" t="n"/>
      <c r="FJ46" s="116" t="n"/>
      <c r="FK46" s="116" t="n"/>
      <c r="FL46" s="116" t="n"/>
      <c r="FM46" s="116" t="n"/>
      <c r="FN46" s="116" t="n"/>
      <c r="FO46" s="116" t="n"/>
      <c r="FP46" s="116" t="n"/>
      <c r="FQ46" s="116" t="n"/>
      <c r="FR46" s="116" t="n"/>
      <c r="FS46" s="116" t="n"/>
      <c r="FT46" s="116" t="n"/>
      <c r="FU46" s="116" t="n"/>
      <c r="FV46" s="116" t="n"/>
      <c r="FW46" s="116" t="n"/>
      <c r="FX46" s="116" t="n"/>
      <c r="FY46" s="116" t="n"/>
      <c r="FZ46" s="116" t="n"/>
      <c r="GA46" s="116" t="n"/>
      <c r="GB46" s="116" t="n"/>
      <c r="GC46" s="116" t="n"/>
      <c r="GD46" s="116" t="n"/>
      <c r="GE46" s="116" t="n"/>
      <c r="GF46" s="116" t="n"/>
      <c r="GG46" s="116" t="n"/>
      <c r="GH46" s="116" t="n"/>
      <c r="GI46" s="116" t="n"/>
      <c r="GJ46" s="116" t="n"/>
      <c r="GK46" s="116" t="n"/>
      <c r="GL46" s="116" t="n"/>
      <c r="GM46" s="116" t="n"/>
      <c r="GN46" s="116" t="n"/>
      <c r="GO46" s="116" t="n"/>
      <c r="GP46" s="116" t="n"/>
      <c r="GQ46" s="116" t="n"/>
      <c r="GR46" s="116" t="n"/>
      <c r="GS46" s="116" t="n"/>
      <c r="GT46" s="116" t="n"/>
      <c r="GU46" s="116" t="n"/>
      <c r="GV46" s="116" t="n"/>
      <c r="GW46" s="116" t="n"/>
      <c r="GX46" s="116" t="n"/>
      <c r="GY46" s="116" t="n"/>
      <c r="GZ46" s="116" t="n"/>
      <c r="HA46" s="116" t="n"/>
      <c r="HB46" s="116" t="n"/>
      <c r="HC46" s="116" t="n"/>
      <c r="HD46" s="116" t="n"/>
      <c r="HE46" s="116" t="n"/>
      <c r="HF46" s="116" t="n"/>
      <c r="HG46" s="116" t="n"/>
      <c r="HH46" s="116" t="n"/>
      <c r="HI46" s="116" t="n"/>
      <c r="HJ46" s="116" t="n"/>
      <c r="HK46" s="116" t="n"/>
      <c r="HL46" s="116" t="n"/>
      <c r="HM46" s="116" t="n"/>
      <c r="HN46" s="116" t="n"/>
      <c r="HO46" s="116" t="n"/>
      <c r="HP46" s="116" t="n"/>
      <c r="HQ46" s="116" t="n"/>
      <c r="HR46" s="116" t="n"/>
      <c r="HS46" s="116" t="n"/>
      <c r="HT46" s="116" t="n"/>
      <c r="HU46" s="116" t="n"/>
      <c r="HV46" s="116" t="n"/>
      <c r="HW46" s="116" t="n"/>
      <c r="HX46" s="116" t="n"/>
      <c r="HY46" s="116" t="n"/>
      <c r="HZ46" s="116" t="n"/>
      <c r="IA46" s="116" t="n"/>
      <c r="IB46" s="116" t="n"/>
      <c r="IC46" s="116" t="n"/>
      <c r="ID46" s="116" t="n"/>
      <c r="IE46" s="116" t="n"/>
      <c r="IF46" s="116" t="n"/>
      <c r="IG46" s="116" t="n"/>
      <c r="IH46" s="116" t="n"/>
      <c r="II46" s="116" t="n"/>
      <c r="IJ46" s="116" t="n"/>
      <c r="IK46" s="116" t="n"/>
      <c r="IL46" s="116" t="n"/>
      <c r="IM46" s="116" t="n"/>
      <c r="IN46" s="116" t="n"/>
      <c r="IO46" s="116" t="n"/>
      <c r="IP46" s="116" t="n"/>
      <c r="IQ46" s="116" t="n"/>
      <c r="IR46" s="116" t="n"/>
      <c r="IS46" s="116" t="n"/>
      <c r="IT46" s="116" t="n"/>
      <c r="IU46" s="116" t="n"/>
      <c r="IV46" s="116" t="n"/>
      <c r="IW46" s="116" t="n"/>
    </row>
    <row r="47" ht="16.5" customHeight="1" s="65">
      <c r="R47" s="97" t="n"/>
      <c r="S47" s="92" t="n"/>
      <c r="T47" s="79" t="n"/>
      <c r="U47" s="115" t="n"/>
    </row>
    <row r="48" ht="16.5" customHeight="1" s="65">
      <c r="R48" s="97" t="n"/>
      <c r="S48" s="92" t="n"/>
      <c r="T48" s="79" t="n"/>
      <c r="U48" s="115" t="n"/>
    </row>
    <row r="49" ht="16.5" customHeight="1" s="65">
      <c r="Q49" s="92" t="n"/>
      <c r="R49" s="97" t="n"/>
      <c r="S49" s="92" t="n"/>
      <c r="T49" s="79" t="n"/>
      <c r="U49" s="115" t="n"/>
      <c r="AJ49" s="92" t="n"/>
      <c r="AK49" s="92" t="n"/>
      <c r="AL49" s="92" t="n"/>
      <c r="AM49" s="92" t="n"/>
      <c r="AN49" s="92" t="n"/>
      <c r="AO49" s="92" t="n"/>
      <c r="AP49" s="92" t="n"/>
      <c r="AQ49" s="92" t="n"/>
      <c r="AR49" s="92" t="n"/>
      <c r="AS49" s="92" t="n"/>
      <c r="AT49" s="92" t="n"/>
      <c r="AU49" s="92" t="n"/>
      <c r="AV49" s="92" t="n"/>
      <c r="AW49" s="92" t="n"/>
      <c r="AX49" s="92" t="n"/>
      <c r="AY49" s="92" t="n"/>
      <c r="AZ49" s="92" t="n"/>
      <c r="BA49" s="92" t="n"/>
      <c r="BB49" s="92" t="n"/>
      <c r="BC49" s="92" t="n"/>
      <c r="BD49" s="92" t="n"/>
      <c r="BE49" s="92" t="n"/>
      <c r="BF49" s="92" t="n"/>
      <c r="BG49" s="92" t="n"/>
      <c r="BH49" s="92" t="n"/>
      <c r="BI49" s="92" t="n"/>
      <c r="BJ49" s="92" t="n"/>
      <c r="BK49" s="92" t="n"/>
      <c r="BL49" s="92" t="n"/>
      <c r="BM49" s="92" t="n"/>
      <c r="BN49" s="92" t="n"/>
      <c r="BO49" s="92" t="n"/>
      <c r="BP49" s="92" t="n"/>
      <c r="BQ49" s="92" t="n"/>
      <c r="BR49" s="92" t="n"/>
      <c r="BS49" s="92" t="n"/>
      <c r="BT49" s="92" t="n"/>
      <c r="BU49" s="92" t="n"/>
      <c r="BV49" s="92" t="n"/>
      <c r="BW49" s="92" t="n"/>
      <c r="BX49" s="92" t="n"/>
      <c r="BY49" s="92" t="n"/>
      <c r="BZ49" s="92" t="n"/>
      <c r="CA49" s="92" t="n"/>
      <c r="CB49" s="92" t="n"/>
      <c r="CC49" s="92" t="n"/>
      <c r="CD49" s="92" t="n"/>
      <c r="CE49" s="92" t="n"/>
      <c r="CF49" s="92" t="n"/>
      <c r="CG49" s="92" t="n"/>
      <c r="CH49" s="92" t="n"/>
      <c r="CI49" s="92" t="n"/>
      <c r="CJ49" s="92" t="n"/>
      <c r="CK49" s="92" t="n"/>
      <c r="CL49" s="92" t="n"/>
      <c r="CM49" s="92" t="n"/>
      <c r="CN49" s="92" t="n"/>
      <c r="CO49" s="92" t="n"/>
      <c r="CP49" s="92" t="n"/>
      <c r="CQ49" s="92" t="n"/>
      <c r="CR49" s="92" t="n"/>
      <c r="CS49" s="92" t="n"/>
      <c r="CT49" s="92" t="n"/>
      <c r="CU49" s="92" t="n"/>
      <c r="CV49" s="92" t="n"/>
      <c r="CW49" s="92" t="n"/>
      <c r="CX49" s="92" t="n"/>
      <c r="CY49" s="92" t="n"/>
      <c r="CZ49" s="92" t="n"/>
      <c r="DA49" s="92" t="n"/>
      <c r="DB49" s="92" t="n"/>
      <c r="DC49" s="92" t="n"/>
      <c r="DD49" s="92" t="n"/>
      <c r="DE49" s="92" t="n"/>
      <c r="DF49" s="92" t="n"/>
      <c r="DG49" s="92" t="n"/>
      <c r="DH49" s="92" t="n"/>
      <c r="DI49" s="92" t="n"/>
      <c r="DJ49" s="92" t="n"/>
      <c r="DK49" s="92" t="n"/>
      <c r="DL49" s="92" t="n"/>
      <c r="DM49" s="92" t="n"/>
      <c r="DN49" s="92" t="n"/>
      <c r="DO49" s="92" t="n"/>
      <c r="DP49" s="92" t="n"/>
      <c r="DQ49" s="92" t="n"/>
      <c r="DR49" s="92" t="n"/>
      <c r="DS49" s="92" t="n"/>
      <c r="DT49" s="92" t="n"/>
      <c r="DU49" s="92" t="n"/>
      <c r="DV49" s="92" t="n"/>
      <c r="DW49" s="92" t="n"/>
      <c r="DX49" s="92" t="n"/>
      <c r="DY49" s="92" t="n"/>
      <c r="DZ49" s="92" t="n"/>
      <c r="EA49" s="92" t="n"/>
      <c r="EB49" s="92" t="n"/>
      <c r="EC49" s="92" t="n"/>
      <c r="ED49" s="92" t="n"/>
      <c r="EE49" s="92" t="n"/>
      <c r="EF49" s="92" t="n"/>
      <c r="EG49" s="92" t="n"/>
      <c r="EH49" s="92" t="n"/>
      <c r="EI49" s="92" t="n"/>
      <c r="EJ49" s="92" t="n"/>
      <c r="EK49" s="92" t="n"/>
      <c r="EL49" s="92" t="n"/>
      <c r="EM49" s="92" t="n"/>
      <c r="EN49" s="92" t="n"/>
      <c r="EO49" s="92" t="n"/>
      <c r="EP49" s="92" t="n"/>
      <c r="EQ49" s="92" t="n"/>
      <c r="ER49" s="92" t="n"/>
      <c r="ES49" s="92" t="n"/>
      <c r="ET49" s="92" t="n"/>
      <c r="EU49" s="92" t="n"/>
      <c r="EV49" s="92" t="n"/>
      <c r="EW49" s="92" t="n"/>
      <c r="EX49" s="92" t="n"/>
      <c r="EY49" s="92" t="n"/>
      <c r="EZ49" s="92" t="n"/>
      <c r="FA49" s="92" t="n"/>
      <c r="FB49" s="92" t="n"/>
      <c r="FC49" s="92" t="n"/>
      <c r="FD49" s="92" t="n"/>
      <c r="FE49" s="92" t="n"/>
      <c r="FF49" s="92" t="n"/>
      <c r="FG49" s="92" t="n"/>
      <c r="FH49" s="92" t="n"/>
      <c r="FI49" s="92" t="n"/>
      <c r="FJ49" s="92" t="n"/>
      <c r="FK49" s="92" t="n"/>
      <c r="FL49" s="92" t="n"/>
      <c r="FM49" s="92" t="n"/>
      <c r="FN49" s="92" t="n"/>
      <c r="FO49" s="92" t="n"/>
      <c r="FP49" s="92" t="n"/>
      <c r="FQ49" s="92" t="n"/>
      <c r="FR49" s="92" t="n"/>
      <c r="FS49" s="92" t="n"/>
      <c r="FT49" s="92" t="n"/>
      <c r="FU49" s="92" t="n"/>
      <c r="FV49" s="92" t="n"/>
      <c r="FW49" s="92" t="n"/>
      <c r="FX49" s="92" t="n"/>
      <c r="FY49" s="92" t="n"/>
      <c r="FZ49" s="92" t="n"/>
      <c r="GA49" s="92" t="n"/>
      <c r="GB49" s="92" t="n"/>
      <c r="GC49" s="92" t="n"/>
      <c r="GD49" s="92" t="n"/>
      <c r="GE49" s="92" t="n"/>
      <c r="GF49" s="92" t="n"/>
      <c r="GG49" s="92" t="n"/>
      <c r="GH49" s="92" t="n"/>
      <c r="GI49" s="92" t="n"/>
      <c r="GJ49" s="92" t="n"/>
      <c r="GK49" s="92" t="n"/>
      <c r="GL49" s="92" t="n"/>
      <c r="GM49" s="92" t="n"/>
      <c r="GN49" s="92" t="n"/>
      <c r="GO49" s="92" t="n"/>
      <c r="GP49" s="92" t="n"/>
      <c r="GQ49" s="92" t="n"/>
      <c r="GR49" s="92" t="n"/>
      <c r="GS49" s="92" t="n"/>
      <c r="GT49" s="92" t="n"/>
      <c r="GU49" s="92" t="n"/>
      <c r="GV49" s="92" t="n"/>
      <c r="GW49" s="92" t="n"/>
      <c r="GX49" s="92" t="n"/>
      <c r="GY49" s="92" t="n"/>
      <c r="GZ49" s="92" t="n"/>
      <c r="HA49" s="92" t="n"/>
      <c r="HB49" s="92" t="n"/>
      <c r="HC49" s="92" t="n"/>
      <c r="HD49" s="92" t="n"/>
      <c r="HE49" s="92" t="n"/>
      <c r="HF49" s="92" t="n"/>
      <c r="HG49" s="92" t="n"/>
      <c r="HH49" s="92" t="n"/>
      <c r="HI49" s="92" t="n"/>
      <c r="HJ49" s="92" t="n"/>
      <c r="HK49" s="92" t="n"/>
      <c r="HL49" s="92" t="n"/>
      <c r="HM49" s="92" t="n"/>
      <c r="HN49" s="92" t="n"/>
      <c r="HO49" s="92" t="n"/>
      <c r="HP49" s="92" t="n"/>
      <c r="HQ49" s="92" t="n"/>
      <c r="HR49" s="92" t="n"/>
      <c r="HS49" s="92" t="n"/>
      <c r="HT49" s="92" t="n"/>
      <c r="HU49" s="92" t="n"/>
      <c r="HV49" s="92" t="n"/>
      <c r="HW49" s="92" t="n"/>
      <c r="HX49" s="92" t="n"/>
      <c r="HY49" s="92" t="n"/>
      <c r="HZ49" s="92" t="n"/>
      <c r="IA49" s="92" t="n"/>
      <c r="IB49" s="92" t="n"/>
      <c r="IC49" s="92" t="n"/>
      <c r="ID49" s="92" t="n"/>
      <c r="IE49" s="92" t="n"/>
      <c r="IF49" s="92" t="n"/>
      <c r="IG49" s="92" t="n"/>
      <c r="IH49" s="92" t="n"/>
      <c r="II49" s="92" t="n"/>
      <c r="IJ49" s="92" t="n"/>
      <c r="IK49" s="92" t="n"/>
      <c r="IL49" s="92" t="n"/>
      <c r="IM49" s="92" t="n"/>
      <c r="IN49" s="92" t="n"/>
      <c r="IO49" s="92" t="n"/>
      <c r="IP49" s="92" t="n"/>
      <c r="IQ49" s="92" t="n"/>
      <c r="IR49" s="92" t="n"/>
      <c r="IS49" s="92" t="n"/>
      <c r="IT49" s="92" t="n"/>
      <c r="IU49" s="92" t="n"/>
      <c r="IV49" s="92" t="n"/>
      <c r="IW49" s="92" t="n"/>
    </row>
    <row r="50" ht="16.5" customHeight="1" s="65">
      <c r="R50" s="97" t="n"/>
      <c r="S50" s="92" t="n"/>
      <c r="T50" s="79" t="n"/>
      <c r="U50" s="115" t="n"/>
    </row>
    <row r="51" ht="16.5" customHeight="1" s="65">
      <c r="Q51" s="92" t="n"/>
      <c r="R51" s="97" t="n"/>
      <c r="S51" s="92" t="n"/>
      <c r="T51" s="79" t="n"/>
      <c r="U51" s="115" t="n"/>
      <c r="AJ51" s="92" t="n"/>
      <c r="AK51" s="92" t="n"/>
      <c r="AL51" s="92" t="n"/>
      <c r="AM51" s="92" t="n"/>
      <c r="AN51" s="92" t="n"/>
      <c r="AO51" s="92" t="n"/>
      <c r="AP51" s="92" t="n"/>
      <c r="AQ51" s="92" t="n"/>
      <c r="AR51" s="92" t="n"/>
      <c r="AS51" s="92" t="n"/>
      <c r="AT51" s="92" t="n"/>
      <c r="AU51" s="92" t="n"/>
      <c r="AV51" s="92" t="n"/>
      <c r="AW51" s="92" t="n"/>
      <c r="AX51" s="92" t="n"/>
      <c r="AY51" s="92" t="n"/>
      <c r="AZ51" s="92" t="n"/>
      <c r="BA51" s="92" t="n"/>
      <c r="BB51" s="92" t="n"/>
      <c r="BC51" s="92" t="n"/>
      <c r="BD51" s="92" t="n"/>
      <c r="BE51" s="92" t="n"/>
      <c r="BF51" s="92" t="n"/>
      <c r="BG51" s="92" t="n"/>
      <c r="BH51" s="92" t="n"/>
      <c r="BI51" s="92" t="n"/>
      <c r="BJ51" s="92" t="n"/>
      <c r="BK51" s="92" t="n"/>
      <c r="BL51" s="92" t="n"/>
      <c r="BM51" s="92" t="n"/>
      <c r="BN51" s="92" t="n"/>
      <c r="BO51" s="92" t="n"/>
      <c r="BP51" s="92" t="n"/>
      <c r="BQ51" s="92" t="n"/>
      <c r="BR51" s="92" t="n"/>
      <c r="BS51" s="92" t="n"/>
      <c r="BT51" s="92" t="n"/>
      <c r="BU51" s="92" t="n"/>
      <c r="BV51" s="92" t="n"/>
      <c r="BW51" s="92" t="n"/>
      <c r="BX51" s="92" t="n"/>
      <c r="BY51" s="92" t="n"/>
      <c r="BZ51" s="92" t="n"/>
      <c r="CA51" s="92" t="n"/>
      <c r="CB51" s="92" t="n"/>
      <c r="CC51" s="92" t="n"/>
      <c r="CD51" s="92" t="n"/>
      <c r="CE51" s="92" t="n"/>
      <c r="CF51" s="92" t="n"/>
      <c r="CG51" s="92" t="n"/>
      <c r="CH51" s="92" t="n"/>
      <c r="CI51" s="92" t="n"/>
      <c r="CJ51" s="92" t="n"/>
      <c r="CK51" s="92" t="n"/>
      <c r="CL51" s="92" t="n"/>
      <c r="CM51" s="92" t="n"/>
      <c r="CN51" s="92" t="n"/>
      <c r="CO51" s="92" t="n"/>
      <c r="CP51" s="92" t="n"/>
      <c r="CQ51" s="92" t="n"/>
      <c r="CR51" s="92" t="n"/>
      <c r="CS51" s="92" t="n"/>
      <c r="CT51" s="92" t="n"/>
      <c r="CU51" s="92" t="n"/>
      <c r="CV51" s="92" t="n"/>
      <c r="CW51" s="92" t="n"/>
      <c r="CX51" s="92" t="n"/>
      <c r="CY51" s="92" t="n"/>
      <c r="CZ51" s="92" t="n"/>
      <c r="DA51" s="92" t="n"/>
      <c r="DB51" s="92" t="n"/>
      <c r="DC51" s="92" t="n"/>
      <c r="DD51" s="92" t="n"/>
      <c r="DE51" s="92" t="n"/>
      <c r="DF51" s="92" t="n"/>
      <c r="DG51" s="92" t="n"/>
      <c r="DH51" s="92" t="n"/>
      <c r="DI51" s="92" t="n"/>
      <c r="DJ51" s="92" t="n"/>
      <c r="DK51" s="92" t="n"/>
      <c r="DL51" s="92" t="n"/>
      <c r="DM51" s="92" t="n"/>
      <c r="DN51" s="92" t="n"/>
      <c r="DO51" s="92" t="n"/>
      <c r="DP51" s="92" t="n"/>
      <c r="DQ51" s="92" t="n"/>
      <c r="DR51" s="92" t="n"/>
      <c r="DS51" s="92" t="n"/>
      <c r="DT51" s="92" t="n"/>
      <c r="DU51" s="92" t="n"/>
      <c r="DV51" s="92" t="n"/>
      <c r="DW51" s="92" t="n"/>
      <c r="DX51" s="92" t="n"/>
      <c r="DY51" s="92" t="n"/>
      <c r="DZ51" s="92" t="n"/>
      <c r="EA51" s="92" t="n"/>
      <c r="EB51" s="92" t="n"/>
      <c r="EC51" s="92" t="n"/>
      <c r="ED51" s="92" t="n"/>
      <c r="EE51" s="92" t="n"/>
      <c r="EF51" s="92" t="n"/>
      <c r="EG51" s="92" t="n"/>
      <c r="EH51" s="92" t="n"/>
      <c r="EI51" s="92" t="n"/>
      <c r="EJ51" s="92" t="n"/>
      <c r="EK51" s="92" t="n"/>
      <c r="EL51" s="92" t="n"/>
      <c r="EM51" s="92" t="n"/>
      <c r="EN51" s="92" t="n"/>
      <c r="EO51" s="92" t="n"/>
      <c r="EP51" s="92" t="n"/>
      <c r="EQ51" s="92" t="n"/>
      <c r="ER51" s="92" t="n"/>
      <c r="ES51" s="92" t="n"/>
      <c r="ET51" s="92" t="n"/>
      <c r="EU51" s="92" t="n"/>
      <c r="EV51" s="92" t="n"/>
      <c r="EW51" s="92" t="n"/>
      <c r="EX51" s="92" t="n"/>
      <c r="EY51" s="92" t="n"/>
      <c r="EZ51" s="92" t="n"/>
      <c r="FA51" s="92" t="n"/>
      <c r="FB51" s="92" t="n"/>
      <c r="FC51" s="92" t="n"/>
      <c r="FD51" s="92" t="n"/>
      <c r="FE51" s="92" t="n"/>
      <c r="FF51" s="92" t="n"/>
      <c r="FG51" s="92" t="n"/>
      <c r="FH51" s="92" t="n"/>
      <c r="FI51" s="92" t="n"/>
      <c r="FJ51" s="92" t="n"/>
      <c r="FK51" s="92" t="n"/>
      <c r="FL51" s="92" t="n"/>
      <c r="FM51" s="92" t="n"/>
      <c r="FN51" s="92" t="n"/>
      <c r="FO51" s="92" t="n"/>
      <c r="FP51" s="92" t="n"/>
      <c r="FQ51" s="92" t="n"/>
      <c r="FR51" s="92" t="n"/>
      <c r="FS51" s="92" t="n"/>
      <c r="FT51" s="92" t="n"/>
      <c r="FU51" s="92" t="n"/>
      <c r="FV51" s="92" t="n"/>
      <c r="FW51" s="92" t="n"/>
      <c r="FX51" s="92" t="n"/>
      <c r="FY51" s="92" t="n"/>
      <c r="FZ51" s="92" t="n"/>
      <c r="GA51" s="92" t="n"/>
      <c r="GB51" s="92" t="n"/>
      <c r="GC51" s="92" t="n"/>
      <c r="GD51" s="92" t="n"/>
      <c r="GE51" s="92" t="n"/>
      <c r="GF51" s="92" t="n"/>
      <c r="GG51" s="92" t="n"/>
      <c r="GH51" s="92" t="n"/>
      <c r="GI51" s="92" t="n"/>
      <c r="GJ51" s="92" t="n"/>
      <c r="GK51" s="92" t="n"/>
      <c r="GL51" s="92" t="n"/>
      <c r="GM51" s="92" t="n"/>
      <c r="GN51" s="92" t="n"/>
      <c r="GO51" s="92" t="n"/>
      <c r="GP51" s="92" t="n"/>
      <c r="GQ51" s="92" t="n"/>
      <c r="GR51" s="92" t="n"/>
      <c r="GS51" s="92" t="n"/>
      <c r="GT51" s="92" t="n"/>
      <c r="GU51" s="92" t="n"/>
      <c r="GV51" s="92" t="n"/>
      <c r="GW51" s="92" t="n"/>
      <c r="GX51" s="92" t="n"/>
      <c r="GY51" s="92" t="n"/>
      <c r="GZ51" s="92" t="n"/>
      <c r="HA51" s="92" t="n"/>
      <c r="HB51" s="92" t="n"/>
      <c r="HC51" s="92" t="n"/>
      <c r="HD51" s="92" t="n"/>
      <c r="HE51" s="92" t="n"/>
      <c r="HF51" s="92" t="n"/>
      <c r="HG51" s="92" t="n"/>
      <c r="HH51" s="92" t="n"/>
      <c r="HI51" s="92" t="n"/>
      <c r="HJ51" s="92" t="n"/>
      <c r="HK51" s="92" t="n"/>
      <c r="HL51" s="92" t="n"/>
      <c r="HM51" s="92" t="n"/>
      <c r="HN51" s="92" t="n"/>
      <c r="HO51" s="92" t="n"/>
      <c r="HP51" s="92" t="n"/>
      <c r="HQ51" s="92" t="n"/>
      <c r="HR51" s="92" t="n"/>
      <c r="HS51" s="92" t="n"/>
      <c r="HT51" s="92" t="n"/>
      <c r="HU51" s="92" t="n"/>
      <c r="HV51" s="92" t="n"/>
      <c r="HW51" s="92" t="n"/>
      <c r="HX51" s="92" t="n"/>
      <c r="HY51" s="92" t="n"/>
      <c r="HZ51" s="92" t="n"/>
      <c r="IA51" s="92" t="n"/>
      <c r="IB51" s="92" t="n"/>
      <c r="IC51" s="92" t="n"/>
      <c r="ID51" s="92" t="n"/>
      <c r="IE51" s="92" t="n"/>
      <c r="IF51" s="92" t="n"/>
      <c r="IG51" s="92" t="n"/>
      <c r="IH51" s="92" t="n"/>
      <c r="II51" s="92" t="n"/>
      <c r="IJ51" s="92" t="n"/>
      <c r="IK51" s="92" t="n"/>
      <c r="IL51" s="92" t="n"/>
      <c r="IM51" s="92" t="n"/>
      <c r="IN51" s="92" t="n"/>
      <c r="IO51" s="92" t="n"/>
      <c r="IP51" s="92" t="n"/>
      <c r="IQ51" s="92" t="n"/>
      <c r="IR51" s="92" t="n"/>
      <c r="IS51" s="92" t="n"/>
      <c r="IT51" s="92" t="n"/>
      <c r="IU51" s="92" t="n"/>
      <c r="IV51" s="92" t="n"/>
      <c r="IW51" s="92" t="n"/>
    </row>
    <row r="52" ht="16.5" customHeight="1" s="65">
      <c r="R52" s="97" t="n"/>
      <c r="S52" s="92" t="n"/>
      <c r="T52" s="79" t="n"/>
      <c r="U52" s="115" t="n"/>
    </row>
    <row r="53" ht="16.5" customHeight="1" s="65">
      <c r="R53" s="97" t="n"/>
      <c r="S53" s="92" t="n"/>
      <c r="T53" s="79" t="n"/>
      <c r="U53" s="115" t="n"/>
    </row>
    <row r="54" ht="16.5" customHeight="1" s="65">
      <c r="R54" s="97" t="n"/>
      <c r="S54" s="92" t="n"/>
      <c r="T54" s="79" t="n"/>
      <c r="U54" s="115" t="n"/>
    </row>
    <row r="55" ht="16.5" customHeight="1" s="65">
      <c r="R55" s="97" t="n"/>
      <c r="S55" s="92" t="n"/>
      <c r="T55" s="79" t="n"/>
      <c r="U55" s="115" t="n"/>
    </row>
    <row r="56" ht="16.5" customHeight="1" s="65">
      <c r="R56" s="97" t="n"/>
      <c r="S56" s="92" t="n"/>
      <c r="T56" s="79" t="n"/>
      <c r="U56" s="115" t="n"/>
    </row>
    <row r="57" ht="16.5" customHeight="1" s="65">
      <c r="R57" s="97" t="n"/>
      <c r="S57" s="92" t="n"/>
      <c r="T57" s="79" t="n"/>
      <c r="U57" s="115" t="n"/>
    </row>
    <row r="58" ht="16.5" customHeight="1" s="65">
      <c r="R58" s="97" t="n"/>
      <c r="S58" s="92" t="n"/>
      <c r="T58" s="79" t="n"/>
      <c r="U58" s="115" t="n"/>
    </row>
    <row r="59" ht="16.5" customHeight="1" s="65">
      <c r="R59" s="97" t="n"/>
      <c r="S59" s="92" t="n"/>
      <c r="T59" s="92" t="n"/>
      <c r="U59" s="100" t="n"/>
      <c r="AC59" s="92" t="n"/>
    </row>
    <row r="60" ht="16.5" customHeight="1" s="65">
      <c r="R60" s="97" t="n"/>
      <c r="S60" s="92" t="n"/>
      <c r="T60" s="92" t="n"/>
      <c r="U60" s="100" t="n"/>
      <c r="AC60" s="92" t="n"/>
    </row>
    <row r="61" ht="16.5" customHeight="1" s="65">
      <c r="R61" s="97" t="n"/>
      <c r="S61" s="92" t="n"/>
      <c r="T61" s="92" t="n"/>
      <c r="U61" s="100" t="n"/>
      <c r="AC61" s="92" t="n"/>
    </row>
    <row r="62" ht="16.5" customHeight="1" s="65">
      <c r="R62" s="97" t="n"/>
      <c r="S62" s="92" t="n"/>
      <c r="T62" s="92" t="n"/>
      <c r="U62" s="100" t="n"/>
      <c r="AC62" s="92" t="n"/>
    </row>
    <row r="63" ht="16.5" customHeight="1" s="65">
      <c r="R63" s="97" t="n"/>
      <c r="S63" s="92" t="n"/>
      <c r="T63" s="92" t="n"/>
      <c r="U63" s="100" t="n"/>
      <c r="AC63" s="92" t="n"/>
    </row>
    <row r="64" ht="16.5" customHeight="1" s="65">
      <c r="R64" s="97" t="n"/>
      <c r="S64" s="92" t="n"/>
      <c r="T64" s="92" t="n"/>
      <c r="U64" s="100" t="n"/>
      <c r="AC64" s="92" t="n"/>
    </row>
    <row r="65" ht="16.5" customHeight="1" s="65">
      <c r="R65" s="97" t="n"/>
      <c r="S65" s="92" t="n"/>
      <c r="T65" s="92" t="n"/>
      <c r="U65" s="100" t="n"/>
      <c r="AC65" s="92" t="n"/>
    </row>
    <row r="66" ht="16.5" customHeight="1" s="65">
      <c r="R66" s="97" t="n"/>
      <c r="S66" s="92" t="n"/>
      <c r="T66" s="92" t="n"/>
      <c r="U66" s="100" t="n"/>
      <c r="AC66" s="92" t="n"/>
    </row>
    <row r="67" ht="16.5" customHeight="1" s="65">
      <c r="R67" s="97" t="n"/>
      <c r="S67" s="92" t="n"/>
      <c r="T67" s="92" t="n"/>
      <c r="U67" s="100" t="n"/>
      <c r="AC67" s="92" t="n"/>
    </row>
    <row r="68" ht="16.5" customHeight="1" s="65">
      <c r="R68" s="97" t="n"/>
      <c r="S68" s="92" t="n"/>
      <c r="T68" s="92" t="n"/>
      <c r="U68" s="100" t="n"/>
      <c r="AC68" s="92" t="n"/>
    </row>
    <row r="69" ht="15" customHeight="1" s="65">
      <c r="R69" s="97" t="n"/>
      <c r="S69" s="92" t="n"/>
      <c r="T69" s="92" t="n"/>
      <c r="U69" s="100" t="n"/>
      <c r="AC69" s="92" t="n"/>
    </row>
    <row r="70" ht="15" customHeight="1" s="65">
      <c r="R70" s="97" t="n"/>
      <c r="S70" s="92" t="n"/>
      <c r="T70" s="92" t="n"/>
      <c r="U70" s="100" t="n"/>
      <c r="AC70" s="92" t="n"/>
    </row>
    <row r="71" ht="16.5" customHeight="1" s="65">
      <c r="R71" s="97" t="n"/>
      <c r="S71" s="92" t="n"/>
      <c r="T71" s="92" t="n"/>
      <c r="U71" s="100" t="n"/>
      <c r="AC71" s="92" t="n"/>
    </row>
    <row r="72" ht="16.5" customHeight="1" s="65">
      <c r="R72" s="97" t="n"/>
      <c r="S72" s="92" t="n"/>
      <c r="T72" s="92" t="n"/>
      <c r="U72" s="100" t="n"/>
      <c r="AC72" s="92" t="n"/>
    </row>
    <row r="73" ht="16.5" customHeight="1" s="65">
      <c r="R73" s="97" t="n"/>
      <c r="S73" s="92" t="n"/>
      <c r="T73" s="92" t="n"/>
      <c r="U73" s="100" t="n"/>
      <c r="AC73" s="92" t="n"/>
    </row>
    <row r="74" ht="16.5" customHeight="1" s="65">
      <c r="R74" s="97" t="n"/>
      <c r="S74" s="92" t="n"/>
      <c r="T74" s="92" t="n"/>
      <c r="U74" s="100" t="n"/>
      <c r="AC74" s="92" t="n"/>
    </row>
    <row r="75" ht="16.5" customHeight="1" s="65">
      <c r="R75" s="97" t="n"/>
      <c r="S75" s="92" t="n"/>
      <c r="T75" s="92" t="n"/>
      <c r="U75" s="100" t="n"/>
      <c r="AC75" s="92" t="n"/>
    </row>
    <row r="76" ht="16.5" customHeight="1" s="65">
      <c r="R76" s="97" t="n"/>
      <c r="S76" s="92" t="n"/>
      <c r="T76" s="92" t="n"/>
      <c r="U76" s="100" t="n"/>
      <c r="AC76" s="92" t="n"/>
    </row>
    <row r="77" ht="16.5" customHeight="1" s="65">
      <c r="R77" s="97" t="n"/>
      <c r="S77" s="92" t="n"/>
      <c r="T77" s="92" t="n"/>
      <c r="U77" s="100" t="n"/>
      <c r="AC77" s="92" t="n"/>
    </row>
    <row r="78" ht="16.5" customHeight="1" s="65">
      <c r="R78" s="97" t="n"/>
      <c r="S78" s="92" t="n"/>
      <c r="T78" s="92" t="n"/>
      <c r="U78" s="100" t="n"/>
      <c r="AC78" s="92" t="n"/>
    </row>
    <row r="79" ht="16.5" customHeight="1" s="65">
      <c r="R79" s="97" t="n"/>
      <c r="S79" s="92" t="n"/>
      <c r="T79" s="92" t="n"/>
      <c r="U79" s="100" t="n"/>
      <c r="AC79" s="92" t="n"/>
    </row>
    <row r="80" ht="16.5" customHeight="1" s="65">
      <c r="R80" s="97" t="n"/>
      <c r="S80" s="92" t="n"/>
      <c r="T80" s="92" t="n"/>
      <c r="U80" s="100" t="n"/>
      <c r="AC80" s="92" t="n"/>
    </row>
    <row r="81" ht="16.5" customHeight="1" s="65">
      <c r="R81" s="97" t="n"/>
      <c r="S81" s="92" t="n"/>
      <c r="T81" s="92" t="n"/>
      <c r="U81" s="100" t="n"/>
      <c r="AC81" s="92" t="n"/>
    </row>
    <row r="82" ht="16.5" customHeight="1" s="65">
      <c r="R82" s="97" t="n"/>
      <c r="S82" s="92" t="n"/>
      <c r="T82" s="92" t="n"/>
      <c r="U82" s="100" t="n"/>
      <c r="AC82" s="92" t="n"/>
    </row>
    <row r="83" ht="16.5" customHeight="1" s="65">
      <c r="R83" s="97" t="n"/>
      <c r="S83" s="92" t="n"/>
      <c r="T83" s="92" t="n"/>
      <c r="U83" s="100" t="n"/>
      <c r="AC83" s="92" t="n"/>
    </row>
    <row r="84" ht="16.5" customHeight="1" s="65">
      <c r="R84" s="97" t="n"/>
      <c r="S84" s="92" t="n"/>
      <c r="T84" s="92" t="n"/>
      <c r="U84" s="100" t="n"/>
      <c r="AC84" s="92" t="n"/>
    </row>
    <row r="85" ht="16.5" customHeight="1" s="65">
      <c r="R85" s="97" t="n"/>
      <c r="S85" s="92" t="n"/>
      <c r="T85" s="92" t="n"/>
      <c r="U85" s="100" t="n"/>
      <c r="AC85" s="92" t="n"/>
    </row>
    <row r="86" ht="16.5" customHeight="1" s="65">
      <c r="R86" s="97" t="n"/>
      <c r="S86" s="92" t="n"/>
      <c r="T86" s="92" t="n"/>
      <c r="U86" s="100" t="n"/>
      <c r="AC86" s="92" t="n"/>
    </row>
    <row r="87" ht="16.5" customHeight="1" s="65">
      <c r="R87" s="97" t="n"/>
      <c r="S87" s="92" t="n"/>
      <c r="T87" s="92" t="n"/>
      <c r="U87" s="100" t="n"/>
      <c r="AC87" s="92" t="n"/>
    </row>
    <row r="88" ht="16.5" customHeight="1" s="65">
      <c r="R88" s="97" t="n"/>
      <c r="S88" s="92" t="n"/>
      <c r="T88" s="92" t="n"/>
      <c r="U88" s="100" t="n"/>
      <c r="AC88" s="92" t="n"/>
    </row>
    <row r="89" ht="16.5" customHeight="1" s="65">
      <c r="R89" s="97" t="n"/>
      <c r="S89" s="92" t="n"/>
      <c r="T89" s="92" t="n"/>
      <c r="U89" s="100" t="n"/>
      <c r="AC89" s="92" t="n"/>
    </row>
    <row r="90" ht="16.5" customHeight="1" s="65">
      <c r="R90" s="97" t="n"/>
      <c r="S90" s="92" t="n"/>
      <c r="T90" s="92" t="n"/>
      <c r="U90" s="100" t="n"/>
      <c r="AC90" s="92" t="n"/>
    </row>
    <row r="91" ht="16.5" customHeight="1" s="65">
      <c r="R91" s="97" t="n"/>
      <c r="S91" s="92" t="n"/>
      <c r="T91" s="92" t="n"/>
      <c r="U91" s="100" t="n"/>
      <c r="AC91" s="92" t="n"/>
    </row>
    <row r="92" ht="16.5" customHeight="1" s="65">
      <c r="R92" s="97" t="n"/>
      <c r="S92" s="92" t="n"/>
      <c r="T92" s="92" t="n"/>
      <c r="U92" s="100" t="n"/>
      <c r="AC92" s="92" t="n"/>
    </row>
    <row r="93" ht="16.5" customHeight="1" s="65">
      <c r="R93" s="97" t="n"/>
      <c r="S93" s="92" t="n"/>
      <c r="T93" s="92" t="n"/>
      <c r="U93" s="100" t="n"/>
      <c r="AC93" s="92" t="n"/>
    </row>
    <row r="94" ht="16.5" customHeight="1" s="65">
      <c r="R94" s="97" t="n"/>
      <c r="S94" s="92" t="n"/>
      <c r="T94" s="92" t="n"/>
      <c r="U94" s="100" t="n"/>
      <c r="AC94" s="92" t="n"/>
    </row>
    <row r="95" ht="16.5" customHeight="1" s="65">
      <c r="Q95" s="92" t="n"/>
      <c r="R95" s="97" t="n"/>
      <c r="S95" s="92" t="n"/>
      <c r="T95" s="92" t="n"/>
      <c r="U95" s="100" t="n"/>
      <c r="V95" s="92" t="n"/>
      <c r="W95" s="92" t="n"/>
      <c r="X95" s="92" t="n"/>
      <c r="Y95" s="92" t="n"/>
      <c r="Z95" s="92" t="n"/>
      <c r="AA95" s="92" t="n"/>
      <c r="AB95" s="92" t="n"/>
      <c r="AC95" s="92" t="n"/>
      <c r="AD95" s="92" t="n"/>
      <c r="AE95" s="92" t="n"/>
      <c r="AF95" s="92" t="n"/>
      <c r="AG95" s="92" t="n"/>
      <c r="AH95" s="92" t="n"/>
      <c r="AI95" s="92" t="n"/>
      <c r="AJ95" s="92" t="n"/>
      <c r="AK95" s="92" t="n"/>
      <c r="AL95" s="92" t="n"/>
      <c r="AM95" s="92" t="n"/>
      <c r="AN95" s="92" t="n"/>
      <c r="AO95" s="92" t="n"/>
      <c r="AP95" s="92" t="n"/>
      <c r="AQ95" s="92" t="n"/>
      <c r="AR95" s="92" t="n"/>
      <c r="AS95" s="92" t="n"/>
      <c r="AT95" s="92" t="n"/>
      <c r="AU95" s="92" t="n"/>
      <c r="AV95" s="92" t="n"/>
      <c r="AW95" s="92" t="n"/>
      <c r="AX95" s="92" t="n"/>
      <c r="AY95" s="92" t="n"/>
      <c r="AZ95" s="92" t="n"/>
      <c r="BA95" s="92" t="n"/>
      <c r="BB95" s="92" t="n"/>
      <c r="BC95" s="92" t="n"/>
      <c r="BD95" s="92" t="n"/>
      <c r="BE95" s="92" t="n"/>
      <c r="BF95" s="92" t="n"/>
      <c r="BG95" s="92" t="n"/>
      <c r="BH95" s="92" t="n"/>
      <c r="BI95" s="92" t="n"/>
      <c r="BJ95" s="92" t="n"/>
      <c r="BK95" s="92" t="n"/>
      <c r="BL95" s="92" t="n"/>
      <c r="BM95" s="92" t="n"/>
      <c r="BN95" s="92" t="n"/>
      <c r="BO95" s="92" t="n"/>
      <c r="BP95" s="92" t="n"/>
      <c r="BQ95" s="92" t="n"/>
      <c r="BR95" s="92" t="n"/>
      <c r="BS95" s="92" t="n"/>
      <c r="BT95" s="92" t="n"/>
      <c r="BU95" s="92" t="n"/>
      <c r="BV95" s="92" t="n"/>
      <c r="BW95" s="92" t="n"/>
      <c r="BX95" s="92" t="n"/>
      <c r="BY95" s="92" t="n"/>
      <c r="BZ95" s="92" t="n"/>
      <c r="CA95" s="92" t="n"/>
      <c r="CB95" s="92" t="n"/>
      <c r="CC95" s="92" t="n"/>
      <c r="CD95" s="92" t="n"/>
      <c r="CE95" s="92" t="n"/>
      <c r="CF95" s="92" t="n"/>
      <c r="CG95" s="92" t="n"/>
      <c r="CH95" s="92" t="n"/>
      <c r="CI95" s="92" t="n"/>
      <c r="CJ95" s="92" t="n"/>
      <c r="CK95" s="92" t="n"/>
      <c r="CL95" s="92" t="n"/>
      <c r="CM95" s="92" t="n"/>
      <c r="CN95" s="92" t="n"/>
      <c r="CO95" s="92" t="n"/>
      <c r="CP95" s="92" t="n"/>
      <c r="CQ95" s="92" t="n"/>
      <c r="CR95" s="92" t="n"/>
      <c r="CS95" s="92" t="n"/>
      <c r="CT95" s="92" t="n"/>
      <c r="CU95" s="92" t="n"/>
      <c r="CV95" s="92" t="n"/>
      <c r="CW95" s="92" t="n"/>
      <c r="CX95" s="92" t="n"/>
      <c r="CY95" s="92" t="n"/>
      <c r="CZ95" s="92" t="n"/>
      <c r="DA95" s="92" t="n"/>
      <c r="DB95" s="92" t="n"/>
      <c r="DC95" s="92" t="n"/>
      <c r="DD95" s="92" t="n"/>
      <c r="DE95" s="92" t="n"/>
      <c r="DF95" s="92" t="n"/>
      <c r="DG95" s="92" t="n"/>
      <c r="DH95" s="92" t="n"/>
      <c r="DI95" s="92" t="n"/>
      <c r="DJ95" s="92" t="n"/>
      <c r="DK95" s="92" t="n"/>
      <c r="DL95" s="92" t="n"/>
      <c r="DM95" s="92" t="n"/>
      <c r="DN95" s="92" t="n"/>
      <c r="DO95" s="92" t="n"/>
      <c r="DP95" s="92" t="n"/>
      <c r="DQ95" s="92" t="n"/>
      <c r="DR95" s="92" t="n"/>
      <c r="DS95" s="92" t="n"/>
      <c r="DT95" s="92" t="n"/>
      <c r="DU95" s="92" t="n"/>
      <c r="DV95" s="92" t="n"/>
      <c r="DW95" s="92" t="n"/>
      <c r="DX95" s="92" t="n"/>
      <c r="DY95" s="92" t="n"/>
      <c r="DZ95" s="92" t="n"/>
      <c r="EA95" s="92" t="n"/>
      <c r="EB95" s="92" t="n"/>
      <c r="EC95" s="92" t="n"/>
      <c r="ED95" s="92" t="n"/>
      <c r="EE95" s="92" t="n"/>
      <c r="EF95" s="92" t="n"/>
      <c r="EG95" s="92" t="n"/>
      <c r="EH95" s="92" t="n"/>
      <c r="EI95" s="92" t="n"/>
      <c r="EJ95" s="92" t="n"/>
      <c r="EK95" s="92" t="n"/>
      <c r="EL95" s="92" t="n"/>
      <c r="EM95" s="92" t="n"/>
      <c r="EN95" s="92" t="n"/>
      <c r="EO95" s="92" t="n"/>
      <c r="EP95" s="92" t="n"/>
      <c r="EQ95" s="92" t="n"/>
      <c r="ER95" s="92" t="n"/>
      <c r="ES95" s="92" t="n"/>
      <c r="ET95" s="92" t="n"/>
      <c r="EU95" s="92" t="n"/>
      <c r="EV95" s="92" t="n"/>
      <c r="EW95" s="92" t="n"/>
      <c r="EX95" s="92" t="n"/>
      <c r="EY95" s="92" t="n"/>
      <c r="EZ95" s="92" t="n"/>
      <c r="FA95" s="92" t="n"/>
      <c r="FB95" s="92" t="n"/>
      <c r="FC95" s="92" t="n"/>
      <c r="FD95" s="92" t="n"/>
      <c r="FE95" s="92" t="n"/>
      <c r="FF95" s="92" t="n"/>
      <c r="FG95" s="92" t="n"/>
      <c r="FH95" s="92" t="n"/>
      <c r="FI95" s="92" t="n"/>
      <c r="FJ95" s="92" t="n"/>
      <c r="FK95" s="92" t="n"/>
      <c r="FL95" s="92" t="n"/>
      <c r="FM95" s="92" t="n"/>
      <c r="FN95" s="92" t="n"/>
      <c r="FO95" s="92" t="n"/>
      <c r="FP95" s="92" t="n"/>
      <c r="FQ95" s="92" t="n"/>
      <c r="FR95" s="92" t="n"/>
      <c r="FS95" s="92" t="n"/>
      <c r="FT95" s="92" t="n"/>
      <c r="FU95" s="92" t="n"/>
      <c r="FV95" s="92" t="n"/>
      <c r="FW95" s="92" t="n"/>
      <c r="FX95" s="92" t="n"/>
      <c r="FY95" s="92" t="n"/>
      <c r="FZ95" s="92" t="n"/>
      <c r="GA95" s="92" t="n"/>
      <c r="GB95" s="92" t="n"/>
      <c r="GC95" s="92" t="n"/>
      <c r="GD95" s="92" t="n"/>
      <c r="GE95" s="92" t="n"/>
      <c r="GF95" s="92" t="n"/>
      <c r="GG95" s="92" t="n"/>
      <c r="GH95" s="92" t="n"/>
      <c r="GI95" s="92" t="n"/>
      <c r="GJ95" s="92" t="n"/>
      <c r="GK95" s="92" t="n"/>
      <c r="GL95" s="92" t="n"/>
      <c r="GM95" s="92" t="n"/>
      <c r="GN95" s="92" t="n"/>
      <c r="GO95" s="92" t="n"/>
      <c r="GP95" s="92" t="n"/>
      <c r="GQ95" s="92" t="n"/>
      <c r="GR95" s="92" t="n"/>
      <c r="GS95" s="92" t="n"/>
      <c r="GT95" s="92" t="n"/>
      <c r="GU95" s="92" t="n"/>
      <c r="GV95" s="92" t="n"/>
      <c r="GW95" s="92" t="n"/>
      <c r="GX95" s="92" t="n"/>
      <c r="GY95" s="92" t="n"/>
      <c r="GZ95" s="92" t="n"/>
      <c r="HA95" s="92" t="n"/>
      <c r="HB95" s="92" t="n"/>
      <c r="HC95" s="92" t="n"/>
      <c r="HD95" s="92" t="n"/>
      <c r="HE95" s="92" t="n"/>
      <c r="HF95" s="92" t="n"/>
      <c r="HG95" s="92" t="n"/>
      <c r="HH95" s="92" t="n"/>
      <c r="HI95" s="92" t="n"/>
      <c r="HJ95" s="92" t="n"/>
      <c r="HK95" s="92" t="n"/>
      <c r="HL95" s="92" t="n"/>
      <c r="HM95" s="92" t="n"/>
      <c r="HN95" s="92" t="n"/>
      <c r="HO95" s="92" t="n"/>
      <c r="HP95" s="92" t="n"/>
      <c r="HQ95" s="92" t="n"/>
      <c r="HR95" s="92" t="n"/>
      <c r="HS95" s="92" t="n"/>
      <c r="HT95" s="92" t="n"/>
      <c r="HU95" s="92" t="n"/>
      <c r="HV95" s="92" t="n"/>
      <c r="HW95" s="92" t="n"/>
      <c r="HX95" s="92" t="n"/>
      <c r="HY95" s="92" t="n"/>
      <c r="HZ95" s="92" t="n"/>
      <c r="IA95" s="92" t="n"/>
      <c r="IB95" s="92" t="n"/>
      <c r="IC95" s="92" t="n"/>
      <c r="ID95" s="92" t="n"/>
      <c r="IE95" s="92" t="n"/>
      <c r="IF95" s="92" t="n"/>
      <c r="IG95" s="92" t="n"/>
      <c r="IH95" s="92" t="n"/>
      <c r="II95" s="92" t="n"/>
      <c r="IJ95" s="92" t="n"/>
      <c r="IK95" s="92" t="n"/>
      <c r="IL95" s="92" t="n"/>
      <c r="IM95" s="92" t="n"/>
      <c r="IN95" s="92" t="n"/>
      <c r="IO95" s="92" t="n"/>
      <c r="IP95" s="92" t="n"/>
      <c r="IQ95" s="92" t="n"/>
      <c r="IR95" s="92" t="n"/>
      <c r="IS95" s="92" t="n"/>
      <c r="IT95" s="92" t="n"/>
      <c r="IU95" s="92" t="n"/>
      <c r="IV95" s="92" t="n"/>
      <c r="IW95" s="92" t="n"/>
    </row>
    <row r="96" ht="16.5" customHeight="1" s="65">
      <c r="R96" s="97" t="n"/>
      <c r="S96" s="92" t="n"/>
      <c r="T96" s="92" t="n"/>
      <c r="U96" s="100" t="n"/>
      <c r="AC96" s="92" t="n"/>
    </row>
    <row r="97" ht="16.5" customHeight="1" s="65">
      <c r="Q97" s="92" t="n"/>
      <c r="R97" s="97" t="n"/>
      <c r="S97" s="92" t="n"/>
      <c r="T97" s="92" t="n"/>
      <c r="U97" s="100" t="n"/>
      <c r="V97" s="92" t="n"/>
      <c r="W97" s="92" t="n"/>
      <c r="X97" s="92" t="n"/>
      <c r="Y97" s="92" t="n"/>
      <c r="Z97" s="92" t="n"/>
      <c r="AA97" s="92" t="n"/>
      <c r="AB97" s="92" t="n"/>
      <c r="AC97" s="92" t="n"/>
      <c r="AD97" s="92" t="n"/>
      <c r="AE97" s="92" t="n"/>
      <c r="AF97" s="92" t="n"/>
      <c r="AG97" s="92" t="n"/>
      <c r="AH97" s="92" t="n"/>
      <c r="AI97" s="92" t="n"/>
      <c r="AJ97" s="92" t="n"/>
      <c r="AK97" s="92" t="n"/>
      <c r="AL97" s="92" t="n"/>
      <c r="AM97" s="92" t="n"/>
      <c r="AN97" s="92" t="n"/>
      <c r="AO97" s="92" t="n"/>
      <c r="AP97" s="92" t="n"/>
      <c r="AQ97" s="92" t="n"/>
      <c r="AR97" s="92" t="n"/>
      <c r="AS97" s="92" t="n"/>
      <c r="AT97" s="92" t="n"/>
      <c r="AU97" s="92" t="n"/>
      <c r="AV97" s="92" t="n"/>
      <c r="AW97" s="92" t="n"/>
      <c r="AX97" s="92" t="n"/>
      <c r="AY97" s="92" t="n"/>
      <c r="AZ97" s="92" t="n"/>
      <c r="BA97" s="92" t="n"/>
      <c r="BB97" s="92" t="n"/>
      <c r="BC97" s="92" t="n"/>
      <c r="BD97" s="92" t="n"/>
      <c r="BE97" s="92" t="n"/>
      <c r="BF97" s="92" t="n"/>
      <c r="BG97" s="92" t="n"/>
      <c r="BH97" s="92" t="n"/>
      <c r="BI97" s="92" t="n"/>
      <c r="BJ97" s="92" t="n"/>
      <c r="BK97" s="92" t="n"/>
      <c r="BL97" s="92" t="n"/>
      <c r="BM97" s="92" t="n"/>
      <c r="BN97" s="92" t="n"/>
      <c r="BO97" s="92" t="n"/>
      <c r="BP97" s="92" t="n"/>
      <c r="BQ97" s="92" t="n"/>
      <c r="BR97" s="92" t="n"/>
      <c r="BS97" s="92" t="n"/>
      <c r="BT97" s="92" t="n"/>
      <c r="BU97" s="92" t="n"/>
      <c r="BV97" s="92" t="n"/>
      <c r="BW97" s="92" t="n"/>
      <c r="BX97" s="92" t="n"/>
      <c r="BY97" s="92" t="n"/>
      <c r="BZ97" s="92" t="n"/>
      <c r="CA97" s="92" t="n"/>
      <c r="CB97" s="92" t="n"/>
      <c r="CC97" s="92" t="n"/>
      <c r="CD97" s="92" t="n"/>
      <c r="CE97" s="92" t="n"/>
      <c r="CF97" s="92" t="n"/>
      <c r="CG97" s="92" t="n"/>
      <c r="CH97" s="92" t="n"/>
      <c r="CI97" s="92" t="n"/>
      <c r="CJ97" s="92" t="n"/>
      <c r="CK97" s="92" t="n"/>
      <c r="CL97" s="92" t="n"/>
      <c r="CM97" s="92" t="n"/>
      <c r="CN97" s="92" t="n"/>
      <c r="CO97" s="92" t="n"/>
      <c r="CP97" s="92" t="n"/>
      <c r="CQ97" s="92" t="n"/>
      <c r="CR97" s="92" t="n"/>
      <c r="CS97" s="92" t="n"/>
      <c r="CT97" s="92" t="n"/>
      <c r="CU97" s="92" t="n"/>
      <c r="CV97" s="92" t="n"/>
      <c r="CW97" s="92" t="n"/>
      <c r="CX97" s="92" t="n"/>
      <c r="CY97" s="92" t="n"/>
      <c r="CZ97" s="92" t="n"/>
      <c r="DA97" s="92" t="n"/>
      <c r="DB97" s="92" t="n"/>
      <c r="DC97" s="92" t="n"/>
      <c r="DD97" s="92" t="n"/>
      <c r="DE97" s="92" t="n"/>
      <c r="DF97" s="92" t="n"/>
      <c r="DG97" s="92" t="n"/>
      <c r="DH97" s="92" t="n"/>
      <c r="DI97" s="92" t="n"/>
      <c r="DJ97" s="92" t="n"/>
      <c r="DK97" s="92" t="n"/>
      <c r="DL97" s="92" t="n"/>
      <c r="DM97" s="92" t="n"/>
      <c r="DN97" s="92" t="n"/>
      <c r="DO97" s="92" t="n"/>
      <c r="DP97" s="92" t="n"/>
      <c r="DQ97" s="92" t="n"/>
      <c r="DR97" s="92" t="n"/>
      <c r="DS97" s="92" t="n"/>
      <c r="DT97" s="92" t="n"/>
      <c r="DU97" s="92" t="n"/>
      <c r="DV97" s="92" t="n"/>
      <c r="DW97" s="92" t="n"/>
      <c r="DX97" s="92" t="n"/>
      <c r="DY97" s="92" t="n"/>
      <c r="DZ97" s="92" t="n"/>
      <c r="EA97" s="92" t="n"/>
      <c r="EB97" s="92" t="n"/>
      <c r="EC97" s="92" t="n"/>
      <c r="ED97" s="92" t="n"/>
      <c r="EE97" s="92" t="n"/>
      <c r="EF97" s="92" t="n"/>
      <c r="EG97" s="92" t="n"/>
      <c r="EH97" s="92" t="n"/>
      <c r="EI97" s="92" t="n"/>
      <c r="EJ97" s="92" t="n"/>
      <c r="EK97" s="92" t="n"/>
      <c r="EL97" s="92" t="n"/>
      <c r="EM97" s="92" t="n"/>
      <c r="EN97" s="92" t="n"/>
      <c r="EO97" s="92" t="n"/>
      <c r="EP97" s="92" t="n"/>
      <c r="EQ97" s="92" t="n"/>
      <c r="ER97" s="92" t="n"/>
      <c r="ES97" s="92" t="n"/>
      <c r="ET97" s="92" t="n"/>
      <c r="EU97" s="92" t="n"/>
      <c r="EV97" s="92" t="n"/>
      <c r="EW97" s="92" t="n"/>
      <c r="EX97" s="92" t="n"/>
      <c r="EY97" s="92" t="n"/>
      <c r="EZ97" s="92" t="n"/>
      <c r="FA97" s="92" t="n"/>
      <c r="FB97" s="92" t="n"/>
      <c r="FC97" s="92" t="n"/>
      <c r="FD97" s="92" t="n"/>
      <c r="FE97" s="92" t="n"/>
      <c r="FF97" s="92" t="n"/>
      <c r="FG97" s="92" t="n"/>
      <c r="FH97" s="92" t="n"/>
      <c r="FI97" s="92" t="n"/>
      <c r="FJ97" s="92" t="n"/>
      <c r="FK97" s="92" t="n"/>
      <c r="FL97" s="92" t="n"/>
      <c r="FM97" s="92" t="n"/>
      <c r="FN97" s="92" t="n"/>
      <c r="FO97" s="92" t="n"/>
      <c r="FP97" s="92" t="n"/>
      <c r="FQ97" s="92" t="n"/>
      <c r="FR97" s="92" t="n"/>
      <c r="FS97" s="92" t="n"/>
      <c r="FT97" s="92" t="n"/>
      <c r="FU97" s="92" t="n"/>
      <c r="FV97" s="92" t="n"/>
      <c r="FW97" s="92" t="n"/>
      <c r="FX97" s="92" t="n"/>
      <c r="FY97" s="92" t="n"/>
      <c r="FZ97" s="92" t="n"/>
      <c r="GA97" s="92" t="n"/>
      <c r="GB97" s="92" t="n"/>
      <c r="GC97" s="92" t="n"/>
      <c r="GD97" s="92" t="n"/>
      <c r="GE97" s="92" t="n"/>
      <c r="GF97" s="92" t="n"/>
      <c r="GG97" s="92" t="n"/>
      <c r="GH97" s="92" t="n"/>
      <c r="GI97" s="92" t="n"/>
      <c r="GJ97" s="92" t="n"/>
      <c r="GK97" s="92" t="n"/>
      <c r="GL97" s="92" t="n"/>
      <c r="GM97" s="92" t="n"/>
      <c r="GN97" s="92" t="n"/>
      <c r="GO97" s="92" t="n"/>
      <c r="GP97" s="92" t="n"/>
      <c r="GQ97" s="92" t="n"/>
      <c r="GR97" s="92" t="n"/>
      <c r="GS97" s="92" t="n"/>
      <c r="GT97" s="92" t="n"/>
      <c r="GU97" s="92" t="n"/>
      <c r="GV97" s="92" t="n"/>
      <c r="GW97" s="92" t="n"/>
      <c r="GX97" s="92" t="n"/>
      <c r="GY97" s="92" t="n"/>
      <c r="GZ97" s="92" t="n"/>
      <c r="HA97" s="92" t="n"/>
      <c r="HB97" s="92" t="n"/>
      <c r="HC97" s="92" t="n"/>
      <c r="HD97" s="92" t="n"/>
      <c r="HE97" s="92" t="n"/>
      <c r="HF97" s="92" t="n"/>
      <c r="HG97" s="92" t="n"/>
      <c r="HH97" s="92" t="n"/>
      <c r="HI97" s="92" t="n"/>
      <c r="HJ97" s="92" t="n"/>
      <c r="HK97" s="92" t="n"/>
      <c r="HL97" s="92" t="n"/>
      <c r="HM97" s="92" t="n"/>
      <c r="HN97" s="92" t="n"/>
      <c r="HO97" s="92" t="n"/>
      <c r="HP97" s="92" t="n"/>
      <c r="HQ97" s="92" t="n"/>
      <c r="HR97" s="92" t="n"/>
      <c r="HS97" s="92" t="n"/>
      <c r="HT97" s="92" t="n"/>
      <c r="HU97" s="92" t="n"/>
      <c r="HV97" s="92" t="n"/>
      <c r="HW97" s="92" t="n"/>
      <c r="HX97" s="92" t="n"/>
      <c r="HY97" s="92" t="n"/>
      <c r="HZ97" s="92" t="n"/>
      <c r="IA97" s="92" t="n"/>
      <c r="IB97" s="92" t="n"/>
      <c r="IC97" s="92" t="n"/>
      <c r="ID97" s="92" t="n"/>
      <c r="IE97" s="92" t="n"/>
      <c r="IF97" s="92" t="n"/>
      <c r="IG97" s="92" t="n"/>
      <c r="IH97" s="92" t="n"/>
      <c r="II97" s="92" t="n"/>
      <c r="IJ97" s="92" t="n"/>
      <c r="IK97" s="92" t="n"/>
      <c r="IL97" s="92" t="n"/>
      <c r="IM97" s="92" t="n"/>
      <c r="IN97" s="92" t="n"/>
      <c r="IO97" s="92" t="n"/>
      <c r="IP97" s="92" t="n"/>
      <c r="IQ97" s="92" t="n"/>
      <c r="IR97" s="92" t="n"/>
      <c r="IS97" s="92" t="n"/>
      <c r="IT97" s="92" t="n"/>
      <c r="IU97" s="92" t="n"/>
      <c r="IV97" s="92" t="n"/>
      <c r="IW97" s="92" t="n"/>
    </row>
    <row r="98" ht="16.5" customHeight="1" s="65">
      <c r="R98" s="97" t="n"/>
      <c r="S98" s="92" t="n"/>
      <c r="T98" s="92" t="n"/>
      <c r="U98" s="100" t="n"/>
    </row>
    <row r="99" ht="16.5" customHeight="1" s="65">
      <c r="R99" s="97" t="n"/>
      <c r="S99" s="92" t="n"/>
      <c r="T99" s="92" t="n"/>
      <c r="U99" s="100" t="n"/>
    </row>
    <row r="100" ht="16.5" customHeight="1" s="65">
      <c r="R100" s="97" t="n"/>
      <c r="S100" s="92" t="n"/>
      <c r="T100" s="92" t="n"/>
      <c r="U100" s="100" t="n"/>
    </row>
    <row r="101" ht="16.5" customHeight="1" s="65">
      <c r="R101" s="97" t="n"/>
      <c r="S101" s="92" t="n"/>
      <c r="T101" s="92" t="n"/>
      <c r="U101" s="100" t="n"/>
    </row>
    <row r="102" ht="16.5" customHeight="1" s="65">
      <c r="R102" s="97" t="n"/>
      <c r="S102" s="92" t="n"/>
      <c r="T102" s="92" t="n"/>
      <c r="U102" s="100" t="n"/>
    </row>
    <row r="103" ht="16.5" customHeight="1" s="65">
      <c r="R103" s="97" t="n"/>
      <c r="S103" s="92" t="n"/>
      <c r="T103" s="92" t="n"/>
      <c r="U103" s="100" t="n"/>
    </row>
    <row r="104" ht="16.5" customHeight="1" s="65">
      <c r="R104" s="97" t="n"/>
      <c r="S104" s="92" t="n"/>
      <c r="T104" s="92" t="n"/>
      <c r="U104" s="100" t="n"/>
    </row>
    <row r="105" ht="16.5" customHeight="1" s="65">
      <c r="R105" s="97" t="n"/>
      <c r="S105" s="92" t="n"/>
      <c r="T105" s="92" t="n"/>
      <c r="U105" s="100" t="n"/>
    </row>
    <row r="106" ht="16.5" customHeight="1" s="65">
      <c r="R106" s="97" t="n"/>
      <c r="S106" s="92" t="n"/>
      <c r="T106" s="92" t="n"/>
      <c r="U106" s="100" t="n"/>
    </row>
    <row r="107" ht="16.5" customHeight="1" s="65">
      <c r="R107" s="97" t="n"/>
      <c r="S107" s="92" t="n"/>
      <c r="T107" s="92" t="n"/>
      <c r="U107" s="100" t="n"/>
    </row>
    <row r="108" ht="16.5" customHeight="1" s="65">
      <c r="R108" s="97" t="n"/>
      <c r="S108" s="92" t="n"/>
      <c r="T108" s="92" t="n"/>
      <c r="U108" s="100" t="n"/>
    </row>
    <row r="109" ht="16.5" customHeight="1" s="65">
      <c r="R109" s="97" t="n"/>
      <c r="S109" s="92" t="n"/>
      <c r="T109" s="92" t="n"/>
      <c r="U109" s="100" t="n"/>
    </row>
    <row r="110" ht="16.5" customHeight="1" s="65">
      <c r="R110" s="97" t="n"/>
      <c r="S110" s="92" t="n"/>
      <c r="T110" s="92" t="n"/>
      <c r="U110" s="100" t="n"/>
    </row>
    <row r="111" ht="16.5" customHeight="1" s="65">
      <c r="R111" s="97" t="n"/>
      <c r="S111" s="92" t="n"/>
      <c r="T111" s="92" t="n"/>
      <c r="U111" s="100" t="n"/>
    </row>
    <row r="112" ht="16.5" customHeight="1" s="65">
      <c r="R112" s="97" t="n"/>
      <c r="S112" s="92" t="n"/>
      <c r="T112" s="92" t="n"/>
      <c r="U112" s="100" t="n"/>
    </row>
    <row r="113" ht="16.5" customHeight="1" s="65">
      <c r="R113" s="97" t="n"/>
      <c r="S113" s="92" t="n"/>
      <c r="T113" s="92" t="n"/>
      <c r="U113" s="100" t="n"/>
    </row>
    <row r="114" ht="16.5" customHeight="1" s="65">
      <c r="R114" s="97" t="n"/>
      <c r="S114" s="92" t="n"/>
      <c r="T114" s="92" t="n"/>
      <c r="U114" s="100" t="n"/>
    </row>
    <row r="115" ht="16.5" customHeight="1" s="65">
      <c r="R115" s="97" t="n"/>
      <c r="S115" s="92" t="n"/>
      <c r="T115" s="92" t="n"/>
      <c r="U115" s="100" t="n"/>
    </row>
    <row r="116" ht="16.5" customHeight="1" s="65">
      <c r="R116" s="97" t="n"/>
      <c r="S116" s="92" t="n"/>
      <c r="T116" s="92" t="n"/>
      <c r="U116" s="100" t="n"/>
    </row>
    <row r="117" ht="16.5" customHeight="1" s="65">
      <c r="R117" s="97" t="n"/>
      <c r="S117" s="92" t="n"/>
      <c r="T117" s="92" t="n"/>
      <c r="U117" s="100" t="n"/>
    </row>
    <row r="118" ht="16.5" customHeight="1" s="65">
      <c r="R118" s="97" t="n"/>
      <c r="S118" s="92" t="n"/>
      <c r="T118" s="92" t="n"/>
      <c r="U118" s="100" t="n"/>
    </row>
    <row r="119" ht="16.5" customHeight="1" s="65">
      <c r="R119" s="97" t="n"/>
      <c r="S119" s="92" t="n"/>
      <c r="T119" s="92" t="n"/>
      <c r="U119" s="100" t="n"/>
    </row>
    <row r="120" ht="16.5" customHeight="1" s="65">
      <c r="R120" s="97" t="n"/>
      <c r="S120" s="92" t="n"/>
      <c r="T120" s="92" t="n"/>
      <c r="U120" s="100" t="n"/>
    </row>
    <row r="121" ht="16.5" customHeight="1" s="65">
      <c r="R121" s="97" t="n"/>
      <c r="S121" s="92" t="n"/>
      <c r="T121" s="92" t="n"/>
      <c r="U121" s="100" t="n"/>
    </row>
    <row r="122" ht="16.5" customHeight="1" s="65">
      <c r="R122" s="97" t="n"/>
      <c r="S122" s="92" t="n"/>
      <c r="T122" s="92" t="n"/>
      <c r="U122" s="100" t="n"/>
    </row>
    <row r="123" ht="16.5" customHeight="1" s="65">
      <c r="R123" s="97" t="n"/>
      <c r="S123" s="92" t="n"/>
      <c r="T123" s="92" t="n"/>
      <c r="U123" s="100" t="n"/>
    </row>
    <row r="124" ht="16.5" customHeight="1" s="65">
      <c r="R124" s="97" t="n"/>
      <c r="S124" s="92" t="n"/>
      <c r="T124" s="92" t="n"/>
      <c r="U124" s="100" t="n"/>
    </row>
    <row r="125" ht="16.5" customHeight="1" s="65">
      <c r="R125" s="97" t="n"/>
      <c r="S125" s="92" t="n"/>
      <c r="T125" s="92" t="n"/>
      <c r="U125" s="100" t="n"/>
    </row>
    <row r="126" ht="16.5" customHeight="1" s="65">
      <c r="R126" s="97" t="n"/>
      <c r="S126" s="92" t="n"/>
      <c r="T126" s="92" t="n"/>
      <c r="U126" s="100" t="n"/>
    </row>
    <row r="127" ht="16.5" customHeight="1" s="65">
      <c r="R127" s="97" t="n"/>
      <c r="S127" s="92" t="n"/>
      <c r="T127" s="92" t="n"/>
      <c r="U127" s="100" t="n"/>
    </row>
    <row r="128" ht="16.5" customHeight="1" s="65">
      <c r="R128" s="97" t="n"/>
      <c r="S128" s="92" t="n"/>
      <c r="T128" s="92" t="n"/>
      <c r="U128" s="100" t="n"/>
    </row>
    <row r="129" ht="16.5" customHeight="1" s="65">
      <c r="R129" s="97" t="n"/>
      <c r="S129" s="92" t="n"/>
      <c r="T129" s="92" t="n"/>
      <c r="U129" s="100" t="n"/>
    </row>
    <row r="130" ht="16.5" customHeight="1" s="65">
      <c r="R130" s="97" t="n"/>
      <c r="S130" s="92" t="n"/>
      <c r="T130" s="92" t="n"/>
      <c r="U130" s="100" t="n"/>
    </row>
    <row r="131" ht="16.5" customHeight="1" s="65">
      <c r="R131" s="97" t="n"/>
      <c r="S131" s="92" t="n"/>
      <c r="T131" s="92" t="n"/>
      <c r="U131" s="100" t="n"/>
    </row>
    <row r="132" ht="16.5" customHeight="1" s="65">
      <c r="R132" s="97" t="n"/>
      <c r="S132" s="92" t="n"/>
      <c r="T132" s="92" t="n"/>
      <c r="U132" s="100" t="n"/>
    </row>
    <row r="133" ht="16.5" customHeight="1" s="65">
      <c r="R133" s="97" t="n"/>
      <c r="S133" s="92" t="n"/>
      <c r="T133" s="92" t="n"/>
      <c r="U133" s="100" t="n"/>
    </row>
    <row r="134" ht="16.5" customHeight="1" s="65">
      <c r="R134" s="97" t="n"/>
      <c r="S134" s="92" t="n"/>
      <c r="T134" s="92" t="n"/>
      <c r="U134" s="100" t="n"/>
    </row>
    <row r="135" ht="16.5" customHeight="1" s="65">
      <c r="R135" s="97" t="n"/>
      <c r="S135" s="92" t="n"/>
      <c r="T135" s="92" t="n"/>
      <c r="U135" s="100" t="n"/>
    </row>
    <row r="136" ht="16.5" customHeight="1" s="65">
      <c r="R136" s="97" t="n"/>
      <c r="S136" s="92" t="n"/>
      <c r="T136" s="92" t="n"/>
      <c r="U136" s="100" t="n"/>
    </row>
    <row r="137" ht="16.5" customHeight="1" s="65">
      <c r="R137" s="97" t="n"/>
      <c r="S137" s="92" t="n"/>
      <c r="T137" s="92" t="n"/>
      <c r="U137" s="100" t="n"/>
    </row>
    <row r="138" ht="16.5" customHeight="1" s="65">
      <c r="R138" s="97" t="n"/>
      <c r="S138" s="92" t="n"/>
      <c r="T138" s="92" t="n"/>
      <c r="U138" s="100" t="n"/>
    </row>
    <row r="139" ht="16.5" customHeight="1" s="65">
      <c r="R139" s="97" t="n"/>
      <c r="S139" s="92" t="n"/>
      <c r="T139" s="92" t="n"/>
      <c r="U139" s="100" t="n"/>
    </row>
    <row r="140" ht="16.5" customHeight="1" s="65">
      <c r="R140" s="97" t="n"/>
      <c r="S140" s="92" t="n"/>
      <c r="T140" s="92" t="n"/>
      <c r="U140" s="100" t="n"/>
    </row>
    <row r="141" ht="16.5" customHeight="1" s="65">
      <c r="R141" s="97" t="n"/>
      <c r="S141" s="92" t="n"/>
      <c r="T141" s="92" t="n"/>
      <c r="U141" s="100" t="n"/>
    </row>
    <row r="142" ht="16.5" customHeight="1" s="65">
      <c r="R142" s="97" t="n"/>
      <c r="S142" s="92" t="n"/>
      <c r="T142" s="92" t="n"/>
      <c r="U142" s="100" t="n"/>
    </row>
    <row r="143" ht="16.5" customHeight="1" s="65">
      <c r="R143" s="97" t="n"/>
      <c r="S143" s="92" t="n"/>
      <c r="T143" s="92" t="n"/>
      <c r="U143" s="100" t="n"/>
    </row>
    <row r="144" ht="16.5" customHeight="1" s="65">
      <c r="R144" s="97" t="n"/>
      <c r="S144" s="92" t="n"/>
      <c r="T144" s="92" t="n"/>
      <c r="U144" s="100" t="n"/>
    </row>
    <row r="145" ht="16.5" customHeight="1" s="65">
      <c r="R145" s="97" t="n"/>
      <c r="S145" s="92" t="n"/>
      <c r="T145" s="92" t="n"/>
      <c r="U145" s="100" t="n"/>
    </row>
    <row r="146" ht="16.5" customHeight="1" s="65">
      <c r="R146" s="97" t="n"/>
      <c r="S146" s="92" t="n"/>
      <c r="T146" s="92" t="n"/>
      <c r="U146" s="100" t="n"/>
    </row>
    <row r="147" ht="16.5" customHeight="1" s="65">
      <c r="R147" s="97" t="n"/>
      <c r="S147" s="92" t="n"/>
      <c r="T147" s="92" t="n"/>
      <c r="U147" s="100" t="n"/>
    </row>
    <row r="148" ht="16.5" customHeight="1" s="65">
      <c r="R148" s="97" t="n"/>
      <c r="S148" s="92" t="n"/>
      <c r="T148" s="92" t="n"/>
      <c r="U148" s="100" t="n"/>
    </row>
    <row r="149" ht="16.5" customHeight="1" s="65">
      <c r="R149" s="97" t="n"/>
      <c r="S149" s="92" t="n"/>
      <c r="T149" s="92" t="n"/>
      <c r="U149" s="100" t="n"/>
    </row>
    <row r="150" ht="16.5" customHeight="1" s="65">
      <c r="R150" s="97" t="n"/>
      <c r="S150" s="92" t="n"/>
      <c r="T150" s="92" t="n"/>
      <c r="U150" s="100" t="n"/>
    </row>
    <row r="151" ht="16.5" customHeight="1" s="65">
      <c r="R151" s="97" t="n"/>
      <c r="S151" s="92" t="n"/>
      <c r="T151" s="92" t="n"/>
      <c r="U151" s="100" t="n"/>
    </row>
    <row r="152" ht="16.5" customHeight="1" s="65">
      <c r="R152" s="97" t="n"/>
      <c r="S152" s="92" t="n"/>
      <c r="T152" s="92" t="n"/>
      <c r="U152" s="100" t="n"/>
    </row>
    <row r="153" ht="16.5" customHeight="1" s="65">
      <c r="R153" s="97" t="n"/>
      <c r="S153" s="92" t="n"/>
      <c r="T153" s="92" t="n"/>
      <c r="U153" s="100" t="n"/>
    </row>
    <row r="154" ht="16.5" customHeight="1" s="65">
      <c r="R154" s="97" t="n"/>
      <c r="S154" s="92" t="n"/>
      <c r="T154" s="92" t="n"/>
      <c r="U154" s="100" t="n"/>
    </row>
    <row r="155" ht="16.5" customHeight="1" s="65">
      <c r="R155" s="97" t="n"/>
      <c r="S155" s="92" t="n"/>
      <c r="T155" s="92" t="n"/>
      <c r="U155" s="100" t="n"/>
    </row>
    <row r="156" ht="16.5" customHeight="1" s="65">
      <c r="R156" s="97" t="n"/>
      <c r="S156" s="92" t="n"/>
      <c r="T156" s="92" t="n"/>
      <c r="U156" s="100" t="n"/>
    </row>
    <row r="157" ht="16.5" customHeight="1" s="65">
      <c r="R157" s="97" t="n"/>
      <c r="S157" s="92" t="n"/>
      <c r="T157" s="92" t="n"/>
      <c r="U157" s="100" t="n"/>
    </row>
    <row r="158" ht="16.5" customHeight="1" s="65">
      <c r="R158" s="97" t="n"/>
      <c r="S158" s="92" t="n"/>
      <c r="T158" s="92" t="n"/>
      <c r="U158" s="100" t="n"/>
    </row>
    <row r="159" ht="16.5" customHeight="1" s="65">
      <c r="R159" s="97" t="n"/>
      <c r="S159" s="92" t="n"/>
      <c r="T159" s="92" t="n"/>
      <c r="U159" s="100" t="n"/>
    </row>
    <row r="160" ht="16.5" customHeight="1" s="65">
      <c r="R160" s="97" t="n"/>
      <c r="S160" s="92" t="n"/>
      <c r="T160" s="92" t="n"/>
      <c r="U160" s="100" t="n"/>
    </row>
    <row r="161" ht="16.5" customHeight="1" s="65">
      <c r="R161" s="97" t="n"/>
      <c r="S161" s="92" t="n"/>
      <c r="T161" s="92" t="n"/>
      <c r="U161" s="100" t="n"/>
    </row>
    <row r="162" ht="16.5" customHeight="1" s="65">
      <c r="R162" s="97" t="n"/>
      <c r="S162" s="92" t="n"/>
      <c r="T162" s="92" t="n"/>
      <c r="U162" s="100" t="n"/>
    </row>
    <row r="163" ht="16.5" customHeight="1" s="65">
      <c r="R163" s="97" t="n"/>
      <c r="S163" s="92" t="n"/>
      <c r="T163" s="92" t="n"/>
      <c r="U163" s="100" t="n"/>
    </row>
    <row r="164" ht="16.5" customHeight="1" s="65">
      <c r="R164" s="97" t="n"/>
      <c r="S164" s="92" t="n"/>
      <c r="T164" s="92" t="n"/>
      <c r="U164" s="100" t="n"/>
    </row>
    <row r="165" ht="16.5" customHeight="1" s="65">
      <c r="R165" s="97" t="n"/>
      <c r="S165" s="92" t="n"/>
      <c r="T165" s="92" t="n"/>
      <c r="U165" s="100" t="n"/>
    </row>
    <row r="166" ht="16.5" customHeight="1" s="65">
      <c r="R166" s="97" t="n"/>
      <c r="S166" s="92" t="n"/>
      <c r="T166" s="92" t="n"/>
      <c r="U166" s="100" t="n"/>
    </row>
    <row r="167" ht="16.5" customHeight="1" s="65">
      <c r="R167" s="97" t="n"/>
      <c r="S167" s="92" t="n"/>
      <c r="T167" s="92" t="n"/>
      <c r="U167" s="100" t="n"/>
    </row>
    <row r="168" ht="16.5" customHeight="1" s="65">
      <c r="R168" s="97" t="n"/>
      <c r="S168" s="92" t="n"/>
      <c r="T168" s="92" t="n"/>
      <c r="U168" s="100" t="n"/>
    </row>
    <row r="169" ht="16.5" customHeight="1" s="65">
      <c r="R169" s="97" t="n"/>
      <c r="S169" s="92" t="n"/>
      <c r="T169" s="92" t="n"/>
      <c r="U169" s="100" t="n"/>
    </row>
    <row r="170" ht="16.5" customHeight="1" s="65">
      <c r="R170" s="97" t="n"/>
      <c r="S170" s="92" t="n"/>
      <c r="T170" s="92" t="n"/>
      <c r="U170" s="100" t="n"/>
    </row>
    <row r="171" ht="16.5" customHeight="1" s="65">
      <c r="R171" s="97" t="n"/>
      <c r="S171" s="92" t="n"/>
      <c r="T171" s="92" t="n"/>
      <c r="U171" s="100" t="n"/>
    </row>
    <row r="172" ht="16.5" customHeight="1" s="65">
      <c r="R172" s="97" t="n"/>
      <c r="S172" s="92" t="n"/>
      <c r="T172" s="92" t="n"/>
      <c r="U172" s="100" t="n"/>
    </row>
    <row r="173" ht="16.5" customHeight="1" s="65">
      <c r="R173" s="97" t="n"/>
      <c r="S173" s="92" t="n"/>
      <c r="T173" s="92" t="n"/>
      <c r="U173" s="92" t="n"/>
    </row>
    <row r="174" ht="16.5" customHeight="1" s="65">
      <c r="R174" s="97" t="n"/>
      <c r="S174" s="92" t="n"/>
      <c r="T174" s="92" t="n"/>
      <c r="U174" s="92" t="n"/>
    </row>
    <row r="175" ht="16.5" customHeight="1" s="65">
      <c r="R175" s="117" t="n"/>
      <c r="S175" s="92" t="n"/>
      <c r="T175" s="92" t="n"/>
      <c r="U175" s="92" t="n"/>
    </row>
    <row r="176" ht="16.5" customHeight="1" s="65">
      <c r="R176" s="117" t="n"/>
      <c r="S176" s="92" t="n"/>
      <c r="T176" s="92" t="n"/>
      <c r="U176" s="92" t="n"/>
    </row>
    <row r="177" ht="16.5" customHeight="1" s="65">
      <c r="R177" s="117" t="n"/>
      <c r="S177" s="92" t="n"/>
      <c r="T177" s="92" t="n"/>
      <c r="U177" s="92" t="n"/>
    </row>
    <row r="178" ht="16.5" customHeight="1" s="65">
      <c r="R178" s="117" t="n"/>
      <c r="S178" s="92" t="n"/>
      <c r="T178" s="92" t="n"/>
      <c r="U178" s="92" t="n"/>
    </row>
    <row r="179" ht="16.5" customHeight="1" s="65">
      <c r="R179" s="117" t="n"/>
      <c r="S179" s="92" t="n"/>
      <c r="T179" s="92" t="n"/>
      <c r="U179" s="92" t="n"/>
    </row>
    <row r="180" ht="16.5" customHeight="1" s="65">
      <c r="R180" s="117" t="n"/>
      <c r="S180" s="92" t="n"/>
      <c r="T180" s="92" t="n"/>
      <c r="U180" s="92" t="n"/>
    </row>
    <row r="181" ht="16.5" customHeight="1" s="65">
      <c r="R181" s="117" t="n"/>
      <c r="S181" s="92" t="n"/>
      <c r="T181" s="92" t="n"/>
      <c r="U181" s="92" t="n"/>
    </row>
    <row r="182" ht="16.5" customHeight="1" s="65">
      <c r="R182" s="117" t="n"/>
      <c r="S182" s="92" t="n"/>
      <c r="T182" s="92" t="n"/>
      <c r="U182" s="92" t="n"/>
    </row>
    <row r="183" ht="16.5" customHeight="1" s="65">
      <c r="R183" s="118" t="n"/>
    </row>
    <row r="184" ht="16.5" customHeight="1" s="65">
      <c r="R184" s="118" t="n"/>
    </row>
    <row r="185" ht="16.5" customHeight="1" s="65">
      <c r="R185" s="118" t="n"/>
    </row>
    <row r="186" ht="16.5" customHeight="1" s="65">
      <c r="R186" s="118" t="n"/>
    </row>
    <row r="187" ht="16.5" customHeight="1" s="65">
      <c r="R187" s="118" t="n"/>
    </row>
    <row r="188" ht="16.5" customHeight="1" s="65">
      <c r="R188" s="118" t="n"/>
    </row>
    <row r="189" ht="16.5" customHeight="1" s="65">
      <c r="R189" s="118" t="n"/>
    </row>
    <row r="190" ht="16.5" customHeight="1" s="65">
      <c r="R190" s="118" t="n"/>
    </row>
    <row r="191" ht="16.5" customHeight="1" s="65">
      <c r="R191" s="118" t="n"/>
    </row>
  </sheetData>
  <conditionalFormatting sqref="A6:J36">
    <cfRule type="expression" priority="1" dxfId="2" stopIfTrue="0">
      <formula>=OR(WEEKDAY($B6, 2) &gt; 5, ISNUMBER(SEARCH("FESTIVO", $J6)))</formula>
    </cfRule>
  </conditionalFormatting>
  <conditionalFormatting sqref="A6:I36">
    <cfRule type="expression" priority="2" dxfId="3" stopIfTrue="0">
      <formula>=ISNUMBER(SEARCH("FESTIVO", $J6))</formula>
    </cfRule>
  </conditionalFormatting>
  <printOptions horizontalCentered="1" verticalCentered="0" headings="0" gridLines="0" gridLinesSet="1"/>
  <pageMargins left="0.669444444444445" right="0.669444444444445" top="0.865972222222222" bottom="0.227083333333333" header="0.196527777777778" footer="0.511811023622047"/>
  <pageSetup orientation="landscape" paperSize="9" scale="61"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Planificación</dc:creator>
  <dc:language>es-EC</dc:language>
  <dcterms:created xsi:type="dcterms:W3CDTF">1999-03-18T09:31:00Z</dcterms:created>
  <dcterms:modified xsi:type="dcterms:W3CDTF">2026-04-27T22:52:20Z</dcterms:modified>
  <cp:lastModifiedBy>Ernesto Palacios</cp:lastModifiedBy>
  <cp:revision>7</cp:revision>
  <cp:lastPrinted>2026-04-23T11:19:00Z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
  </property>
  <property name="KSOProductBuildVer" fmtid="{D5CDD505-2E9C-101B-9397-08002B2CF9AE}" pid="3">
    <vt:lpwstr>1033-11.1.0.11723</vt:lpwstr>
  </property>
</Properties>
</file>