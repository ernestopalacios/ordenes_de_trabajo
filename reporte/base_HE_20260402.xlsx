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visar_primero" sheetId="1" state="visible" r:id="rId3"/>
    <sheet name="result" sheetId="2" state="visible" r:id="rId4"/>
  </sheets>
  <definedNames>
    <definedName function="false" hidden="true" localSheetId="1" name="_xlnm._FilterDatabase" vbProcedure="false">result!$A$1:$M$172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<sst xmlns="http://schemas.openxmlformats.org/spreadsheetml/2006/main" count="459" uniqueCount="241">
  <si>
    <t xml:space="preserve">Aplica</t>
  </si>
  <si>
    <t xml:space="preserve">Fecha</t>
  </si>
  <si>
    <t xml:space="preserve">Etiqueta</t>
  </si>
  <si>
    <t xml:space="preserve">Cuentas</t>
  </si>
  <si>
    <t xml:space="preserve">Colores</t>
  </si>
  <si>
    <t xml:space="preserve">Reglas de colores aplicadas al documento</t>
  </si>
  <si>
    <t xml:space="preserve">TODOS</t>
  </si>
  <si>
    <t xml:space="preserve">“Año Nuevo”</t>
  </si>
  <si>
    <t xml:space="preserve">sábado</t>
  </si>
  <si>
    <t xml:space="preserve">“Oriente”</t>
  </si>
  <si>
    <t xml:space="preserve"> REDES</t>
  </si>
  <si>
    <t xml:space="preserve">domingo</t>
  </si>
  <si>
    <t xml:space="preserve">“Carnaval L”</t>
  </si>
  <si>
    <t xml:space="preserve"> ALUMBRADO</t>
  </si>
  <si>
    <t xml:space="preserve">feriado</t>
  </si>
  <si>
    <t xml:space="preserve">“Carnaval M”</t>
  </si>
  <si>
    <t xml:space="preserve"> ACOMETIDAS</t>
  </si>
  <si>
    <t xml:space="preserve">madrugada</t>
  </si>
  <si>
    <t xml:space="preserve">“Viernes Santo”</t>
  </si>
  <si>
    <t xml:space="preserve"> MEDIDORES</t>
  </si>
  <si>
    <t xml:space="preserve">revisar hora inicio</t>
  </si>
  <si>
    <t xml:space="preserve">debería ser hasta 08:00 am</t>
  </si>
  <si>
    <t xml:space="preserve">“Trabajo”</t>
  </si>
  <si>
    <t xml:space="preserve"> informativa</t>
  </si>
  <si>
    <t xml:space="preserve">revisar hora final</t>
  </si>
  <si>
    <t xml:space="preserve">debería ser desde 17:00 pm</t>
  </si>
  <si>
    <t xml:space="preserve">“Pichincha”</t>
  </si>
  <si>
    <t xml:space="preserve"> transporte</t>
  </si>
  <si>
    <t xml:space="preserve">“Independencia” </t>
  </si>
  <si>
    <t xml:space="preserve"> SUBESTACION</t>
  </si>
  <si>
    <t xml:space="preserve">“Guayaquil” </t>
  </si>
  <si>
    <t xml:space="preserve"> SUBTRANSMISION</t>
  </si>
  <si>
    <t xml:space="preserve">“Difuntos”</t>
  </si>
  <si>
    <t xml:space="preserve"> Servicios_Ocasional</t>
  </si>
  <si>
    <t xml:space="preserve">“Cuenca”</t>
  </si>
  <si>
    <t xml:space="preserve"> PLANILL</t>
  </si>
  <si>
    <t xml:space="preserve">“Provincializacion”</t>
  </si>
  <si>
    <t xml:space="preserve"> Nuevos_Servici</t>
  </si>
  <si>
    <t xml:space="preserve">“Navidad”</t>
  </si>
  <si>
    <t xml:space="preserve"> se_labora</t>
  </si>
  <si>
    <t xml:space="preserve">Zamora Z1 (Cuadrilla. Nro. 6)</t>
  </si>
  <si>
    <t xml:space="preserve">“Cantonizacion”</t>
  </si>
  <si>
    <t xml:space="preserve"> lunch</t>
  </si>
  <si>
    <t xml:space="preserve">Zamora Z1 (Cuadrilla. AP Nro. 4)</t>
  </si>
  <si>
    <t xml:space="preserve"> ?</t>
  </si>
  <si>
    <t xml:space="preserve">Zamora (Agencia)</t>
  </si>
  <si>
    <t xml:space="preserve">Jefatura Zonal Zamora</t>
  </si>
  <si>
    <t xml:space="preserve">Yacuambi Z1 (Cuadrilla. Nro. 8)</t>
  </si>
  <si>
    <t xml:space="preserve">Yantzaza Z1 (Cuadrilla. Nro. 5)</t>
  </si>
  <si>
    <t xml:space="preserve">Líneas Energizadas (Cuadrilla  Nro.6)</t>
  </si>
  <si>
    <t xml:space="preserve">Yantzaza (Agencia)</t>
  </si>
  <si>
    <t xml:space="preserve">Paquisha Z1 (Cuadrilla Nro. 10)</t>
  </si>
  <si>
    <t xml:space="preserve">Guayzimi Z1 (Cuadrilla. Nro. 7)</t>
  </si>
  <si>
    <t xml:space="preserve">El Pangui Z1 (Cuadrilla. Nro. 4)</t>
  </si>
  <si>
    <t xml:space="preserve">El Pangui (Agencia)</t>
  </si>
  <si>
    <t xml:space="preserve">Gualaquiza Z1 (Cuadrilla. Nro. 3)</t>
  </si>
  <si>
    <t xml:space="preserve">“Cantonización”</t>
  </si>
  <si>
    <t xml:space="preserve">Gualaquiza (Agencia)</t>
  </si>
  <si>
    <t xml:space="preserve">Cuadrilla</t>
  </si>
  <si>
    <t xml:space="preserve">Responsable</t>
  </si>
  <si>
    <t xml:space="preserve">Dia</t>
  </si>
  <si>
    <t xml:space="preserve">InicioEvento</t>
  </si>
  <si>
    <t xml:space="preserve">FinEvento</t>
  </si>
  <si>
    <t xml:space="preserve">Duracion</t>
  </si>
  <si>
    <t xml:space="preserve">Evento</t>
  </si>
  <si>
    <t xml:space="preserve">Cuenta</t>
  </si>
  <si>
    <t xml:space="preserve">id_ot</t>
  </si>
  <si>
    <t xml:space="preserve">Items</t>
  </si>
  <si>
    <t xml:space="preserve">Num_Filas</t>
  </si>
  <si>
    <t xml:space="preserve">Archivo</t>
  </si>
  <si>
    <t xml:space="preserve">RS, VZH</t>
  </si>
  <si>
    <t xml:space="preserve">lunes</t>
  </si>
  <si>
    <r>
      <rPr>
        <b val="true"/>
        <sz val="10"/>
        <rFont val="Arial"/>
        <family val="2"/>
        <charset val="1"/>
      </rPr>
      <t xml:space="preserve">San Francisco, </t>
    </r>
    <r>
      <rPr>
        <sz val="10"/>
        <rFont val="Arial"/>
        <family val="2"/>
        <charset val="1"/>
      </rPr>
      <t xml:space="preserve">se revisa y arregla acometida arrancada del medidor 18-242363 ocasionado por caída de árbol, queda pendiente el cambio de tubo del medidor. </t>
    </r>
    <r>
      <rPr>
        <b val="true"/>
        <sz val="10"/>
        <rFont val="Arial"/>
        <family val="2"/>
        <charset val="1"/>
      </rPr>
      <t xml:space="preserve">El Lucero,</t>
    </r>
    <r>
      <rPr>
        <sz val="10"/>
        <rFont val="Arial"/>
        <family val="2"/>
        <charset val="1"/>
      </rPr>
      <t xml:space="preserve"> entre las estructura. 27892 y 36906 se arregla RBV arrancadas a causa de fuertes vientos; En la estructura. 27892 se reconecta transformador 8397 de 5KVA.</t>
    </r>
  </si>
  <si>
    <t xml:space="preserve">REDES</t>
  </si>
  <si>
    <t xml:space="preserve">14, 15, 16, 17, 18</t>
  </si>
  <si>
    <t xml:space="preserve">OT [01] Cuadrilla Zamora 2026-03-23 (006) FR.pdf</t>
  </si>
  <si>
    <t xml:space="preserve">FR, RS, LL, VZH, JCR</t>
  </si>
  <si>
    <t xml:space="preserve">martes</t>
  </si>
  <si>
    <r>
      <rPr>
        <b val="true"/>
        <sz val="10"/>
        <color rgb="FF000000"/>
        <rFont val="Arial"/>
        <family val="0"/>
        <charset val="1"/>
      </rPr>
      <t xml:space="preserve">Namirez Alto,</t>
    </r>
    <r>
      <rPr>
        <sz val="10"/>
        <color rgb="FF000000"/>
        <rFont val="Arial"/>
        <family val="0"/>
        <charset val="1"/>
      </rPr>
      <t xml:space="preserve"> estructura 249488 se cambia fusible de 15A-T, Causa: Gallinazo en la LMV. </t>
    </r>
    <r>
      <rPr>
        <b val="true"/>
        <sz val="10"/>
        <color rgb="FF000000"/>
        <rFont val="Arial"/>
        <family val="0"/>
        <charset val="1"/>
      </rPr>
      <t xml:space="preserve">Namirez,</t>
    </r>
    <r>
      <rPr>
        <sz val="10"/>
        <color rgb="FF000000"/>
        <rFont val="Arial"/>
        <family val="0"/>
        <charset val="1"/>
      </rPr>
      <t xml:space="preserve"> se arregla conexiones recalentadas del medidor 241868. </t>
    </r>
    <r>
      <rPr>
        <b val="true"/>
        <sz val="10"/>
        <color rgb="FF000000"/>
        <rFont val="Arial"/>
        <family val="0"/>
        <charset val="1"/>
      </rPr>
      <t xml:space="preserve">San Carlos, </t>
    </r>
    <r>
      <rPr>
        <sz val="10"/>
        <color rgb="FF000000"/>
        <rFont val="Arial"/>
        <family val="0"/>
        <charset val="1"/>
      </rPr>
      <t xml:space="preserve">se revisa y cambia en la estructura 28444 tirafusible de 6A-T, estructura 28414 se cambia tirafusible de 10 A- T CAUSA: Rama en contacto con la LMT por fuerte viento. </t>
    </r>
    <r>
      <rPr>
        <b val="true"/>
        <sz val="10"/>
        <color rgb="FF000000"/>
        <rFont val="Arial"/>
        <family val="0"/>
        <charset val="1"/>
      </rPr>
      <t xml:space="preserve">Guadalupe,</t>
    </r>
    <r>
      <rPr>
        <sz val="10"/>
        <color rgb="FF000000"/>
        <rFont val="Arial"/>
        <family val="0"/>
        <charset val="1"/>
      </rPr>
      <t xml:space="preserve"> en la estructura 179563 se arregla conexiones recalentadas en bushing de BT del transformador SICAP: ilegible de 10KVA.</t>
    </r>
  </si>
  <si>
    <t xml:space="preserve">8, 9, 10, 13, 14, 15, 16, 17, 18, 19</t>
  </si>
  <si>
    <t xml:space="preserve">OT [01] Cuadrilla Zamora 2026-03-24 (006) FR.pdf</t>
  </si>
  <si>
    <t xml:space="preserve">miércoles</t>
  </si>
  <si>
    <r>
      <rPr>
        <b val="true"/>
        <sz val="10"/>
        <color rgb="FF000000"/>
        <rFont val="Arial"/>
        <family val="0"/>
        <charset val="1"/>
      </rPr>
      <t xml:space="preserve">El Tambo, </t>
    </r>
    <r>
      <rPr>
        <sz val="10"/>
        <color rgb="FF000000"/>
        <rFont val="Arial"/>
        <family val="0"/>
        <charset val="1"/>
      </rPr>
      <t xml:space="preserve">se emprende caminata a la antena de OTECEL donde se revisa y verifica normal el servicio eléctrico en el medidor 202648, la falla es interna; desde El Tambo a la agencia EERSSA Zamora</t>
    </r>
  </si>
  <si>
    <t xml:space="preserve">ACOMETIDAS</t>
  </si>
  <si>
    <t xml:space="preserve">14, 15, 16</t>
  </si>
  <si>
    <t xml:space="preserve">OT [01] Cuadrilla Zamora 2026-03-25 (006) FR.pdf</t>
  </si>
  <si>
    <t xml:space="preserve">jueves</t>
  </si>
  <si>
    <r>
      <rPr>
        <b val="true"/>
        <sz val="10"/>
        <color rgb="FF000000"/>
        <rFont val="Arial"/>
        <family val="0"/>
        <charset val="1"/>
      </rPr>
      <t xml:space="preserve">Pituca Alto</t>
    </r>
    <r>
      <rPr>
        <sz val="10"/>
        <color rgb="FF000000"/>
        <rFont val="Arial"/>
        <family val="0"/>
        <charset val="1"/>
      </rPr>
      <t xml:space="preserve">, se recorre y revisa la LMT en la estructura 38943 se retira rama de las líneas; En la estructura 38934 se cambia tirafusible de 6A-T; Nos trasladamos desde la Pituca Alto a la agencia EERSSA Zamora</t>
    </r>
  </si>
  <si>
    <t xml:space="preserve">16, 17, 18</t>
  </si>
  <si>
    <t xml:space="preserve">OT [01] Cuadrilla Zamora 2026-03-26 (006) FR.pdf</t>
  </si>
  <si>
    <t xml:space="preserve">LM, MC</t>
  </si>
  <si>
    <r>
      <rPr>
        <b val="true"/>
        <sz val="10"/>
        <color rgb="FF000000"/>
        <rFont val="Arial"/>
        <family val="0"/>
        <charset val="1"/>
      </rPr>
      <t xml:space="preserve">Zamora, </t>
    </r>
    <r>
      <rPr>
        <sz val="10"/>
        <color rgb="FF000000"/>
        <rFont val="Arial"/>
        <family val="0"/>
        <charset val="1"/>
      </rPr>
      <t xml:space="preserve">recorrido nocturno levantando información de las luminarias con fallas en los sectores: vía a Loja, vía Al Oso, vía Santa Elena hacia Timbara, vía Zamora hacia Cumbaratza. Total: 56 luminarias, con novedades de fallas, se adjunta el listado.</t>
    </r>
  </si>
  <si>
    <t xml:space="preserve">ALUMBRADO</t>
  </si>
  <si>
    <t xml:space="preserve">28</t>
  </si>
  <si>
    <t xml:space="preserve">OT [02] Alumbrado Zamora 2026-03-24 (012) LM.pdf</t>
  </si>
  <si>
    <r>
      <rPr>
        <b val="true"/>
        <sz val="10"/>
        <color rgb="FF000000"/>
        <rFont val="Arial"/>
        <family val="0"/>
        <charset val="1"/>
      </rPr>
      <t xml:space="preserve">Zamora,</t>
    </r>
    <r>
      <rPr>
        <sz val="10"/>
        <color rgb="FF000000"/>
        <rFont val="Arial"/>
        <family val="0"/>
        <charset val="1"/>
      </rPr>
      <t xml:space="preserve"> autorizado por superintendencia de alumbrado público,recorrido nocturno de luminarias con fallas en los sectores de: Sakantza, Numbami, Tunantza Alto.</t>
    </r>
  </si>
  <si>
    <t xml:space="preserve">17</t>
  </si>
  <si>
    <t xml:space="preserve">OT [02] Alumbrado Zamora 2026-03-26 (012) LM.pdf</t>
  </si>
  <si>
    <t xml:space="preserve">NL, WC, NR</t>
  </si>
  <si>
    <r>
      <rPr>
        <sz val="10"/>
        <color rgb="FF000000"/>
        <rFont val="Arial"/>
        <family val="0"/>
        <charset val="1"/>
      </rPr>
      <t xml:space="preserve">Santa Rosa, se encuentra acometida arrancada del Med 246428, se empalma. </t>
    </r>
    <r>
      <rPr>
        <b val="true"/>
        <sz val="10"/>
        <color rgb="FF000000"/>
        <rFont val="Arial"/>
        <family val="0"/>
        <charset val="1"/>
      </rPr>
      <t xml:space="preserve">Mismo sector, </t>
    </r>
    <r>
      <rPr>
        <sz val="10"/>
        <color rgb="FF000000"/>
        <rFont val="Arial"/>
        <family val="0"/>
        <charset val="1"/>
      </rPr>
      <t xml:space="preserve">Med 270017 con variacion de voltaje, se ajusta conexiones sulfatadas, se restablece el servicio eléctrico</t>
    </r>
  </si>
  <si>
    <t xml:space="preserve">8, 9, 11, 12, 14</t>
  </si>
  <si>
    <t xml:space="preserve">OT [03] Cuadrilla Yacuambi 2026-03-23 (017) NL.pdf</t>
  </si>
  <si>
    <t xml:space="preserve">NL, WC, VZH, NR</t>
  </si>
  <si>
    <r>
      <rPr>
        <b val="true"/>
        <sz val="10"/>
        <color rgb="FF000000"/>
        <rFont val="Arial"/>
        <family val="0"/>
        <charset val="1"/>
      </rPr>
      <t xml:space="preserve">San Luis,</t>
    </r>
    <r>
      <rPr>
        <sz val="10"/>
        <color rgb="FF000000"/>
        <rFont val="Arial"/>
        <family val="0"/>
        <charset val="1"/>
      </rPr>
      <t xml:space="preserve"> se regula LMT, LBT y acometidas CAUSA: caída de vegetación; se asegura fibras de CNT se ejecuta maniobras en la Est 38515 y se restablece el servicio eléctrico, se retorna a Yacuambi</t>
    </r>
  </si>
  <si>
    <t xml:space="preserve">9</t>
  </si>
  <si>
    <t xml:space="preserve">OT [03] Cuadrilla Yacuambi 2026-03-26 (017) NL.pdf</t>
  </si>
  <si>
    <t xml:space="preserve">NL, WC</t>
  </si>
  <si>
    <r>
      <rPr>
        <b val="true"/>
        <sz val="10"/>
        <color rgb="FF000000"/>
        <rFont val="Arial"/>
        <family val="0"/>
        <charset val="1"/>
      </rPr>
      <t xml:space="preserve">Calle Amazonas,</t>
    </r>
    <r>
      <rPr>
        <sz val="10"/>
        <color rgb="FF000000"/>
        <rFont val="Arial"/>
        <family val="0"/>
        <charset val="1"/>
      </rPr>
      <t xml:space="preserve"> en la estructura 39105 se encuentra transformador bloqueado sicap 16921 de 25KVA, se revisa encontrando en la estructura 39106 LBV y cable tensor rotos por choque de volqueta; se empalma, y se restablece el servicio electrico. FECHA CONX: (14:00) CAUSA choque de volqueta en la estructura 39106 AÑO REPORTADO POR Centro de Control. Mensaje de Centro de Control. Traslado desde la calle Amazonas hasta Peñablanca informan sector sin servicio eléctrico En Peñablanca en la estructura 176409 se encuentra transformador sicap 10167 de 3KVA sin servicio eléctrico se revisa y se hace mediciones de voltaje transformador quemado Sin voltaje, quedando pendiente para la siguiente semana realizar el cambio de transformador Desde Peñablanca se retorna a Yacuambi</t>
    </r>
  </si>
  <si>
    <t xml:space="preserve">1, 2, 3, 7, 8, 10</t>
  </si>
  <si>
    <t xml:space="preserve">OT [03] Cuadrilla Yacuambi 2026-03-28 (017) NL.pdf</t>
  </si>
  <si>
    <r>
      <rPr>
        <b val="true"/>
        <sz val="10"/>
        <color rgb="FF000000"/>
        <rFont val="Arial"/>
        <family val="0"/>
        <charset val="1"/>
      </rPr>
      <t xml:space="preserve">Traslado desde La Esperanza hasta Cambana,</t>
    </r>
    <r>
      <rPr>
        <sz val="10"/>
        <color rgb="FF000000"/>
        <rFont val="Arial"/>
        <family val="0"/>
        <charset val="1"/>
      </rPr>
      <t xml:space="preserve"> estructura 160379 transformador 17241 de 10KVA guaduas sobre LBT se retiray se restablece el servicio.</t>
    </r>
  </si>
  <si>
    <t xml:space="preserve">14, 15, 18</t>
  </si>
  <si>
    <t xml:space="preserve">OT [03] Cuadrilla Yacuambi 2026-03-30 (017) NL.pdf</t>
  </si>
  <si>
    <t xml:space="preserve">NL, NR</t>
  </si>
  <si>
    <r>
      <rPr>
        <b val="true"/>
        <sz val="10"/>
        <color rgb="FF000000"/>
        <rFont val="Arial"/>
        <family val="0"/>
        <charset val="1"/>
      </rPr>
      <t xml:space="preserve">Calle 10 de Marzo,</t>
    </r>
    <r>
      <rPr>
        <sz val="10"/>
        <color rgb="FF000000"/>
        <rFont val="Arial"/>
        <family val="0"/>
        <charset val="1"/>
      </rPr>
      <t xml:space="preserve"> en la estructura 266229 transformador bloqueado SICAP 14453 de 37,5KVA, acometida del Med 212339 cristalizada y en cortocircuito, se corrije y restablece el servicio.</t>
    </r>
  </si>
  <si>
    <t xml:space="preserve">22, 23</t>
  </si>
  <si>
    <t xml:space="preserve">AO, LP</t>
  </si>
  <si>
    <r>
      <rPr>
        <b val="true"/>
        <sz val="10"/>
        <color rgb="FF000000"/>
        <rFont val="Arial"/>
        <family val="0"/>
        <charset val="1"/>
      </rPr>
      <t xml:space="preserve">El Paraíso,</t>
    </r>
    <r>
      <rPr>
        <sz val="10"/>
        <color rgb="FF000000"/>
        <rFont val="Arial"/>
        <family val="0"/>
        <charset val="1"/>
      </rPr>
      <t xml:space="preserve"> se revisa el medidor 2022056206 acometida arrancada y dañada por el paso de vehículo, se ajusta conexiones.</t>
    </r>
  </si>
  <si>
    <t xml:space="preserve">1, 2, 4</t>
  </si>
  <si>
    <t xml:space="preserve">OT [04] Cuadrilla Yantzaza 2026-03-23 (023) AO.pdf</t>
  </si>
  <si>
    <t xml:space="preserve">SB, GT, AO</t>
  </si>
  <si>
    <r>
      <rPr>
        <b val="true"/>
        <sz val="10"/>
        <color rgb="FF000000"/>
        <rFont val="Arial"/>
        <family val="0"/>
        <charset val="1"/>
      </rPr>
      <t xml:space="preserve">San Sebastián,</t>
    </r>
    <r>
      <rPr>
        <sz val="10"/>
        <color rgb="FF000000"/>
        <rFont val="Arial"/>
        <family val="0"/>
        <charset val="1"/>
      </rPr>
      <t xml:space="preserve"> cambio de estructura 63056 por ruptura de tensor, se realiza excavación y hueco para posteriormente realizar izaje se normaliza el servicio.</t>
    </r>
  </si>
  <si>
    <t xml:space="preserve">12, 15</t>
  </si>
  <si>
    <t xml:space="preserve">OT [04] Cuadrilla Yantzaza 2026-03-24 (021) SB.pdf</t>
  </si>
  <si>
    <r>
      <rPr>
        <b val="true"/>
        <sz val="10"/>
        <color rgb="FF000000"/>
        <rFont val="Arial"/>
        <family val="0"/>
        <charset val="1"/>
      </rPr>
      <t xml:space="preserve">Barrio Pita,</t>
    </r>
    <r>
      <rPr>
        <sz val="10"/>
        <color rgb="FF000000"/>
        <rFont val="Arial"/>
        <family val="0"/>
        <charset val="1"/>
      </rPr>
      <t xml:space="preserve"> transformador abierto por sobrecarga, se resetea breaker de el trasformador </t>
    </r>
    <r>
      <rPr>
        <sz val="10"/>
        <color rgb="FF000000"/>
        <rFont val="Arial"/>
        <family val="0"/>
      </rPr>
      <t xml:space="preserve">16920 </t>
    </r>
    <r>
      <rPr>
        <sz val="10"/>
        <color rgb="FF000000"/>
        <rFont val="Arial"/>
        <family val="0"/>
        <charset val="1"/>
      </rPr>
      <t xml:space="preserve">de 25 kVA.</t>
    </r>
  </si>
  <si>
    <t xml:space="preserve">OT [04] Cuadrilla Yantzaza 2026-03-24 (023) AO.pdf</t>
  </si>
  <si>
    <t xml:space="preserve">SB, AA, AO, GT, JLC</t>
  </si>
  <si>
    <r>
      <rPr>
        <b val="true"/>
        <sz val="10"/>
        <color rgb="FF000000"/>
        <rFont val="Arial"/>
        <family val="0"/>
        <charset val="1"/>
      </rPr>
      <t xml:space="preserve">El Zarza,</t>
    </r>
    <r>
      <rPr>
        <sz val="10"/>
        <color rgb="FF000000"/>
        <rFont val="Arial"/>
        <family val="0"/>
        <charset val="1"/>
      </rPr>
      <t xml:space="preserve"> ejecución de Plan de Maniobra en coordinación con CC; Retorno desde Zarza hasta Yantzaza agencia, se dificulta debido a paso controlado.</t>
    </r>
  </si>
  <si>
    <t xml:space="preserve">10, 11</t>
  </si>
  <si>
    <t xml:space="preserve">OT [04] Cuadrilla Yantzaza 2026-03-25 (021) SB.pdf</t>
  </si>
  <si>
    <t xml:space="preserve">AO, JLC</t>
  </si>
  <si>
    <r>
      <rPr>
        <b val="true"/>
        <sz val="10"/>
        <color rgb="FF000000"/>
        <rFont val="Arial"/>
        <family val="0"/>
        <charset val="1"/>
      </rPr>
      <t xml:space="preserve">El Pindal,</t>
    </r>
    <r>
      <rPr>
        <sz val="10"/>
        <color rgb="FF000000"/>
        <rFont val="Arial"/>
        <family val="0"/>
        <charset val="1"/>
      </rPr>
      <t xml:space="preserve"> se revisa LMV desde la estructura 33769, derivación al Pindal en la estructura 33798 se repone tira fusible de 6A-T; Causa: tormenta eléctrica y fuertes vientos.</t>
    </r>
  </si>
  <si>
    <t xml:space="preserve">1, 3, 5</t>
  </si>
  <si>
    <t xml:space="preserve">OT [04] Cuadrilla Yantzaza 2026-03-26 (023) AO.pdf</t>
  </si>
  <si>
    <t xml:space="preserve">viernes</t>
  </si>
  <si>
    <r>
      <rPr>
        <b val="true"/>
        <sz val="10"/>
        <color rgb="FF000000"/>
        <rFont val="Arial"/>
        <family val="0"/>
        <charset val="1"/>
      </rPr>
      <t xml:space="preserve">El Recreo,</t>
    </r>
    <r>
      <rPr>
        <sz val="10"/>
        <color rgb="FF000000"/>
        <rFont val="Arial"/>
        <family val="0"/>
        <charset val="1"/>
      </rPr>
      <t xml:space="preserve"> se revisa medidor 263298, sulfatatos, se limpia, y se repone conector talón. </t>
    </r>
    <r>
      <rPr>
        <b val="true"/>
        <sz val="10"/>
        <color rgb="FF000000"/>
        <rFont val="Arial"/>
        <family val="0"/>
        <charset val="1"/>
      </rPr>
      <t xml:space="preserve">Calles Jorge Mosquera / Luis Bastidas, </t>
    </r>
    <r>
      <rPr>
        <sz val="10"/>
        <color rgb="FF000000"/>
        <rFont val="Arial"/>
        <family val="0"/>
        <charset val="1"/>
      </rPr>
      <t xml:space="preserve">se revisa medidor 100038465 se encuentra conexiones flojas, se ajusta, queda normal el servicio eléctrico. </t>
    </r>
    <r>
      <rPr>
        <b val="true"/>
        <sz val="10"/>
        <color rgb="FF000000"/>
        <rFont val="Arial"/>
        <family val="0"/>
        <charset val="1"/>
      </rPr>
      <t xml:space="preserve">San Pablo Alto,</t>
    </r>
    <r>
      <rPr>
        <sz val="10"/>
        <color rgb="FF000000"/>
        <rFont val="Arial"/>
        <family val="0"/>
        <charset val="1"/>
      </rPr>
      <t xml:space="preserve"> se revisa medidor 241792, se encuentra rota la segunda fase entre las estructura 37680 y 212755 se coordina con Centro de Control y abonados, para el siguiente día, se aísla la falla y rehabilita el trasformador SICAP 21912 en la estructura 212755.</t>
    </r>
  </si>
  <si>
    <t xml:space="preserve">1, 2, 3, 4, 5, 6, 9</t>
  </si>
  <si>
    <t xml:space="preserve">OT [04] Cuadrilla Yantzaza 2026-03-27 (023) AO.pdf</t>
  </si>
  <si>
    <r>
      <rPr>
        <b val="true"/>
        <sz val="10"/>
        <color rgb="FF000000"/>
        <rFont val="Arial"/>
        <family val="0"/>
        <charset val="1"/>
      </rPr>
      <t xml:space="preserve">Los Hachos, </t>
    </r>
    <r>
      <rPr>
        <sz val="10"/>
        <color rgb="FF000000"/>
        <rFont val="Arial"/>
        <family val="0"/>
        <charset val="1"/>
      </rPr>
      <t xml:space="preserve">se revisa medidor 256045 se ajusta conexiones internas. </t>
    </r>
    <r>
      <rPr>
        <b val="true"/>
        <sz val="10"/>
        <color rgb="FF000000"/>
        <rFont val="Arial"/>
        <family val="0"/>
        <charset val="1"/>
      </rPr>
      <t xml:space="preserve">Chimbutza,</t>
    </r>
    <r>
      <rPr>
        <sz val="10"/>
        <color rgb="FF000000"/>
        <rFont val="Arial"/>
        <family val="0"/>
        <charset val="1"/>
      </rPr>
      <t xml:space="preserve"> tubo chocado por vehículo LBD – 5344, con apoyo de la policía se habilita el paso vehicular, se suspende el servicio de tres abonados medidores 1000411633, 18-230823, 207231; presencia de fuerte lluvia, queda suspendido hasta que los abonados reparen el tubo. </t>
    </r>
    <r>
      <rPr>
        <b val="true"/>
        <sz val="10"/>
        <color rgb="FF000000"/>
        <rFont val="Arial"/>
        <family val="0"/>
        <charset val="1"/>
      </rPr>
      <t xml:space="preserve">Barrio Bolívar,</t>
    </r>
    <r>
      <rPr>
        <sz val="10"/>
        <color rgb="FF000000"/>
        <rFont val="Arial"/>
        <family val="0"/>
        <charset val="1"/>
      </rPr>
      <t xml:space="preserve"> se encuentra la RBV rota por ramas de árbol entre las estructura 713945 – 71395; desbroce de vegetación, se empalma y se retensa neutro y fase, se cambia tira fusible de 2.1A-SR para el trasformador </t>
    </r>
    <r>
      <rPr>
        <sz val="10"/>
        <color rgb="FF000000"/>
        <rFont val="Arial"/>
        <family val="0"/>
      </rPr>
      <t xml:space="preserve">27215 </t>
    </r>
    <r>
      <rPr>
        <sz val="10"/>
        <color rgb="FF000000"/>
        <rFont val="Arial"/>
        <family val="0"/>
        <charset val="1"/>
      </rPr>
      <t xml:space="preserve">de 25kva en la estructura 71397.</t>
    </r>
  </si>
  <si>
    <t xml:space="preserve">REDES: 70, ACOMETIDAS: 30</t>
  </si>
  <si>
    <t xml:space="preserve">1, 2, 3, 4, 6, 7, 9, 10, 11, 12, 13, 14</t>
  </si>
  <si>
    <t xml:space="preserve">OT [04] Cuadrilla Yantzaza 2026-03-28 (023) AO.pdf</t>
  </si>
  <si>
    <r>
      <rPr>
        <b val="true"/>
        <sz val="10"/>
        <color rgb="FF000000"/>
        <rFont val="Arial"/>
        <family val="0"/>
        <charset val="1"/>
      </rPr>
      <t xml:space="preserve">La Florida Alto,</t>
    </r>
    <r>
      <rPr>
        <sz val="10"/>
        <color rgb="FF000000"/>
        <rFont val="Arial"/>
        <family val="0"/>
        <charset val="1"/>
      </rPr>
      <t xml:space="preserve"> se revisa medidor 18-220408 se encuentra cortocircuito en la instalación interna, se aísla, se resetea breaker queda normal el servicio. </t>
    </r>
    <r>
      <rPr>
        <b val="true"/>
        <sz val="10"/>
        <color rgb="FF000000"/>
        <rFont val="Arial"/>
        <family val="0"/>
        <charset val="1"/>
      </rPr>
      <t xml:space="preserve">Los Cedros,</t>
    </r>
    <r>
      <rPr>
        <sz val="10"/>
        <color rgb="FF000000"/>
        <rFont val="Arial"/>
        <family val="0"/>
        <charset val="1"/>
      </rPr>
      <t xml:space="preserve"> derivación a Nueva Esperanza - Los Ceibos, se cambia tira fusible de 25A-K; Causa: </t>
    </r>
    <r>
      <rPr>
        <sz val="10"/>
        <color rgb="FF000000"/>
        <rFont val="Arial"/>
        <family val="0"/>
      </rPr>
      <t xml:space="preserve">tormentas eléctricas y vegetación.</t>
    </r>
  </si>
  <si>
    <t xml:space="preserve">REDES: 60, ACOMETIDAS: 40</t>
  </si>
  <si>
    <r>
      <rPr>
        <b val="true"/>
        <sz val="10"/>
        <color rgb="FF000000"/>
        <rFont val="Arial"/>
        <family val="0"/>
        <charset val="1"/>
      </rPr>
      <t xml:space="preserve">Chimbutza,</t>
    </r>
    <r>
      <rPr>
        <sz val="10"/>
        <color rgb="FF000000"/>
        <rFont val="Arial"/>
        <family val="0"/>
        <charset val="1"/>
      </rPr>
      <t xml:space="preserve"> se repone servicio a los 3 clientes que se les suspendió el día anterior por el choque vehicular se empalma y se retensa las acometidas de los medidores 100011633, 18-230823, 207231; estructura 93726 se comprueba el servicio. </t>
    </r>
    <r>
      <rPr>
        <b val="true"/>
        <sz val="10"/>
        <color rgb="FF000000"/>
        <rFont val="Arial"/>
        <family val="0"/>
        <charset val="1"/>
      </rPr>
      <t xml:space="preserve">Nueva Esperanza,</t>
    </r>
    <r>
      <rPr>
        <sz val="10"/>
        <color rgb="FF000000"/>
        <rFont val="Arial"/>
        <family val="0"/>
        <charset val="1"/>
      </rPr>
      <t xml:space="preserve"> se revisa medidor 250687 se reconecta el trasformador de 10kva numero 14339 en la estructura 31896 causado por fuertes vientos y vegetación queda normal el servicio eléctrico.</t>
    </r>
  </si>
  <si>
    <t xml:space="preserve">1, 2, 4, 5, 6, 7, 8, 9, 11, 12, 13</t>
  </si>
  <si>
    <t xml:space="preserve">OT [04] Cuadrilla Yantzaza 2026-03-29 (023) AO.pdf</t>
  </si>
  <si>
    <r>
      <rPr>
        <b val="true"/>
        <sz val="10"/>
        <color rgb="FF000000"/>
        <rFont val="Arial"/>
        <family val="0"/>
        <charset val="1"/>
      </rPr>
      <t xml:space="preserve">San Pablo Alto,</t>
    </r>
    <r>
      <rPr>
        <sz val="10"/>
        <color rgb="FF000000"/>
        <rFont val="Arial"/>
        <family val="0"/>
        <charset val="1"/>
      </rPr>
      <t xml:space="preserve"> desbroce de vegetación, se empalma en dos lados de la RB/T segunda fase rota 1/0 por trabajos de mantenimiento vial entre las estructura 212755, 37680, se reconecta el trasformador de 10kva numero 21912 en la estructura 212755; se ajusta medidores al estado normal por que estaban puenteadas una fase. </t>
    </r>
    <r>
      <rPr>
        <b val="true"/>
        <sz val="10"/>
        <color rgb="FF000000"/>
        <rFont val="Arial"/>
        <family val="0"/>
        <charset val="1"/>
      </rPr>
      <t xml:space="preserve">“Y” de Chicaña, </t>
    </r>
    <r>
      <rPr>
        <sz val="10"/>
        <color rgb="FF000000"/>
        <rFont val="Arial"/>
        <family val="0"/>
        <charset val="1"/>
      </rPr>
      <t xml:space="preserve">se revisa medidor 18- 230935, se reconecta trasformador de 5kva numero 25679 en la estructura 272213 abierto por sobre carga.</t>
    </r>
  </si>
  <si>
    <r>
      <rPr>
        <b val="true"/>
        <sz val="10"/>
        <color rgb="FF000000"/>
        <rFont val="Arial"/>
        <family val="0"/>
        <charset val="1"/>
      </rPr>
      <t xml:space="preserve">Los Hachos,</t>
    </r>
    <r>
      <rPr>
        <sz val="10"/>
        <color rgb="FF000000"/>
        <rFont val="Arial"/>
        <family val="0"/>
        <charset val="1"/>
      </rPr>
      <t xml:space="preserve"> se verifica fusible de derivación al Guayabal estructura 35028 se encuentra normal nos trasladamos al Guayabal entre las estructura 35093, 35094 se encuentra RBV rota por trabajos de relleno particular, se empalma, retensa y se ajusta conexiones del trasformador de 5kva numero 14001 en la estructura 35093. </t>
    </r>
    <r>
      <rPr>
        <b val="true"/>
        <sz val="10"/>
        <color rgb="FF000000"/>
        <rFont val="Arial"/>
        <family val="0"/>
        <charset val="1"/>
      </rPr>
      <t xml:space="preserve">Ungumiatza,</t>
    </r>
    <r>
      <rPr>
        <sz val="10"/>
        <color rgb="FF000000"/>
        <rFont val="Arial"/>
        <family val="0"/>
        <charset val="1"/>
      </rPr>
      <t xml:space="preserve"> se reconecta el trasformador de 5kva numero 21916 en la estructura 205672 por vegetación y fuertes vientos queda normal el servicio.</t>
    </r>
  </si>
  <si>
    <t xml:space="preserve">15, 16, 18, 19, 20</t>
  </si>
  <si>
    <t xml:space="preserve">GLE</t>
  </si>
  <si>
    <t xml:space="preserve">Es s/n se instala 3 estribos y conexión de 3 pararrayos, también se instala estribo para transformador monofásico y coordinar con centro de control habilitar recierre. Laboran: LA, CB, RM, CO, SR, WG de 08:00 a 18:00. SE PERNOTA EN GUALAQUIZA. KILOMETRAJE CANASTA 2-146 Inicial: 1126 final: 1225.</t>
  </si>
  <si>
    <t xml:space="preserve">?</t>
  </si>
  <si>
    <t xml:space="preserve">4</t>
  </si>
  <si>
    <t xml:space="preserve">OT [05] Energizados Yantzaza 2026-03-23 (027) LA.pdf</t>
  </si>
  <si>
    <t xml:space="preserve">Sector El Ideal: Se coordina trabajos con los contratista se reubica un estructura con linea energizada, luego se viste estructura y mide secuencia de fases y se pasa linea existente y nueva se cierra puen Se elimina un tramo de linea existente, se coordina con centro de control normaliza reguladores y recierres de Re-conectadores Nueva Tarqui en Campo y Las Peñas automática. Laboran: LA, CB, RM, CO, SR, WG de 08:00 a 18:00. SE PERNOTA EN GUALAQUIZA. Kilometraje canasta 2- 146: Inicial: 1226 FINAL: 1266</t>
  </si>
  <si>
    <t xml:space="preserve">2, 3</t>
  </si>
  <si>
    <t xml:space="preserve">OT [05] Energizados Yantzaza 2026-03-24 (027) LA.pdf</t>
  </si>
  <si>
    <t xml:space="preserve">estructura 32049 se entra linea nueva y se cierra puentes luego se baja linea existente, trabajos con grupos de los contratistas. estructura 272445 se cierra puentes de cruce trifásico para cerrar circuito de linea nueva con la existente. estructura s/n se abre barras para separa el mallado de el Re - conectador Las Peñas - Nueva Tarqui se coordina con centro de control se coloca recierres y automático fde reguladores. Laboran: LA, CB, RM, CO, SR, WG de 08:00 a 19:30. Se pernota en Gualaquiza. Kilometraje canasta 2-146: inicial : 1266 final: 1296</t>
  </si>
  <si>
    <t xml:space="preserve">3, 4, 5</t>
  </si>
  <si>
    <t xml:space="preserve">OT [05] Energizados Yantzaza 2026-03-25 (027) LA.pdf</t>
  </si>
  <si>
    <t xml:space="preserve">estructura 250265 - 250225 se entra con conductor nuevo 4/0 para cambiar ruta del Alimentador y se elimina linea existente. estructura S/N se abre puentes en estructura tipo bandera para abrir mallado interno, estructura S/N se instala 3 grapas de linea energizada para que el contratista pueda abrir reubicar linea monofásica. Laboran: LA, CB, RM, CO, SR, WG de 08:00 a 19:00. SE pernota en Gualaquiza. Kilometraje canasta 2-146: inicial : 1256 final: 1286</t>
  </si>
  <si>
    <t xml:space="preserve">3, 4</t>
  </si>
  <si>
    <t xml:space="preserve">OT [05] Energizados Yantzaza 2026-03-26 (027) LA.pdf</t>
  </si>
  <si>
    <t xml:space="preserve">JA, DG, MS, JJ</t>
  </si>
  <si>
    <r>
      <rPr>
        <b val="true"/>
        <sz val="10"/>
        <color rgb="FF000000"/>
        <rFont val="Arial"/>
        <family val="0"/>
        <charset val="1"/>
      </rPr>
      <t xml:space="preserve">Cisam, </t>
    </r>
    <r>
      <rPr>
        <sz val="10"/>
        <color rgb="FF000000"/>
        <rFont val="Arial"/>
        <family val="0"/>
        <charset val="1"/>
      </rPr>
      <t xml:space="preserve">cambio de estructura quebrada por uno de 11mts H; desmontaje de líneas, acometida y luminaria.</t>
    </r>
  </si>
  <si>
    <t xml:space="preserve">11, 13</t>
  </si>
  <si>
    <t xml:space="preserve">OT [06] Cuadrilla Paquisha 2026-03-25 (034) JA.pdf</t>
  </si>
  <si>
    <t xml:space="preserve">DG, JJ</t>
  </si>
  <si>
    <r>
      <rPr>
        <b val="true"/>
        <sz val="10"/>
        <color rgb="FF000000"/>
        <rFont val="Arial"/>
        <family val="0"/>
        <charset val="1"/>
      </rPr>
      <t xml:space="preserve">Paquisha</t>
    </r>
    <r>
      <rPr>
        <sz val="10"/>
        <color rgb="FF000000"/>
        <rFont val="Arial"/>
        <family val="0"/>
        <charset val="1"/>
      </rPr>
      <t xml:space="preserve">, se revisa tirafusible quemado en la estructura 92674, no se encuentra noveda y se cambia de 25 A-T.</t>
    </r>
  </si>
  <si>
    <t xml:space="preserve">OT [06] Cuadrilla Paquisha 2026-03-28 (036) DG.pdf</t>
  </si>
  <si>
    <t xml:space="preserve">CQ, JL</t>
  </si>
  <si>
    <r>
      <rPr>
        <b val="true"/>
        <sz val="10"/>
        <color rgb="FF000000"/>
        <rFont val="Arial"/>
        <family val="0"/>
        <charset val="1"/>
      </rPr>
      <t xml:space="preserve">Bodega Guayzimi,</t>
    </r>
    <r>
      <rPr>
        <sz val="10"/>
        <color rgb="FF000000"/>
        <rFont val="Arial"/>
        <family val="0"/>
        <charset val="1"/>
      </rPr>
      <t xml:space="preserve"> traslado desde Guayzimi hasta Nuevo Paraíso para atención de daños.</t>
    </r>
  </si>
  <si>
    <t xml:space="preserve">1, 2</t>
  </si>
  <si>
    <t xml:space="preserve">OT [07] Cuadrilla Guayzimi 2026-03-24 (038) CQ.pdf</t>
  </si>
  <si>
    <r>
      <rPr>
        <b val="true"/>
        <sz val="10"/>
        <color rgb="FF000000"/>
        <rFont val="Arial"/>
        <family val="0"/>
        <charset val="1"/>
      </rPr>
      <t xml:space="preserve">Las Brisas,</t>
    </r>
    <r>
      <rPr>
        <sz val="10"/>
        <color rgb="FF000000"/>
        <rFont val="Arial"/>
        <family val="0"/>
        <charset val="1"/>
      </rPr>
      <t xml:space="preserve"> estructura 32981 tirafusible quemado causa: estructura 34004 quebrada la base por impacto de una maquinaria desconocida, zona minera; con apoyo de personal y maquinaria del sector se corrige reubicando estructurase repone tirafusible de 12A-K, Retorno hasta Guayzimi.</t>
    </r>
  </si>
  <si>
    <t xml:space="preserve">6</t>
  </si>
  <si>
    <r>
      <rPr>
        <b val="true"/>
        <sz val="10"/>
        <color rgb="FF000000"/>
        <rFont val="Arial"/>
        <family val="0"/>
        <charset val="1"/>
      </rPr>
      <t xml:space="preserve">Las Brisas,</t>
    </r>
    <r>
      <rPr>
        <sz val="10"/>
        <color rgb="FF000000"/>
        <rFont val="Arial"/>
        <family val="0"/>
        <charset val="1"/>
      </rPr>
      <t xml:space="preserve"> mismo abonado, informa que persiste la falla, retornamos a la estructura 247671 se revisa medidor 290269, se limpia sulfato en barra de neutro y normaliza.</t>
    </r>
  </si>
  <si>
    <t xml:space="preserve">11</t>
  </si>
  <si>
    <r>
      <rPr>
        <b val="true"/>
        <sz val="10"/>
        <color rgb="FF000000"/>
        <rFont val="Arial"/>
        <family val="0"/>
        <charset val="1"/>
      </rPr>
      <t xml:space="preserve">Bodega Guayzimi,</t>
    </r>
    <r>
      <rPr>
        <sz val="10"/>
        <color rgb="FF000000"/>
        <rFont val="Arial"/>
        <family val="0"/>
        <charset val="1"/>
      </rPr>
      <t xml:space="preserve"> traslado desde Guayzimi hasta Sahime para atención de daños.</t>
    </r>
  </si>
  <si>
    <t xml:space="preserve">OT [07] Cuadrilla Guayzimi 2026-03-26 (038) CQ.pdf</t>
  </si>
  <si>
    <r>
      <rPr>
        <b val="true"/>
        <sz val="10"/>
        <color rgb="FF000000"/>
        <rFont val="Arial"/>
        <family val="0"/>
        <charset val="1"/>
      </rPr>
      <t xml:space="preserve">Santa Rosa,</t>
    </r>
    <r>
      <rPr>
        <sz val="10"/>
        <color rgb="FF000000"/>
        <rFont val="Arial"/>
        <family val="0"/>
        <charset val="1"/>
      </rPr>
      <t xml:space="preserve"> estructura 32732 se cierra breaker del transformador SICAP 7194 de </t>
    </r>
    <r>
      <rPr>
        <sz val="10"/>
        <color rgb="FF000000"/>
        <rFont val="Arial"/>
        <family val="0"/>
      </rPr>
      <t xml:space="preserve">5KVA;</t>
    </r>
    <r>
      <rPr>
        <sz val="10"/>
        <color rgb="FF000000"/>
        <rFont val="Arial"/>
        <family val="0"/>
        <charset val="1"/>
      </rPr>
      <t xml:space="preserve"> Causa: acometida arrancada de medidor liquidado haciendo conctacto entre LBT Santa Rosa – Guayzimi.</t>
    </r>
  </si>
  <si>
    <t xml:space="preserve">8, 9, 11</t>
  </si>
  <si>
    <r>
      <rPr>
        <b val="true"/>
        <sz val="10"/>
        <color rgb="FF000000"/>
        <rFont val="Arial"/>
        <family val="0"/>
        <charset val="1"/>
      </rPr>
      <t xml:space="preserve">Héroes del Cóndor, </t>
    </r>
    <r>
      <rPr>
        <sz val="10"/>
        <color rgb="FF000000"/>
        <rFont val="Arial"/>
        <family val="0"/>
        <charset val="1"/>
      </rPr>
      <t xml:space="preserve">con apoyo de un bote de abonados cruzamos el Río Nangaritza a la estructura 193833 se realiza prueba reposición 12A - T y restablece servicio eléctrico.</t>
    </r>
  </si>
  <si>
    <t xml:space="preserve">11, 12, 16</t>
  </si>
  <si>
    <t xml:space="preserve">OT [07] Cuadrilla Guayzimi 2026-03-27 (038) CQ.pdf</t>
  </si>
  <si>
    <r>
      <rPr>
        <b val="true"/>
        <sz val="10"/>
        <color rgb="FF000000"/>
        <rFont val="Arial"/>
        <family val="0"/>
        <charset val="1"/>
      </rPr>
      <t xml:space="preserve">Guayzimi,</t>
    </r>
    <r>
      <rPr>
        <sz val="10"/>
        <color rgb="FF000000"/>
        <rFont val="Arial"/>
        <family val="0"/>
        <charset val="1"/>
      </rPr>
      <t xml:space="preserve"> coordinación con Centro de Control ejecución de WR 317050895 en estructura 32965; Contratista inicia trabajos tras presentarse fuertes lluvias; se recorre LMT1 desconectada verificando novedades, estructura 33601 cambia aislador picado por descarga Eléctrica, se normaliza. </t>
    </r>
  </si>
  <si>
    <t xml:space="preserve">1</t>
  </si>
  <si>
    <t xml:space="preserve">OT [07] Cuadrilla Guayzimi 2026-03-28 (038) CQ.pdf</t>
  </si>
  <si>
    <r>
      <rPr>
        <b val="true"/>
        <sz val="10"/>
        <color rgb="FF000000"/>
        <rFont val="Arial"/>
        <family val="0"/>
        <charset val="1"/>
      </rPr>
      <t xml:space="preserve">Guayzimi, </t>
    </r>
    <r>
      <rPr>
        <sz val="10"/>
        <color rgb="FF000000"/>
        <rFont val="Arial"/>
        <family val="0"/>
        <charset val="1"/>
      </rPr>
      <t xml:space="preserve">a pedid del Centro de Control se verifica que el contratista finalice sus labores, se habilita el servicio en coordinación con CC. </t>
    </r>
  </si>
  <si>
    <r>
      <rPr>
        <b val="true"/>
        <sz val="10"/>
        <color rgb="FF000000"/>
        <rFont val="Arial"/>
        <family val="0"/>
        <charset val="1"/>
      </rPr>
      <t xml:space="preserve">Guayzimi, </t>
    </r>
    <r>
      <rPr>
        <sz val="10"/>
        <color rgb="FF000000"/>
        <rFont val="Arial"/>
        <family val="0"/>
        <charset val="1"/>
      </rPr>
      <t xml:space="preserve">estructura 32953 se arregla acometida arrancada por paso de vehículo de medidor 17099540. </t>
    </r>
  </si>
  <si>
    <t xml:space="preserve">14</t>
  </si>
  <si>
    <t xml:space="preserve">OT [07] Cuadrilla Guayzimi 2026-03-31 (038) CQ.pdf</t>
  </si>
  <si>
    <t xml:space="preserve">HM, LV, AD</t>
  </si>
  <si>
    <r>
      <rPr>
        <b val="true"/>
        <sz val="10"/>
        <color rgb="FF000000"/>
        <rFont val="Arial"/>
        <family val="0"/>
        <charset val="1"/>
      </rPr>
      <t xml:space="preserve">Chuchumbletza, </t>
    </r>
    <r>
      <rPr>
        <sz val="10"/>
        <color rgb="FF000000"/>
        <rFont val="Arial"/>
        <family val="0"/>
        <charset val="1"/>
      </rPr>
      <t xml:space="preserve">estructura. 32026 se repone 2 veces un tirafusible de 0.4 ASR para el transformador monofásico particular 12525 de 10 KVA y se vuelve a quemar. Causa: daño interno. Se indica al cliente para que haga revisar el transformador de manera particular con algún ingeniero calificado por la EERSSA. Traslado desde Chuchumbletza hasta la agencia El Pangui.</t>
    </r>
  </si>
  <si>
    <t xml:space="preserve">15, 16, 18</t>
  </si>
  <si>
    <t xml:space="preserve">OT [08] Cuadrilla El Pangui 2026-03-25 (042) HM.pdf</t>
  </si>
  <si>
    <t xml:space="preserve">LV, AD</t>
  </si>
  <si>
    <r>
      <rPr>
        <b val="true"/>
        <sz val="10"/>
        <color rgb="FF000000"/>
        <rFont val="Arial"/>
        <family val="0"/>
        <charset val="1"/>
      </rPr>
      <t xml:space="preserve">Tiukcha,</t>
    </r>
    <r>
      <rPr>
        <sz val="10"/>
        <color rgb="FF000000"/>
        <rFont val="Arial"/>
        <family val="0"/>
        <charset val="1"/>
      </rPr>
      <t xml:space="preserve"> se arregla la red de bajo voltaje arrancada en postes 218718, 218712, daño ocasionan maquinas de minería, se energiza transformador 24599 de 10kva; queda pendiente el arreglo de la acometida del medidor 298281 el cliente tiene que adecuar tubo.</t>
    </r>
  </si>
  <si>
    <t xml:space="preserve">18</t>
  </si>
  <si>
    <t xml:space="preserve">OT [08] Cuadrilla El Pangui 2026-03-27 (043) LV.pdf</t>
  </si>
  <si>
    <t xml:space="preserve">LV, FA</t>
  </si>
  <si>
    <r>
      <rPr>
        <b val="true"/>
        <sz val="10"/>
        <color rgb="FF000000"/>
        <rFont val="Arial"/>
        <family val="0"/>
        <charset val="1"/>
      </rPr>
      <t xml:space="preserve">Tiukcha,</t>
    </r>
    <r>
      <rPr>
        <sz val="10"/>
        <color rgb="FF000000"/>
        <rFont val="Arial"/>
        <family val="0"/>
        <charset val="1"/>
      </rPr>
      <t xml:space="preserve"> estructura 247721 se cambia 50mtrs de acometida y se reubica el medidor nro 298281 a tubo galvanizado nuevo, retorno a El Pangui</t>
    </r>
  </si>
  <si>
    <t xml:space="preserve">2, 3, 4, 6</t>
  </si>
  <si>
    <t xml:space="preserve">OT [08] Cuadrilla El Pangui 2026-03-28 (043) LV.pdf</t>
  </si>
  <si>
    <t xml:space="preserve">FG, CLP</t>
  </si>
  <si>
    <r>
      <rPr>
        <b val="true"/>
        <sz val="10"/>
        <color rgb="FF000000"/>
        <rFont val="Arial"/>
        <family val="0"/>
        <charset val="1"/>
      </rPr>
      <t xml:space="preserve">Nueva Tarqui,</t>
    </r>
    <r>
      <rPr>
        <sz val="10"/>
        <color rgb="FF000000"/>
        <rFont val="Arial"/>
        <family val="0"/>
        <charset val="1"/>
      </rPr>
      <t xml:space="preserve"> medidor 18-219282 estructura 244345 se revisa red de MV desde el puente Rio Cuyes Hacia Nueva Tarqui, encontrando fusible quemado en estructura de obra nueva, cambios realizados por construcción de Nuevo Alimentador; Sector de la Union del Ideal en estructura S/N ( Nueva) se Repone fusible de 25 A-T, conectando normal el servicio. </t>
    </r>
    <r>
      <rPr>
        <b val="true"/>
        <sz val="10"/>
        <color rgb="FF000000"/>
        <rFont val="Arial"/>
        <family val="0"/>
        <charset val="1"/>
      </rPr>
      <t xml:space="preserve">Barrio La Union,</t>
    </r>
    <r>
      <rPr>
        <sz val="10"/>
        <color rgb="FF000000"/>
        <rFont val="Arial"/>
        <family val="0"/>
        <charset val="1"/>
      </rPr>
      <t xml:space="preserve"> medidor 251289 estructura 43181, sector Luis Casiraghi, revision de RBV, se resetea el breaker principal del transformador 15925 (3ø) de 50 Kva estructura 40594.</t>
    </r>
  </si>
  <si>
    <t xml:space="preserve">13, 14, 15, 16, 17, 18</t>
  </si>
  <si>
    <t xml:space="preserve">OT [09] Cuadrilla Gualaquiza 2026-03-25 (045) FG.pdf</t>
  </si>
  <si>
    <t xml:space="preserve">FG, MA</t>
  </si>
  <si>
    <r>
      <rPr>
        <b val="true"/>
        <sz val="10"/>
        <color rgb="FF000000"/>
        <rFont val="Arial"/>
        <family val="0"/>
        <charset val="1"/>
      </rPr>
      <t xml:space="preserve">Cantón Gualaquiza,</t>
    </r>
    <r>
      <rPr>
        <sz val="10"/>
        <color rgb="FF000000"/>
        <rFont val="Arial"/>
        <family val="0"/>
        <charset val="1"/>
      </rPr>
      <t xml:space="preserve"> autorizados por SUOM1 revisa luminarias Apagadas en el cantón Gualaquiza e informa.</t>
    </r>
  </si>
  <si>
    <t xml:space="preserve">20</t>
  </si>
  <si>
    <t xml:space="preserve">OT [09] Cuadrilla Gualaquiza 2026-03-27 (045) FG.pdf</t>
  </si>
  <si>
    <r>
      <rPr>
        <b val="true"/>
        <sz val="10"/>
        <color rgb="FF000000"/>
        <rFont val="Arial"/>
        <family val="0"/>
        <charset val="1"/>
      </rPr>
      <t xml:space="preserve">Barrio La Union,</t>
    </r>
    <r>
      <rPr>
        <sz val="10"/>
        <color rgb="FF000000"/>
        <rFont val="Arial"/>
        <family val="0"/>
        <charset val="1"/>
      </rPr>
      <t xml:space="preserve"> se revisa LMV si observar ninguna novedad, se cambia fusible de 6 A-T estructura 40595 conectando normal. </t>
    </r>
    <r>
      <rPr>
        <b val="true"/>
        <sz val="10"/>
        <color rgb="FF000000"/>
        <rFont val="Arial"/>
        <family val="0"/>
        <charset val="1"/>
      </rPr>
      <t xml:space="preserve">La Union,</t>
    </r>
    <r>
      <rPr>
        <sz val="10"/>
        <color rgb="FF000000"/>
        <rFont val="Arial"/>
        <family val="0"/>
        <charset val="1"/>
      </rPr>
      <t xml:space="preserve"> nuevamenta se quema el fusible luego de lluvia, se revisa y se detecta una lagartija en los aisadores pin estructura 282041, se retira y repone fusible de 6A-T conectando normal. </t>
    </r>
    <r>
      <rPr>
        <b val="true"/>
        <sz val="10"/>
        <color rgb="FF000000"/>
        <rFont val="Arial"/>
        <family val="0"/>
        <charset val="1"/>
      </rPr>
      <t xml:space="preserve">San Luis,</t>
    </r>
    <r>
      <rPr>
        <sz val="10"/>
        <color rgb="FF000000"/>
        <rFont val="Arial"/>
        <family val="0"/>
        <charset val="1"/>
      </rPr>
      <t xml:space="preserve"> se revisa RBV, por accidente de transito con las fibras, se suelta linea de la red nueva, y salta el breaker del transformador, se revisa y encuentra que ya fue arreglado por contratista, se revisa en el medidor se encuentra bajado el breaker del medidor, se activa y queda normal. </t>
    </r>
  </si>
  <si>
    <t xml:space="preserve">1, 2, 3, 4, 6, 7, 8, 10</t>
  </si>
  <si>
    <t xml:space="preserve">OT [09] Cuadrilla Gualaquiza 2026-03-28 (045) FG.pdf</t>
  </si>
  <si>
    <r>
      <rPr>
        <b val="true"/>
        <sz val="10"/>
        <color rgb="FF000000"/>
        <rFont val="Arial"/>
        <family val="0"/>
        <charset val="1"/>
      </rPr>
      <t xml:space="preserve">Cuchipamba,</t>
    </r>
    <r>
      <rPr>
        <sz val="10"/>
        <color rgb="FF000000"/>
        <rFont val="Arial"/>
        <family val="0"/>
        <charset val="1"/>
      </rPr>
      <t xml:space="preserve"> Med 1215888 estructura 128349, se revisa y encuentra quemado el fusible en el arranque de linea estructura 40558, Calle se repone fusibe de 25 A-T, conectando normal el servicio. </t>
    </r>
    <r>
      <rPr>
        <b val="true"/>
        <sz val="10"/>
        <color rgb="FF000000"/>
        <rFont val="Arial"/>
        <family val="0"/>
        <charset val="1"/>
      </rPr>
      <t xml:space="preserve">Barrio Amazonas,</t>
    </r>
    <r>
      <rPr>
        <sz val="10"/>
        <color rgb="FF000000"/>
        <rFont val="Arial"/>
        <family val="0"/>
        <charset val="1"/>
      </rPr>
      <t xml:space="preserve"> estructura 40510 se revisa transformador 14966 y medidor se encuentra normal el servicio, se atiende con la Resolucion anterior de cambio de fusibe de 25 A-T. </t>
    </r>
    <r>
      <rPr>
        <b val="true"/>
        <sz val="10"/>
        <color rgb="FF000000"/>
        <rFont val="Arial"/>
        <family val="0"/>
        <charset val="1"/>
      </rPr>
      <t xml:space="preserve">El Rosario, </t>
    </r>
    <r>
      <rPr>
        <sz val="10"/>
        <color rgb="FF000000"/>
        <rFont val="Arial"/>
        <family val="0"/>
        <charset val="1"/>
      </rPr>
      <t xml:space="preserve">Med 217105 en la estructura 28994 se revisa RBV, se encuentra que no hay LMV econtrando contratista reubicando red de MT, indicando que ya termina. </t>
    </r>
    <r>
      <rPr>
        <b val="true"/>
        <sz val="10"/>
        <color rgb="FF000000"/>
        <rFont val="Arial"/>
        <family val="0"/>
        <charset val="1"/>
      </rPr>
      <t xml:space="preserve">Canoa Rota,</t>
    </r>
    <r>
      <rPr>
        <sz val="10"/>
        <color rgb="FF000000"/>
        <rFont val="Arial"/>
        <family val="0"/>
        <charset val="1"/>
      </rPr>
      <t xml:space="preserve"> en la estructura 247690 se revisa RBV encontrando un arbol seco sobre la red de B/T, se corta el arbol, se resetea transformador 24608 de 25 kVA. </t>
    </r>
  </si>
  <si>
    <t xml:space="preserve">1, 2, 3, 5, 6, 8, 9, 11, 12, 14</t>
  </si>
  <si>
    <t xml:space="preserve">OT [09] Cuadrilla Gualaquiza 2026-03-29 (045) FG.pdf</t>
  </si>
  <si>
    <t xml:space="preserve">16</t>
  </si>
  <si>
    <t xml:space="preserve">PCH, RCL</t>
  </si>
  <si>
    <r>
      <rPr>
        <b val="true"/>
        <sz val="10"/>
        <color rgb="FF000000"/>
        <rFont val="Arial"/>
        <family val="0"/>
        <charset val="1"/>
      </rPr>
      <t xml:space="preserve">Barrio Playa Rica,</t>
    </r>
    <r>
      <rPr>
        <sz val="10"/>
        <color rgb="FF000000"/>
        <rFont val="Arial"/>
        <family val="0"/>
        <charset val="1"/>
      </rPr>
      <t xml:space="preserve"> se encuentran borneras sulfatadas, medidor 18-254661, se cambia conector talón del neutro; además, se resetea el breaker, se normaliza el servicio; por peticion del Ing. Andrew Quezada, se hace censo de carga a los Transf 25488 de 15 kva estructura 23559, hora 19:00 y al Transf, 12389 de 25 kva, estructura 23521, hora 19:12. </t>
    </r>
    <r>
      <rPr>
        <b val="true"/>
        <sz val="10"/>
        <color rgb="FF000000"/>
        <rFont val="Arial"/>
        <family val="0"/>
        <charset val="1"/>
      </rPr>
      <t xml:space="preserve">Soapaca,</t>
    </r>
    <r>
      <rPr>
        <sz val="10"/>
        <color rgb="FF000000"/>
        <rFont val="Arial"/>
        <family val="0"/>
        <charset val="1"/>
      </rPr>
      <t xml:space="preserve"> se encuentra breaker mal estado del medidor 18-236703, se cambia breaker y se normaliza el servicio.</t>
    </r>
  </si>
  <si>
    <t xml:space="preserve">1, 2, 3, 4, 5, 6, 7</t>
  </si>
  <si>
    <t xml:space="preserve">OT [22] Agencia Yantzaza 2026-03-30 (055) PCH.pdf</t>
  </si>
  <si>
    <r>
      <rPr>
        <b val="true"/>
        <sz val="10"/>
        <color rgb="FF000000"/>
        <rFont val="Arial"/>
        <family val="0"/>
        <charset val="1"/>
      </rPr>
      <t xml:space="preserve">Calle Geranios y Amazonas,</t>
    </r>
    <r>
      <rPr>
        <sz val="10"/>
        <color rgb="FF000000"/>
        <rFont val="Arial"/>
        <family val="0"/>
        <charset val="1"/>
      </rPr>
      <t xml:space="preserve"> Poste 23231, se encuentra grampa de LMV caída por causa de recalentamiento, punto caliente, se cambia la grapa, se normaliza el servicio, Transf 22029 de 25 KVA.</t>
    </r>
  </si>
  <si>
    <t xml:space="preserve">10, 11, 12</t>
  </si>
  <si>
    <t xml:space="preserve">LP, RCL, PCH</t>
  </si>
  <si>
    <r>
      <rPr>
        <b val="true"/>
        <sz val="10"/>
        <color rgb="FF000000"/>
        <rFont val="Arial"/>
        <family val="0"/>
        <charset val="1"/>
      </rPr>
      <t xml:space="preserve">Barrio La Acantarilla,</t>
    </r>
    <r>
      <rPr>
        <sz val="10"/>
        <color rgb="FF000000"/>
        <rFont val="Arial"/>
        <family val="0"/>
        <charset val="1"/>
      </rPr>
      <t xml:space="preserve"> se revisa y se realiza ajuste de conexiones del medidor 1000385762 estructura 63056 y se normaliza el servicio sin novedad.</t>
    </r>
  </si>
  <si>
    <t xml:space="preserve">11, 12</t>
  </si>
  <si>
    <t xml:space="preserve">OT [22] Agencia Yantzaza 2026-03-30 (056) LP.pdf</t>
  </si>
  <si>
    <r>
      <rPr>
        <b val="true"/>
        <sz val="10"/>
        <color rgb="FF000000"/>
        <rFont val="Arial"/>
        <family val="0"/>
        <charset val="1"/>
      </rPr>
      <t xml:space="preserve">Panguitza, </t>
    </r>
    <r>
      <rPr>
        <sz val="10"/>
        <color rgb="FF000000"/>
        <rFont val="Arial"/>
        <family val="0"/>
        <charset val="1"/>
      </rPr>
      <t xml:space="preserve">se encuentra breaker, borneras quemadas medidor 1000021719, se cambia de breaker y puentes por estar quemados, se normaliza el servicio. </t>
    </r>
    <r>
      <rPr>
        <b val="true"/>
        <sz val="10"/>
        <color rgb="FF000000"/>
        <rFont val="Arial"/>
        <family val="0"/>
        <charset val="1"/>
      </rPr>
      <t xml:space="preserve">San Rosa de Mercadillo, </t>
    </r>
    <r>
      <rPr>
        <sz val="10"/>
        <color rgb="FF000000"/>
        <rFont val="Arial"/>
        <family val="0"/>
        <charset val="1"/>
      </rPr>
      <t xml:space="preserve">estructura 22011, se encuentra fusible quemado por hoja de Platanos, se repone tirafusible de 1,6A tipo SR, para el Transformador 24877 de 25 kVA.</t>
    </r>
  </si>
  <si>
    <t xml:space="preserve">1, 2, 3, 4, 5, 6</t>
  </si>
  <si>
    <t xml:space="preserve">OT [22] Agencia Yantzaza 2026-03-31 (055) PCH.pdf</t>
  </si>
  <si>
    <t xml:space="preserve">FA, AS</t>
  </si>
  <si>
    <r>
      <rPr>
        <b val="true"/>
        <sz val="10"/>
        <color rgb="FF000000"/>
        <rFont val="Arial"/>
        <family val="0"/>
        <charset val="1"/>
      </rPr>
      <t xml:space="preserve">Simón Bolívar, </t>
    </r>
    <r>
      <rPr>
        <sz val="10"/>
        <color rgb="FF000000"/>
        <rFont val="Arial"/>
        <family val="0"/>
        <charset val="1"/>
      </rPr>
      <t xml:space="preserve">acometida arrancada medidor 18519272, se restituye acometida en mal estado por el paso de una volqueta, se normaliza el servicio.</t>
    </r>
  </si>
  <si>
    <t xml:space="preserve">OT [23] Agencia El Pangui 2026-03-23 (058) FA.pdf</t>
  </si>
  <si>
    <r>
      <rPr>
        <b val="true"/>
        <sz val="10"/>
        <color rgb="FF000000"/>
        <rFont val="Arial"/>
        <family val="0"/>
        <charset val="1"/>
      </rPr>
      <t xml:space="preserve">El Pangui,</t>
    </r>
    <r>
      <rPr>
        <sz val="10"/>
        <color rgb="FF000000"/>
        <rFont val="Arial"/>
        <family val="0"/>
        <charset val="1"/>
      </rPr>
      <t xml:space="preserve"> estructura 72266, se restituye conector ranura paralela sulfatada en el Trafo 23783 de 37.5 KVA estructura 227941, se normaliza el servicio.</t>
    </r>
  </si>
  <si>
    <t xml:space="preserve">OT [23] Agencia El Pangui 2026-03-24 (058) FA.pdf</t>
  </si>
  <si>
    <t xml:space="preserve">Tiucksha, apoyo a la cuadrilla de mantenimiento para el arreglo de un daño reportado por Centro de Control indica líneas arrancadas, traslado de Tiukcha a El Pangui.</t>
  </si>
  <si>
    <t xml:space="preserve">12, 13</t>
  </si>
  <si>
    <t xml:space="preserve">OT [23] Agencia El Pangui 2026-03-27 (058) FA.pdf</t>
  </si>
</sst>
</file>

<file path=xl/styles.xml><?xml version="1.0" encoding="utf-8"?>
<styleSheet xmlns="http://schemas.openxmlformats.org/spreadsheetml/2006/main">
  <numFmts count="7">
    <numFmt numFmtId="164" formatCode="General"/>
    <numFmt numFmtId="165" formatCode="dddd&quot;,  &quot;dd&quot; de &quot;mmmm&quot; de &quot;yyyy"/>
    <numFmt numFmtId="166" formatCode="dd/mm/yy"/>
    <numFmt numFmtId="167" formatCode="dd/mmm\ yyyy"/>
    <numFmt numFmtId="168" formatCode="hh:mm"/>
    <numFmt numFmtId="169" formatCode="[$-F400]h:mm:ss\ AM/PM"/>
    <numFmt numFmtId="170" formatCode="#,##0.00"/>
  </numFmts>
  <fonts count="9">
    <font>
      <sz val="10"/>
      <name val="Arial"/>
      <family val="2"/>
      <charset val="1"/>
    </font>
    <font>
      <sz val="10"/>
      <name val="Arial"/>
      <family val="0"/>
    </font>
    <font>
      <sz val="10"/>
      <name val="Arial"/>
      <family val="0"/>
    </font>
    <font>
      <sz val="10"/>
      <name val="Arial"/>
      <family val="0"/>
    </font>
    <font>
      <b val="true"/>
      <sz val="10"/>
      <name val="Arial"/>
      <family val="2"/>
      <charset val="1"/>
    </font>
    <font>
      <b val="true"/>
      <sz val="14"/>
      <name val="Arial"/>
      <family val="2"/>
      <charset val="1"/>
    </font>
    <font>
      <b val="true"/>
      <sz val="10"/>
      <color rgb="FF000000"/>
      <name val="Arial"/>
      <family val="0"/>
      <charset val="1"/>
    </font>
    <font>
      <sz val="10"/>
      <color rgb="FF000000"/>
      <name val="Arial"/>
      <family val="0"/>
      <charset val="1"/>
    </font>
    <font>
      <sz val="10"/>
      <color rgb="FF000000"/>
      <name val="Arial"/>
      <family val="0"/>
    </font>
  </fonts>
  <fills count="9">
    <fill>
      <patternFill patternType="none"/>
    </fill>
    <fill>
      <patternFill patternType="gray125"/>
    </fill>
    <fill>
      <patternFill patternType="solid">
        <fgColor rgb="FFB4C7DC"/>
        <bgColor rgb="FFCCCCFF"/>
      </patternFill>
    </fill>
    <fill>
      <patternFill patternType="solid">
        <fgColor theme="8" tint="0.7998"/>
        <bgColor rgb="FFFFFFFF"/>
      </patternFill>
    </fill>
    <fill>
      <patternFill patternType="solid">
        <fgColor theme="8" tint="0.5998"/>
        <bgColor rgb="FFFFD546"/>
      </patternFill>
    </fill>
    <fill>
      <patternFill patternType="solid">
        <fgColor theme="4" tint="0.7998"/>
        <bgColor rgb="FFCCFFFF"/>
      </patternFill>
    </fill>
    <fill>
      <patternFill patternType="solid">
        <fgColor theme="5" tint="0.7998"/>
        <bgColor rgb="FFCCFFFF"/>
      </patternFill>
    </fill>
    <fill>
      <patternFill patternType="solid">
        <fgColor theme="9" tint="0.7998"/>
        <bgColor rgb="FFFFF1C1"/>
      </patternFill>
    </fill>
    <fill>
      <patternFill patternType="solid">
        <fgColor theme="9" tint="0.5998"/>
        <bgColor rgb="FFFF808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1"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4" fillId="2" borderId="0" xfId="0" applyFont="true" applyBorder="false" applyAlignment="true" applyProtection="false">
      <alignment horizontal="left" vertical="bottom" textRotation="0" wrapText="false" indent="1" shrinkToFit="false"/>
      <protection locked="true" hidden="false"/>
    </xf>
    <xf numFmtId="166" fontId="0" fillId="3" borderId="0" xfId="0" applyFont="false" applyBorder="false" applyAlignment="true" applyProtection="false">
      <alignment horizontal="general" vertical="bottom" textRotation="0" wrapText="false" indent="0" shrinkToFit="false"/>
      <protection locked="true" hidden="false"/>
    </xf>
    <xf numFmtId="166" fontId="0" fillId="4" borderId="0" xfId="0" applyFont="false" applyBorder="false" applyAlignment="true" applyProtection="false">
      <alignment horizontal="general" vertical="bottom" textRotation="0" wrapText="false" indent="0" shrinkToFit="false"/>
      <protection locked="true" hidden="false"/>
    </xf>
    <xf numFmtId="166" fontId="0" fillId="5" borderId="0" xfId="0" applyFont="false" applyBorder="false" applyAlignment="true" applyProtection="false">
      <alignment horizontal="general" vertical="bottom" textRotation="0" wrapText="false" indent="0" shrinkToFit="false"/>
      <protection locked="true" hidden="false"/>
    </xf>
    <xf numFmtId="166" fontId="0" fillId="6" borderId="0" xfId="0" applyFont="false" applyBorder="false" applyAlignment="true" applyProtection="false">
      <alignment horizontal="general" vertical="bottom" textRotation="0" wrapText="false" indent="0" shrinkToFit="false"/>
      <protection locked="true" hidden="false"/>
    </xf>
    <xf numFmtId="166" fontId="0" fillId="7" borderId="0" xfId="0" applyFont="false" applyBorder="false" applyAlignment="true" applyProtection="false">
      <alignment horizontal="general" vertical="bottom" textRotation="0" wrapText="false" indent="0" shrinkToFit="false"/>
      <protection locked="true" hidden="false"/>
    </xf>
    <xf numFmtId="166" fontId="0" fillId="8"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7" fontId="0" fillId="0" borderId="0" xfId="0" applyFont="false" applyBorder="false" applyAlignment="true" applyProtection="false">
      <alignment horizontal="center" vertical="bottom" textRotation="0" wrapText="false" indent="0" shrinkToFit="false"/>
      <protection locked="true" hidden="false"/>
    </xf>
    <xf numFmtId="168" fontId="0" fillId="0" borderId="0" xfId="0" applyFont="false" applyBorder="false" applyAlignment="true" applyProtection="false">
      <alignment horizontal="center" vertical="bottom" textRotation="0" wrapText="false" indent="0" shrinkToFit="false"/>
      <protection locked="true" hidden="false"/>
    </xf>
    <xf numFmtId="169"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1" shrinkToFit="false"/>
      <protection locked="true" hidden="false"/>
    </xf>
    <xf numFmtId="167" fontId="4" fillId="0" borderId="0" xfId="0" applyFont="true" applyBorder="false" applyAlignment="true" applyProtection="false">
      <alignment horizontal="center" vertical="bottom" textRotation="0" wrapText="false" indent="0" shrinkToFit="false"/>
      <protection locked="true" hidden="false"/>
    </xf>
    <xf numFmtId="168" fontId="4" fillId="0" borderId="0" xfId="0" applyFont="true" applyBorder="false" applyAlignment="true" applyProtection="false">
      <alignment horizontal="center" vertical="bottom" textRotation="0" wrapText="false" indent="0" shrinkToFit="false"/>
      <protection locked="true" hidden="false"/>
    </xf>
    <xf numFmtId="169" fontId="4" fillId="0" borderId="0" xfId="0" applyFont="true" applyBorder="false" applyAlignment="true" applyProtection="false">
      <alignment horizontal="left" vertical="bottom" textRotation="0" wrapText="false" indent="1"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FFD546"/>
          <bgColor rgb="FF000000"/>
        </patternFill>
      </fill>
    </dxf>
    <dxf>
      <fill>
        <patternFill patternType="solid">
          <fgColor rgb="FFFFF1C1"/>
          <bgColor rgb="FF000000"/>
        </patternFill>
      </fill>
    </dxf>
    <dxf>
      <fill>
        <patternFill patternType="solid">
          <bgColor rgb="FF000000"/>
        </patternFill>
      </fill>
    </dxf>
    <dxf>
      <fill>
        <patternFill patternType="solid">
          <fgColor rgb="FF000000"/>
          <bgColor rgb="FF000000"/>
        </patternFill>
      </fill>
    </dxf>
    <dxf>
      <border diagonalUp="false" diagonalDown="false">
        <left/>
        <right/>
        <top/>
        <bottom style="thin"/>
        <diagonal/>
      </border>
    </dxf>
    <dxf>
      <fill>
        <patternFill>
          <bgColor theme="8" tint="0.7998"/>
        </patternFill>
      </fill>
    </dxf>
    <dxf>
      <fill>
        <patternFill>
          <bgColor theme="8" tint="0.3998"/>
        </patternFill>
      </fill>
    </dxf>
    <dxf>
      <fill>
        <patternFill>
          <bgColor theme="5" tint="0.7998"/>
        </patternFill>
      </fill>
    </dxf>
    <dxf>
      <fill>
        <patternFill>
          <bgColor theme="9" tint="0.5998"/>
        </patternFill>
      </fill>
    </dxf>
    <dxf>
      <fill>
        <patternFill>
          <bgColor theme="9" tint="0.7998"/>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1C1"/>
      <rgbColor rgb="FFBBE6F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4FEBB"/>
      <rgbColor rgb="FFFFE383"/>
      <rgbColor rgb="FF99CCFF"/>
      <rgbColor rgb="FFF09F9E"/>
      <rgbColor rgb="FFCC99FF"/>
      <rgbColor rgb="FFF8CFCE"/>
      <rgbColor rgb="FF3366FF"/>
      <rgbColor rgb="FF33CCCC"/>
      <rgbColor rgb="FF99CC00"/>
      <rgbColor rgb="FFFFD546"/>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11.5703125" defaultRowHeight="12.75" customHeight="false" zeroHeight="false" outlineLevelRow="0" outlineLevelCol="0"/>
  <cols>
    <col collapsed="false" customWidth="true" hidden="false" outlineLevel="0" max="1" min="1" style="1" width="43.14"/>
    <col collapsed="false" customWidth="true" hidden="false" outlineLevel="0" max="2" min="2" style="2" width="35.14"/>
    <col collapsed="false" customWidth="true" hidden="false" outlineLevel="0" max="3" min="3" style="1" width="23"/>
    <col collapsed="false" customWidth="true" hidden="false" outlineLevel="0" max="4" min="4" style="3" width="29.71"/>
    <col collapsed="false" customWidth="true" hidden="false" outlineLevel="0" max="5" min="5" style="4" width="15.85"/>
    <col collapsed="false" customWidth="true" hidden="false" outlineLevel="0" max="6" min="6" style="1" width="18.71"/>
    <col collapsed="false" customWidth="true" hidden="false" outlineLevel="0" max="7" min="7" style="3" width="32.86"/>
    <col collapsed="false" customWidth="true" hidden="false" outlineLevel="0" max="8" min="8" style="4" width="15.85"/>
    <col collapsed="false" customWidth="true" hidden="false" outlineLevel="0" max="9" min="9" style="1" width="17.57"/>
  </cols>
  <sheetData>
    <row r="1" customFormat="false" ht="31.5" hidden="false" customHeight="true" outlineLevel="0" collapsed="false">
      <c r="A1" s="5" t="s">
        <v>0</v>
      </c>
      <c r="B1" s="5" t="s">
        <v>1</v>
      </c>
      <c r="C1" s="5" t="s">
        <v>2</v>
      </c>
      <c r="D1" s="5" t="s">
        <v>3</v>
      </c>
      <c r="E1" s="5" t="s">
        <v>4</v>
      </c>
      <c r="G1" s="5" t="s">
        <v>5</v>
      </c>
    </row>
    <row r="2" customFormat="false" ht="12.75" hidden="false" customHeight="true" outlineLevel="0" collapsed="false">
      <c r="A2" s="6" t="s">
        <v>6</v>
      </c>
      <c r="B2" s="2" t="n">
        <v>46023</v>
      </c>
      <c r="C2" s="1" t="s">
        <v>7</v>
      </c>
      <c r="E2" s="7"/>
      <c r="F2" s="1" t="s">
        <v>8</v>
      </c>
    </row>
    <row r="3" customFormat="false" ht="12.75" hidden="false" customHeight="true" outlineLevel="0" collapsed="false">
      <c r="A3" s="6" t="s">
        <v>6</v>
      </c>
      <c r="B3" s="2" t="n">
        <v>46066</v>
      </c>
      <c r="C3" s="1" t="s">
        <v>9</v>
      </c>
      <c r="D3" s="3" t="s">
        <v>10</v>
      </c>
      <c r="E3" s="8"/>
      <c r="F3" s="1" t="s">
        <v>11</v>
      </c>
    </row>
    <row r="4" customFormat="false" ht="12.75" hidden="false" customHeight="true" outlineLevel="0" collapsed="false">
      <c r="A4" s="6" t="s">
        <v>6</v>
      </c>
      <c r="B4" s="2" t="n">
        <v>46069</v>
      </c>
      <c r="C4" s="1" t="s">
        <v>12</v>
      </c>
      <c r="D4" s="3" t="s">
        <v>13</v>
      </c>
      <c r="E4" s="9"/>
      <c r="F4" s="1" t="s">
        <v>14</v>
      </c>
    </row>
    <row r="5" customFormat="false" ht="12.75" hidden="false" customHeight="true" outlineLevel="0" collapsed="false">
      <c r="A5" s="6" t="s">
        <v>6</v>
      </c>
      <c r="B5" s="2" t="n">
        <v>46070</v>
      </c>
      <c r="C5" s="1" t="s">
        <v>15</v>
      </c>
      <c r="D5" s="3" t="s">
        <v>16</v>
      </c>
      <c r="E5" s="10"/>
      <c r="F5" s="1" t="s">
        <v>17</v>
      </c>
    </row>
    <row r="6" customFormat="false" ht="12.75" hidden="false" customHeight="true" outlineLevel="0" collapsed="false">
      <c r="A6" s="6" t="s">
        <v>6</v>
      </c>
      <c r="B6" s="2" t="n">
        <v>46115</v>
      </c>
      <c r="C6" s="1" t="s">
        <v>18</v>
      </c>
      <c r="D6" s="3" t="s">
        <v>19</v>
      </c>
      <c r="E6" s="11"/>
      <c r="F6" s="1" t="s">
        <v>20</v>
      </c>
      <c r="G6" s="3" t="s">
        <v>21</v>
      </c>
    </row>
    <row r="7" customFormat="false" ht="12.75" hidden="false" customHeight="true" outlineLevel="0" collapsed="false">
      <c r="A7" s="6" t="s">
        <v>6</v>
      </c>
      <c r="B7" s="2" t="n">
        <v>46143</v>
      </c>
      <c r="C7" s="1" t="s">
        <v>22</v>
      </c>
      <c r="D7" s="3" t="s">
        <v>23</v>
      </c>
      <c r="E7" s="12"/>
      <c r="F7" s="1" t="s">
        <v>24</v>
      </c>
      <c r="G7" s="3" t="s">
        <v>25</v>
      </c>
    </row>
    <row r="8" customFormat="false" ht="12.75" hidden="false" customHeight="true" outlineLevel="0" collapsed="false">
      <c r="A8" s="6" t="s">
        <v>6</v>
      </c>
      <c r="B8" s="2" t="n">
        <v>46167</v>
      </c>
      <c r="C8" s="1" t="s">
        <v>26</v>
      </c>
      <c r="D8" s="3" t="s">
        <v>27</v>
      </c>
    </row>
    <row r="9" customFormat="false" ht="12.75" hidden="false" customHeight="true" outlineLevel="0" collapsed="false">
      <c r="A9" s="6" t="s">
        <v>6</v>
      </c>
      <c r="B9" s="2" t="n">
        <v>46244</v>
      </c>
      <c r="C9" s="1" t="s">
        <v>28</v>
      </c>
      <c r="D9" s="3" t="s">
        <v>29</v>
      </c>
    </row>
    <row r="10" customFormat="false" ht="12.75" hidden="false" customHeight="true" outlineLevel="0" collapsed="false">
      <c r="A10" s="6" t="s">
        <v>6</v>
      </c>
      <c r="B10" s="2" t="n">
        <v>46304</v>
      </c>
      <c r="C10" s="1" t="s">
        <v>30</v>
      </c>
      <c r="D10" s="3" t="s">
        <v>31</v>
      </c>
    </row>
    <row r="11" customFormat="false" ht="12.75" hidden="false" customHeight="true" outlineLevel="0" collapsed="false">
      <c r="A11" s="6" t="s">
        <v>6</v>
      </c>
      <c r="B11" s="2" t="n">
        <v>46328</v>
      </c>
      <c r="C11" s="1" t="s">
        <v>32</v>
      </c>
      <c r="D11" s="3" t="s">
        <v>33</v>
      </c>
    </row>
    <row r="12" customFormat="false" ht="12.75" hidden="false" customHeight="true" outlineLevel="0" collapsed="false">
      <c r="A12" s="6" t="s">
        <v>6</v>
      </c>
      <c r="B12" s="2" t="n">
        <v>46329</v>
      </c>
      <c r="C12" s="1" t="s">
        <v>34</v>
      </c>
      <c r="D12" s="3" t="s">
        <v>35</v>
      </c>
    </row>
    <row r="13" customFormat="false" ht="12.75" hidden="false" customHeight="true" outlineLevel="0" collapsed="false">
      <c r="A13" s="6" t="s">
        <v>6</v>
      </c>
      <c r="B13" s="2" t="n">
        <v>46335</v>
      </c>
      <c r="C13" s="1" t="s">
        <v>36</v>
      </c>
      <c r="D13" s="3" t="s">
        <v>37</v>
      </c>
    </row>
    <row r="14" customFormat="false" ht="12.75" hidden="false" customHeight="true" outlineLevel="0" collapsed="false">
      <c r="A14" s="6" t="s">
        <v>6</v>
      </c>
      <c r="B14" s="2" t="n">
        <v>46381</v>
      </c>
      <c r="C14" s="1" t="s">
        <v>38</v>
      </c>
      <c r="D14" s="3" t="s">
        <v>39</v>
      </c>
    </row>
    <row r="15" customFormat="false" ht="12.75" hidden="false" customHeight="true" outlineLevel="0" collapsed="false">
      <c r="A15" s="6" t="s">
        <v>40</v>
      </c>
      <c r="B15" s="2" t="n">
        <v>46300</v>
      </c>
      <c r="C15" s="1" t="s">
        <v>41</v>
      </c>
      <c r="D15" s="3" t="s">
        <v>42</v>
      </c>
    </row>
    <row r="16" customFormat="false" ht="12.75" hidden="false" customHeight="true" outlineLevel="0" collapsed="false">
      <c r="A16" s="6" t="s">
        <v>43</v>
      </c>
      <c r="B16" s="2" t="n">
        <v>46300</v>
      </c>
      <c r="C16" s="1" t="s">
        <v>41</v>
      </c>
      <c r="D16" s="3" t="s">
        <v>44</v>
      </c>
    </row>
    <row r="17" customFormat="false" ht="12.75" hidden="false" customHeight="true" outlineLevel="0" collapsed="false">
      <c r="A17" s="6" t="s">
        <v>45</v>
      </c>
      <c r="B17" s="2" t="n">
        <v>46300</v>
      </c>
      <c r="C17" s="1" t="s">
        <v>41</v>
      </c>
    </row>
    <row r="18" customFormat="false" ht="12.75" hidden="false" customHeight="true" outlineLevel="0" collapsed="false">
      <c r="A18" s="6" t="s">
        <v>46</v>
      </c>
      <c r="B18" s="2" t="n">
        <v>46300</v>
      </c>
      <c r="C18" s="1" t="s">
        <v>41</v>
      </c>
    </row>
    <row r="19" customFormat="false" ht="12.75" hidden="false" customHeight="true" outlineLevel="0" collapsed="false">
      <c r="A19" s="6" t="s">
        <v>47</v>
      </c>
      <c r="B19" s="2" t="n">
        <v>46031</v>
      </c>
      <c r="C19" s="1" t="s">
        <v>41</v>
      </c>
    </row>
    <row r="20" customFormat="false" ht="12.75" hidden="false" customHeight="true" outlineLevel="0" collapsed="false">
      <c r="A20" s="6" t="s">
        <v>48</v>
      </c>
      <c r="B20" s="2" t="n">
        <v>46080</v>
      </c>
      <c r="C20" s="1" t="s">
        <v>41</v>
      </c>
    </row>
    <row r="21" customFormat="false" ht="12.75" hidden="false" customHeight="true" outlineLevel="0" collapsed="false">
      <c r="A21" s="6" t="s">
        <v>49</v>
      </c>
      <c r="B21" s="2" t="n">
        <v>46080</v>
      </c>
      <c r="C21" s="1" t="s">
        <v>41</v>
      </c>
    </row>
    <row r="22" customFormat="false" ht="12.75" hidden="false" customHeight="true" outlineLevel="0" collapsed="false">
      <c r="A22" s="6" t="s">
        <v>50</v>
      </c>
      <c r="B22" s="2" t="n">
        <v>46080</v>
      </c>
      <c r="C22" s="1" t="s">
        <v>41</v>
      </c>
    </row>
    <row r="23" customFormat="false" ht="12.75" hidden="false" customHeight="true" outlineLevel="0" collapsed="false">
      <c r="A23" s="6" t="s">
        <v>51</v>
      </c>
      <c r="B23" s="2" t="n">
        <v>46319</v>
      </c>
      <c r="C23" s="1" t="s">
        <v>41</v>
      </c>
    </row>
    <row r="24" customFormat="false" ht="12.75" hidden="false" customHeight="true" outlineLevel="0" collapsed="false">
      <c r="A24" s="6" t="s">
        <v>52</v>
      </c>
      <c r="B24" s="2" t="n">
        <v>46353</v>
      </c>
      <c r="C24" s="1" t="s">
        <v>41</v>
      </c>
    </row>
    <row r="25" customFormat="false" ht="12.75" hidden="false" customHeight="true" outlineLevel="0" collapsed="false">
      <c r="A25" s="6" t="s">
        <v>53</v>
      </c>
      <c r="B25" s="2" t="n">
        <v>46065</v>
      </c>
      <c r="C25" s="1" t="s">
        <v>41</v>
      </c>
    </row>
    <row r="26" customFormat="false" ht="12.75" hidden="false" customHeight="true" outlineLevel="0" collapsed="false">
      <c r="A26" s="6" t="s">
        <v>54</v>
      </c>
      <c r="B26" s="2" t="n">
        <v>46065</v>
      </c>
      <c r="C26" s="1" t="s">
        <v>41</v>
      </c>
    </row>
    <row r="27" customFormat="false" ht="12.75" hidden="false" customHeight="true" outlineLevel="0" collapsed="false">
      <c r="A27" s="6" t="s">
        <v>55</v>
      </c>
      <c r="B27" s="2" t="n">
        <v>46251</v>
      </c>
      <c r="C27" s="1" t="s">
        <v>56</v>
      </c>
    </row>
    <row r="28" customFormat="false" ht="12.75" hidden="false" customHeight="true" outlineLevel="0" collapsed="false">
      <c r="A28" s="6" t="s">
        <v>57</v>
      </c>
      <c r="B28" s="2" t="n">
        <v>46251</v>
      </c>
      <c r="C28" s="1" t="s">
        <v>56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 &amp;A</oddHeader>
    <oddFooter>&amp;C&amp;"Times New Roman,Regular"&amp;12 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48576"/>
  <sheetViews>
    <sheetView showFormulas="false" showGridLines="true" showRowColHeaders="true" showZeros="true" rightToLeft="false" tabSelected="true" showOutlineSymbols="true" defaultGridColor="true" view="normal" topLeftCell="B27" colorId="64" zoomScale="80" zoomScaleNormal="80" zoomScalePageLayoutView="100" workbookViewId="0">
      <selection pane="topLeft" activeCell="M44" activeCellId="0" sqref="M44"/>
    </sheetView>
  </sheetViews>
  <sheetFormatPr defaultColWidth="11.5703125" defaultRowHeight="12.75" customHeight="false" zeroHeight="false" outlineLevelRow="0" outlineLevelCol="0"/>
  <cols>
    <col collapsed="false" customWidth="true" hidden="false" outlineLevel="0" max="1" min="1" style="1" width="31.57"/>
    <col collapsed="false" customWidth="true" hidden="false" outlineLevel="0" max="2" min="2" style="1" width="39.71"/>
    <col collapsed="false" customWidth="true" hidden="false" outlineLevel="0" max="3" min="3" style="13" width="14.42"/>
    <col collapsed="false" customWidth="true" hidden="false" outlineLevel="0" max="4" min="4" style="14" width="16.57"/>
    <col collapsed="false" customWidth="true" hidden="false" outlineLevel="0" max="5" min="5" style="15" width="14.57"/>
    <col collapsed="false" customWidth="true" hidden="false" outlineLevel="0" max="6" min="6" style="15" width="13.42"/>
    <col collapsed="false" customWidth="true" hidden="false" outlineLevel="0" max="7" min="7" style="16" width="19.71"/>
    <col collapsed="false" customWidth="true" hidden="false" outlineLevel="0" max="8" min="8" style="17" width="170.29"/>
    <col collapsed="false" customWidth="true" hidden="false" outlineLevel="0" max="9" min="9" style="1" width="38"/>
    <col collapsed="false" customWidth="true" hidden="false" outlineLevel="0" max="10" min="10" style="1" width="7.42"/>
    <col collapsed="false" customWidth="true" hidden="false" outlineLevel="0" max="12" min="11" style="1" width="10.14"/>
    <col collapsed="false" customWidth="true" hidden="false" outlineLevel="0" max="13" min="13" style="1" width="55.86"/>
  </cols>
  <sheetData>
    <row r="1" customFormat="false" ht="12.75" hidden="false" customHeight="true" outlineLevel="0" collapsed="false">
      <c r="A1" s="3" t="s">
        <v>58</v>
      </c>
      <c r="B1" s="3" t="s">
        <v>59</v>
      </c>
      <c r="C1" s="18" t="s">
        <v>60</v>
      </c>
      <c r="D1" s="19" t="s">
        <v>1</v>
      </c>
      <c r="E1" s="20" t="s">
        <v>61</v>
      </c>
      <c r="F1" s="20" t="s">
        <v>62</v>
      </c>
      <c r="G1" s="21" t="s">
        <v>63</v>
      </c>
      <c r="H1" s="3" t="s">
        <v>64</v>
      </c>
      <c r="I1" s="3" t="s">
        <v>65</v>
      </c>
      <c r="J1" s="3" t="s">
        <v>66</v>
      </c>
      <c r="K1" s="3" t="s">
        <v>67</v>
      </c>
      <c r="L1" s="3" t="s">
        <v>68</v>
      </c>
      <c r="M1" s="3" t="s">
        <v>69</v>
      </c>
    </row>
    <row r="2" customFormat="false" ht="24.25" hidden="false" customHeight="true" outlineLevel="0" collapsed="false">
      <c r="A2" s="1" t="s">
        <v>40</v>
      </c>
      <c r="B2" s="1" t="s">
        <v>70</v>
      </c>
      <c r="C2" s="13" t="s">
        <v>71</v>
      </c>
      <c r="D2" s="14" t="n">
        <v>46104</v>
      </c>
      <c r="E2" s="15" t="n">
        <v>0.708333333333333</v>
      </c>
      <c r="F2" s="15" t="n">
        <v>0.907638888888889</v>
      </c>
      <c r="G2" s="16" t="n">
        <f aca="false">F2-E2</f>
        <v>0.199305555555556</v>
      </c>
      <c r="H2" s="17" t="s">
        <v>72</v>
      </c>
      <c r="I2" s="1" t="s">
        <v>73</v>
      </c>
      <c r="J2" s="1" t="n">
        <v>173271</v>
      </c>
      <c r="K2" s="1" t="s">
        <v>74</v>
      </c>
      <c r="L2" s="1" t="n">
        <v>5</v>
      </c>
      <c r="M2" s="1" t="s">
        <v>75</v>
      </c>
    </row>
    <row r="3" customFormat="false" ht="12.75" hidden="false" customHeight="true" outlineLevel="0" collapsed="false">
      <c r="A3" s="1" t="s">
        <v>40</v>
      </c>
      <c r="B3" s="1" t="s">
        <v>76</v>
      </c>
      <c r="C3" s="13" t="s">
        <v>77</v>
      </c>
      <c r="D3" s="14" t="n">
        <v>46105</v>
      </c>
      <c r="E3" s="15" t="n">
        <v>0.708333333333333</v>
      </c>
      <c r="F3" s="15" t="n">
        <v>0.945138888888889</v>
      </c>
      <c r="G3" s="16" t="n">
        <f aca="false">F3-E3</f>
        <v>0.236805555555556</v>
      </c>
      <c r="H3" s="22" t="s">
        <v>78</v>
      </c>
      <c r="I3" s="1" t="s">
        <v>73</v>
      </c>
      <c r="J3" s="1" t="n">
        <v>173348</v>
      </c>
      <c r="K3" s="1" t="s">
        <v>79</v>
      </c>
      <c r="L3" s="1" t="n">
        <v>10</v>
      </c>
      <c r="M3" s="1" t="s">
        <v>80</v>
      </c>
    </row>
    <row r="4" customFormat="false" ht="12.75" hidden="false" customHeight="true" outlineLevel="0" collapsed="false">
      <c r="A4" s="1" t="s">
        <v>40</v>
      </c>
      <c r="B4" s="1" t="s">
        <v>70</v>
      </c>
      <c r="C4" s="13" t="s">
        <v>81</v>
      </c>
      <c r="D4" s="14" t="n">
        <v>46106</v>
      </c>
      <c r="E4" s="15" t="n">
        <v>0.708333333333333</v>
      </c>
      <c r="F4" s="15" t="n">
        <v>0.810416666666667</v>
      </c>
      <c r="G4" s="16" t="n">
        <f aca="false">F4-E4</f>
        <v>0.102083333333333</v>
      </c>
      <c r="H4" s="22" t="s">
        <v>82</v>
      </c>
      <c r="I4" s="1" t="s">
        <v>83</v>
      </c>
      <c r="J4" s="1" t="n">
        <v>173441</v>
      </c>
      <c r="K4" s="1" t="s">
        <v>84</v>
      </c>
      <c r="L4" s="1" t="n">
        <v>3</v>
      </c>
      <c r="M4" s="1" t="s">
        <v>85</v>
      </c>
    </row>
    <row r="5" customFormat="false" ht="34.5" hidden="false" customHeight="true" outlineLevel="0" collapsed="false">
      <c r="A5" s="1" t="s">
        <v>40</v>
      </c>
      <c r="B5" s="1" t="s">
        <v>70</v>
      </c>
      <c r="C5" s="13" t="s">
        <v>86</v>
      </c>
      <c r="D5" s="14" t="n">
        <v>46107</v>
      </c>
      <c r="E5" s="15" t="n">
        <v>0.871527777777778</v>
      </c>
      <c r="F5" s="15" t="n">
        <v>0.98125</v>
      </c>
      <c r="G5" s="16" t="n">
        <f aca="false">F5-E5</f>
        <v>0.109722222222222</v>
      </c>
      <c r="H5" s="23" t="s">
        <v>87</v>
      </c>
      <c r="I5" s="1" t="s">
        <v>73</v>
      </c>
      <c r="J5" s="1" t="n">
        <v>173504</v>
      </c>
      <c r="K5" s="1" t="s">
        <v>88</v>
      </c>
      <c r="L5" s="1" t="n">
        <v>3</v>
      </c>
      <c r="M5" s="1" t="s">
        <v>89</v>
      </c>
    </row>
    <row r="6" customFormat="false" ht="23.25" hidden="false" customHeight="true" outlineLevel="0" collapsed="false">
      <c r="A6" s="1" t="s">
        <v>43</v>
      </c>
      <c r="B6" s="1" t="s">
        <v>90</v>
      </c>
      <c r="C6" s="13" t="s">
        <v>77</v>
      </c>
      <c r="D6" s="14" t="n">
        <v>46105</v>
      </c>
      <c r="E6" s="15" t="n">
        <v>0.792361111111111</v>
      </c>
      <c r="F6" s="15" t="n">
        <v>0.920138888888889</v>
      </c>
      <c r="G6" s="16" t="n">
        <f aca="false">F6-E6</f>
        <v>0.127777777777778</v>
      </c>
      <c r="H6" s="23" t="s">
        <v>91</v>
      </c>
      <c r="I6" s="1" t="s">
        <v>92</v>
      </c>
      <c r="J6" s="1" t="n">
        <v>173347</v>
      </c>
      <c r="K6" s="1" t="s">
        <v>93</v>
      </c>
      <c r="L6" s="1" t="n">
        <v>1</v>
      </c>
      <c r="M6" s="1" t="s">
        <v>94</v>
      </c>
    </row>
    <row r="7" customFormat="false" ht="31.5" hidden="false" customHeight="true" outlineLevel="0" collapsed="false">
      <c r="A7" s="1" t="s">
        <v>43</v>
      </c>
      <c r="B7" s="1" t="s">
        <v>90</v>
      </c>
      <c r="C7" s="13" t="s">
        <v>86</v>
      </c>
      <c r="D7" s="14" t="n">
        <v>46107</v>
      </c>
      <c r="E7" s="15" t="n">
        <v>0.783333333333333</v>
      </c>
      <c r="F7" s="15" t="n">
        <v>0.91875</v>
      </c>
      <c r="G7" s="16" t="n">
        <f aca="false">F7-E7</f>
        <v>0.135416666666667</v>
      </c>
      <c r="H7" s="23" t="s">
        <v>95</v>
      </c>
      <c r="I7" s="1" t="s">
        <v>92</v>
      </c>
      <c r="J7" s="1" t="n">
        <v>173497</v>
      </c>
      <c r="K7" s="1" t="s">
        <v>96</v>
      </c>
      <c r="L7" s="1" t="n">
        <v>1</v>
      </c>
      <c r="M7" s="1" t="s">
        <v>97</v>
      </c>
    </row>
    <row r="8" customFormat="false" ht="34.5" hidden="false" customHeight="true" outlineLevel="0" collapsed="false">
      <c r="A8" s="1" t="s">
        <v>47</v>
      </c>
      <c r="B8" s="1" t="s">
        <v>98</v>
      </c>
      <c r="C8" s="13" t="s">
        <v>71</v>
      </c>
      <c r="D8" s="14" t="n">
        <v>46104</v>
      </c>
      <c r="E8" s="15" t="n">
        <v>0.708333333333333</v>
      </c>
      <c r="F8" s="15" t="n">
        <v>0.845833333333333</v>
      </c>
      <c r="G8" s="16" t="n">
        <f aca="false">F8-E8</f>
        <v>0.1375</v>
      </c>
      <c r="H8" s="24" t="s">
        <v>99</v>
      </c>
      <c r="I8" s="1" t="s">
        <v>83</v>
      </c>
      <c r="J8" s="1" t="n">
        <v>173374</v>
      </c>
      <c r="K8" s="1" t="s">
        <v>100</v>
      </c>
      <c r="L8" s="1" t="n">
        <v>5</v>
      </c>
      <c r="M8" s="1" t="s">
        <v>101</v>
      </c>
    </row>
    <row r="9" customFormat="false" ht="12.75" hidden="false" customHeight="true" outlineLevel="0" collapsed="false">
      <c r="A9" s="1" t="s">
        <v>47</v>
      </c>
      <c r="B9" s="1" t="s">
        <v>102</v>
      </c>
      <c r="C9" s="13" t="s">
        <v>86</v>
      </c>
      <c r="D9" s="14" t="n">
        <v>46107</v>
      </c>
      <c r="E9" s="15" t="n">
        <v>0.708333333333333</v>
      </c>
      <c r="F9" s="15" t="n">
        <v>0.775694444444445</v>
      </c>
      <c r="G9" s="16" t="n">
        <f aca="false">F9-E9</f>
        <v>0.0673611111111111</v>
      </c>
      <c r="H9" s="22" t="s">
        <v>103</v>
      </c>
      <c r="I9" s="1" t="s">
        <v>73</v>
      </c>
      <c r="J9" s="1" t="n">
        <v>173588</v>
      </c>
      <c r="K9" s="1" t="s">
        <v>104</v>
      </c>
      <c r="L9" s="1" t="n">
        <v>1</v>
      </c>
      <c r="M9" s="1" t="s">
        <v>105</v>
      </c>
    </row>
    <row r="10" customFormat="false" ht="68.05" hidden="false" customHeight="true" outlineLevel="0" collapsed="false">
      <c r="A10" s="1" t="s">
        <v>47</v>
      </c>
      <c r="B10" s="1" t="s">
        <v>106</v>
      </c>
      <c r="C10" s="13" t="s">
        <v>8</v>
      </c>
      <c r="D10" s="14" t="n">
        <v>46109</v>
      </c>
      <c r="E10" s="15" t="n">
        <v>0.486111111111111</v>
      </c>
      <c r="F10" s="15" t="n">
        <v>0.690972222222222</v>
      </c>
      <c r="G10" s="16" t="n">
        <f aca="false">F10-E10</f>
        <v>0.204861111111111</v>
      </c>
      <c r="H10" s="23" t="s">
        <v>107</v>
      </c>
      <c r="I10" s="1" t="s">
        <v>73</v>
      </c>
      <c r="J10" s="1" t="n">
        <v>173627</v>
      </c>
      <c r="K10" s="1" t="s">
        <v>108</v>
      </c>
      <c r="L10" s="1" t="n">
        <v>6</v>
      </c>
      <c r="M10" s="1" t="s">
        <v>109</v>
      </c>
    </row>
    <row r="11" customFormat="false" ht="30" hidden="false" customHeight="true" outlineLevel="0" collapsed="false">
      <c r="A11" s="1" t="s">
        <v>47</v>
      </c>
      <c r="B11" s="1" t="s">
        <v>98</v>
      </c>
      <c r="C11" s="13" t="s">
        <v>71</v>
      </c>
      <c r="D11" s="14" t="n">
        <v>46111</v>
      </c>
      <c r="E11" s="15" t="n">
        <v>0.708333333333333</v>
      </c>
      <c r="F11" s="15" t="n">
        <v>0.75</v>
      </c>
      <c r="G11" s="16" t="n">
        <f aca="false">F11-E11</f>
        <v>0.0416666666666667</v>
      </c>
      <c r="H11" s="23" t="s">
        <v>110</v>
      </c>
      <c r="I11" s="1" t="s">
        <v>73</v>
      </c>
      <c r="J11" s="1" t="n">
        <v>173676</v>
      </c>
      <c r="K11" s="1" t="s">
        <v>111</v>
      </c>
      <c r="L11" s="1" t="n">
        <v>3</v>
      </c>
      <c r="M11" s="1" t="s">
        <v>112</v>
      </c>
    </row>
    <row r="12" customFormat="false" ht="23.25" hidden="false" customHeight="true" outlineLevel="0" collapsed="false">
      <c r="A12" s="1" t="s">
        <v>47</v>
      </c>
      <c r="B12" s="1" t="s">
        <v>113</v>
      </c>
      <c r="C12" s="13" t="s">
        <v>71</v>
      </c>
      <c r="D12" s="14" t="n">
        <v>46111</v>
      </c>
      <c r="E12" s="15" t="n">
        <v>0.861111111111111</v>
      </c>
      <c r="F12" s="15" t="n">
        <v>0.916666666666667</v>
      </c>
      <c r="G12" s="16" t="n">
        <f aca="false">F12-E12</f>
        <v>0.0555555555555556</v>
      </c>
      <c r="H12" s="23" t="s">
        <v>114</v>
      </c>
      <c r="I12" s="1" t="s">
        <v>73</v>
      </c>
      <c r="J12" s="1" t="n">
        <v>173676</v>
      </c>
      <c r="K12" s="1" t="s">
        <v>115</v>
      </c>
      <c r="L12" s="1" t="n">
        <v>2</v>
      </c>
      <c r="M12" s="1" t="s">
        <v>112</v>
      </c>
    </row>
    <row r="13" customFormat="false" ht="12.75" hidden="false" customHeight="true" outlineLevel="0" collapsed="false">
      <c r="A13" s="1" t="s">
        <v>48</v>
      </c>
      <c r="B13" s="1" t="s">
        <v>116</v>
      </c>
      <c r="C13" s="13" t="s">
        <v>71</v>
      </c>
      <c r="D13" s="14" t="n">
        <v>46104</v>
      </c>
      <c r="E13" s="15" t="n">
        <v>0.708333333333333</v>
      </c>
      <c r="F13" s="15" t="n">
        <v>0.777777777777778</v>
      </c>
      <c r="G13" s="16" t="n">
        <f aca="false">F13-E13</f>
        <v>0.0694444444444445</v>
      </c>
      <c r="H13" s="22" t="s">
        <v>117</v>
      </c>
      <c r="I13" s="1" t="s">
        <v>83</v>
      </c>
      <c r="J13" s="1" t="n">
        <v>173338</v>
      </c>
      <c r="K13" s="1" t="s">
        <v>118</v>
      </c>
      <c r="L13" s="1" t="n">
        <v>3</v>
      </c>
      <c r="M13" s="1" t="s">
        <v>119</v>
      </c>
    </row>
    <row r="14" customFormat="false" ht="12.75" hidden="false" customHeight="true" outlineLevel="0" collapsed="false">
      <c r="A14" s="1" t="s">
        <v>48</v>
      </c>
      <c r="B14" s="1" t="s">
        <v>120</v>
      </c>
      <c r="C14" s="13" t="s">
        <v>77</v>
      </c>
      <c r="D14" s="14" t="n">
        <v>46105</v>
      </c>
      <c r="E14" s="15" t="n">
        <v>0.708333333333333</v>
      </c>
      <c r="F14" s="15" t="n">
        <v>0.75</v>
      </c>
      <c r="G14" s="16" t="n">
        <f aca="false">F14-E14</f>
        <v>0.0416666666666667</v>
      </c>
      <c r="H14" s="22" t="s">
        <v>121</v>
      </c>
      <c r="I14" s="1" t="s">
        <v>73</v>
      </c>
      <c r="J14" s="1" t="n">
        <v>173362</v>
      </c>
      <c r="K14" s="1" t="s">
        <v>122</v>
      </c>
      <c r="L14" s="1" t="n">
        <v>2</v>
      </c>
      <c r="M14" s="1" t="s">
        <v>123</v>
      </c>
    </row>
    <row r="15" customFormat="false" ht="12.75" hidden="false" customHeight="true" outlineLevel="0" collapsed="false">
      <c r="A15" s="1" t="s">
        <v>48</v>
      </c>
      <c r="B15" s="1" t="s">
        <v>116</v>
      </c>
      <c r="C15" s="13" t="s">
        <v>77</v>
      </c>
      <c r="D15" s="14" t="n">
        <v>46105</v>
      </c>
      <c r="E15" s="15" t="n">
        <v>0.860416666666667</v>
      </c>
      <c r="F15" s="15" t="n">
        <v>0.882638888888889</v>
      </c>
      <c r="G15" s="16" t="n">
        <f aca="false">F15-E15</f>
        <v>0.0222222222222222</v>
      </c>
      <c r="H15" s="22" t="s">
        <v>124</v>
      </c>
      <c r="I15" s="1" t="s">
        <v>73</v>
      </c>
      <c r="J15" s="1" t="n">
        <v>173598</v>
      </c>
      <c r="K15" s="1" t="s">
        <v>118</v>
      </c>
      <c r="L15" s="1" t="n">
        <v>3</v>
      </c>
      <c r="M15" s="1" t="s">
        <v>125</v>
      </c>
    </row>
    <row r="16" customFormat="false" ht="13.05" hidden="false" customHeight="false" outlineLevel="0" collapsed="false">
      <c r="A16" s="1" t="s">
        <v>48</v>
      </c>
      <c r="B16" s="1" t="s">
        <v>126</v>
      </c>
      <c r="C16" s="13" t="s">
        <v>81</v>
      </c>
      <c r="D16" s="14" t="n">
        <v>46106</v>
      </c>
      <c r="E16" s="15" t="n">
        <v>0.708333333333333</v>
      </c>
      <c r="F16" s="15" t="n">
        <v>0.770833333333333</v>
      </c>
      <c r="G16" s="16" t="n">
        <f aca="false">F16-E16</f>
        <v>0.0625</v>
      </c>
      <c r="H16" s="23" t="s">
        <v>127</v>
      </c>
      <c r="I16" s="1" t="s">
        <v>73</v>
      </c>
      <c r="J16" s="1" t="n">
        <v>173409</v>
      </c>
      <c r="K16" s="1" t="s">
        <v>128</v>
      </c>
      <c r="L16" s="1" t="n">
        <v>2</v>
      </c>
      <c r="M16" s="1" t="s">
        <v>129</v>
      </c>
    </row>
    <row r="17" customFormat="false" ht="23.25" hidden="false" customHeight="true" outlineLevel="0" collapsed="false">
      <c r="A17" s="1" t="s">
        <v>48</v>
      </c>
      <c r="B17" s="1" t="s">
        <v>130</v>
      </c>
      <c r="C17" s="13" t="s">
        <v>86</v>
      </c>
      <c r="D17" s="14" t="n">
        <v>46107</v>
      </c>
      <c r="E17" s="15" t="n">
        <v>0.708333333333333</v>
      </c>
      <c r="F17" s="15" t="n">
        <v>0.809722222222222</v>
      </c>
      <c r="G17" s="16" t="n">
        <f aca="false">F17-E17</f>
        <v>0.101388888888889</v>
      </c>
      <c r="H17" s="23" t="s">
        <v>131</v>
      </c>
      <c r="I17" s="1" t="s">
        <v>73</v>
      </c>
      <c r="J17" s="1" t="n">
        <v>173753</v>
      </c>
      <c r="K17" s="1" t="s">
        <v>132</v>
      </c>
      <c r="L17" s="1" t="n">
        <v>3</v>
      </c>
      <c r="M17" s="1" t="s">
        <v>133</v>
      </c>
    </row>
    <row r="18" customFormat="false" ht="35.4" hidden="false" customHeight="false" outlineLevel="0" collapsed="false">
      <c r="A18" s="1" t="s">
        <v>48</v>
      </c>
      <c r="B18" s="1" t="s">
        <v>130</v>
      </c>
      <c r="C18" s="13" t="s">
        <v>134</v>
      </c>
      <c r="D18" s="14" t="n">
        <v>46108</v>
      </c>
      <c r="E18" s="15" t="n">
        <v>0.708333333333333</v>
      </c>
      <c r="F18" s="15" t="n">
        <v>0.799305555555556</v>
      </c>
      <c r="G18" s="16" t="n">
        <f aca="false">F18-E18</f>
        <v>0.0909722222222222</v>
      </c>
      <c r="H18" s="23" t="s">
        <v>135</v>
      </c>
      <c r="I18" s="1" t="s">
        <v>73</v>
      </c>
      <c r="J18" s="1" t="n">
        <v>173756</v>
      </c>
      <c r="K18" s="1" t="s">
        <v>136</v>
      </c>
      <c r="L18" s="1" t="n">
        <v>7</v>
      </c>
      <c r="M18" s="1" t="s">
        <v>137</v>
      </c>
    </row>
    <row r="19" customFormat="false" ht="46.6" hidden="false" customHeight="false" outlineLevel="0" collapsed="false">
      <c r="A19" s="1" t="s">
        <v>48</v>
      </c>
      <c r="B19" s="1" t="s">
        <v>130</v>
      </c>
      <c r="C19" s="13" t="s">
        <v>8</v>
      </c>
      <c r="D19" s="14" t="n">
        <v>46109</v>
      </c>
      <c r="E19" s="15" t="n">
        <v>0.333333333333333</v>
      </c>
      <c r="F19" s="15" t="n">
        <v>0.541666666666667</v>
      </c>
      <c r="G19" s="16" t="n">
        <f aca="false">F19-E19</f>
        <v>0.208333333333333</v>
      </c>
      <c r="H19" s="23" t="s">
        <v>138</v>
      </c>
      <c r="I19" s="1" t="s">
        <v>139</v>
      </c>
      <c r="J19" s="1" t="n">
        <v>173773</v>
      </c>
      <c r="K19" s="1" t="s">
        <v>140</v>
      </c>
      <c r="L19" s="1" t="n">
        <v>12</v>
      </c>
      <c r="M19" s="1" t="s">
        <v>141</v>
      </c>
    </row>
    <row r="20" customFormat="false" ht="23.25" hidden="false" customHeight="true" outlineLevel="0" collapsed="false">
      <c r="A20" s="1" t="s">
        <v>48</v>
      </c>
      <c r="B20" s="1" t="s">
        <v>130</v>
      </c>
      <c r="C20" s="13" t="s">
        <v>8</v>
      </c>
      <c r="D20" s="14" t="n">
        <v>46109</v>
      </c>
      <c r="E20" s="15" t="n">
        <v>0.583333333333333</v>
      </c>
      <c r="F20" s="15" t="n">
        <v>0.720833333333333</v>
      </c>
      <c r="G20" s="16" t="n">
        <f aca="false">F20-E20</f>
        <v>0.1375</v>
      </c>
      <c r="H20" s="23" t="s">
        <v>142</v>
      </c>
      <c r="I20" s="1" t="s">
        <v>143</v>
      </c>
      <c r="J20" s="1" t="n">
        <v>173773</v>
      </c>
      <c r="K20" s="1" t="s">
        <v>140</v>
      </c>
      <c r="L20" s="1" t="n">
        <v>12</v>
      </c>
      <c r="M20" s="1" t="s">
        <v>141</v>
      </c>
    </row>
    <row r="21" customFormat="false" ht="35.4" hidden="false" customHeight="false" outlineLevel="0" collapsed="false">
      <c r="A21" s="1" t="s">
        <v>48</v>
      </c>
      <c r="B21" s="1" t="s">
        <v>130</v>
      </c>
      <c r="C21" s="13" t="s">
        <v>11</v>
      </c>
      <c r="D21" s="14" t="n">
        <v>46110</v>
      </c>
      <c r="E21" s="15" t="n">
        <v>0.333333333333333</v>
      </c>
      <c r="F21" s="15" t="n">
        <v>0.541666666666667</v>
      </c>
      <c r="G21" s="16" t="n">
        <f aca="false">F21-E21</f>
        <v>0.208333333333333</v>
      </c>
      <c r="H21" s="23" t="s">
        <v>144</v>
      </c>
      <c r="I21" s="1" t="s">
        <v>73</v>
      </c>
      <c r="J21" s="1" t="n">
        <v>173865</v>
      </c>
      <c r="K21" s="1" t="s">
        <v>145</v>
      </c>
      <c r="L21" s="1" t="n">
        <v>11</v>
      </c>
      <c r="M21" s="1" t="s">
        <v>146</v>
      </c>
    </row>
    <row r="22" customFormat="false" ht="35.4" hidden="false" customHeight="false" outlineLevel="0" collapsed="false">
      <c r="A22" s="1" t="s">
        <v>48</v>
      </c>
      <c r="B22" s="1" t="s">
        <v>130</v>
      </c>
      <c r="C22" s="13" t="s">
        <v>11</v>
      </c>
      <c r="D22" s="14" t="n">
        <v>46110</v>
      </c>
      <c r="E22" s="15" t="n">
        <v>0.583333333333333</v>
      </c>
      <c r="F22" s="15" t="n">
        <v>0.804861111111111</v>
      </c>
      <c r="G22" s="16" t="n">
        <f aca="false">F22-E22</f>
        <v>0.221527777777778</v>
      </c>
      <c r="H22" s="23" t="s">
        <v>147</v>
      </c>
      <c r="I22" s="1" t="s">
        <v>73</v>
      </c>
      <c r="J22" s="1" t="n">
        <v>173865</v>
      </c>
      <c r="K22" s="1" t="s">
        <v>145</v>
      </c>
      <c r="L22" s="1" t="n">
        <v>11</v>
      </c>
      <c r="M22" s="1" t="s">
        <v>146</v>
      </c>
    </row>
    <row r="23" customFormat="false" ht="35.4" hidden="false" customHeight="false" outlineLevel="0" collapsed="false">
      <c r="A23" s="1" t="s">
        <v>48</v>
      </c>
      <c r="B23" s="1" t="s">
        <v>130</v>
      </c>
      <c r="C23" s="13" t="s">
        <v>11</v>
      </c>
      <c r="D23" s="14" t="n">
        <v>46110</v>
      </c>
      <c r="E23" s="15" t="n">
        <v>0.842361111111111</v>
      </c>
      <c r="F23" s="15" t="n">
        <v>0.979861111111111</v>
      </c>
      <c r="G23" s="16" t="n">
        <f aca="false">F23-E23</f>
        <v>0.1375</v>
      </c>
      <c r="H23" s="23" t="s">
        <v>148</v>
      </c>
      <c r="I23" s="1" t="s">
        <v>73</v>
      </c>
      <c r="J23" s="1" t="n">
        <v>173865</v>
      </c>
      <c r="K23" s="1" t="s">
        <v>149</v>
      </c>
      <c r="L23" s="1" t="n">
        <v>5</v>
      </c>
      <c r="M23" s="1" t="s">
        <v>146</v>
      </c>
    </row>
    <row r="24" customFormat="false" ht="23.25" hidden="false" customHeight="true" outlineLevel="0" collapsed="false">
      <c r="A24" s="1" t="s">
        <v>49</v>
      </c>
      <c r="B24" s="1" t="s">
        <v>150</v>
      </c>
      <c r="C24" s="13" t="s">
        <v>71</v>
      </c>
      <c r="D24" s="14" t="n">
        <v>46104</v>
      </c>
      <c r="E24" s="15" t="n">
        <v>0.708333333333333</v>
      </c>
      <c r="F24" s="15" t="n">
        <v>0.75</v>
      </c>
      <c r="G24" s="16" t="n">
        <f aca="false">F24-E24</f>
        <v>0.0416666666666667</v>
      </c>
      <c r="H24" s="24" t="s">
        <v>151</v>
      </c>
      <c r="I24" s="1" t="s">
        <v>152</v>
      </c>
      <c r="J24" s="1" t="n">
        <v>173230</v>
      </c>
      <c r="K24" s="1" t="s">
        <v>153</v>
      </c>
      <c r="L24" s="1" t="n">
        <v>1</v>
      </c>
      <c r="M24" s="1" t="s">
        <v>154</v>
      </c>
    </row>
    <row r="25" customFormat="false" ht="23.25" hidden="false" customHeight="true" outlineLevel="0" collapsed="false">
      <c r="A25" s="1" t="s">
        <v>49</v>
      </c>
      <c r="B25" s="1" t="s">
        <v>150</v>
      </c>
      <c r="C25" s="13" t="s">
        <v>77</v>
      </c>
      <c r="D25" s="14" t="n">
        <v>46105</v>
      </c>
      <c r="E25" s="15" t="n">
        <v>0.708333333333333</v>
      </c>
      <c r="F25" s="15" t="n">
        <v>0.75</v>
      </c>
      <c r="G25" s="16" t="n">
        <f aca="false">F25-E25</f>
        <v>0.0416666666666667</v>
      </c>
      <c r="H25" s="24" t="s">
        <v>155</v>
      </c>
      <c r="I25" s="1" t="s">
        <v>73</v>
      </c>
      <c r="J25" s="1" t="n">
        <v>173326</v>
      </c>
      <c r="K25" s="1" t="s">
        <v>156</v>
      </c>
      <c r="L25" s="1" t="n">
        <v>2</v>
      </c>
      <c r="M25" s="1" t="s">
        <v>157</v>
      </c>
    </row>
    <row r="26" customFormat="false" ht="12.75" hidden="false" customHeight="true" outlineLevel="0" collapsed="false">
      <c r="A26" s="1" t="s">
        <v>49</v>
      </c>
      <c r="B26" s="1" t="s">
        <v>150</v>
      </c>
      <c r="C26" s="13" t="s">
        <v>81</v>
      </c>
      <c r="D26" s="14" t="n">
        <v>46106</v>
      </c>
      <c r="E26" s="15" t="n">
        <v>0.708333333333333</v>
      </c>
      <c r="F26" s="15" t="n">
        <v>0.8125</v>
      </c>
      <c r="G26" s="16" t="n">
        <f aca="false">F26-E26</f>
        <v>0.104166666666667</v>
      </c>
      <c r="H26" s="24" t="s">
        <v>158</v>
      </c>
      <c r="I26" s="1" t="s">
        <v>73</v>
      </c>
      <c r="J26" s="1" t="n">
        <v>173404</v>
      </c>
      <c r="K26" s="1" t="s">
        <v>159</v>
      </c>
      <c r="L26" s="1" t="n">
        <v>3</v>
      </c>
      <c r="M26" s="1" t="s">
        <v>160</v>
      </c>
    </row>
    <row r="27" customFormat="false" ht="12.75" hidden="false" customHeight="true" outlineLevel="0" collapsed="false">
      <c r="A27" s="1" t="s">
        <v>49</v>
      </c>
      <c r="B27" s="1" t="s">
        <v>150</v>
      </c>
      <c r="C27" s="13" t="s">
        <v>86</v>
      </c>
      <c r="D27" s="14" t="n">
        <v>46107</v>
      </c>
      <c r="E27" s="15" t="n">
        <v>0.708333333333333</v>
      </c>
      <c r="F27" s="15" t="n">
        <v>0.791666666666667</v>
      </c>
      <c r="G27" s="16" t="n">
        <f aca="false">F27-E27</f>
        <v>0.0833333333333333</v>
      </c>
      <c r="H27" s="24" t="s">
        <v>161</v>
      </c>
      <c r="I27" s="1" t="s">
        <v>73</v>
      </c>
      <c r="J27" s="1" t="n">
        <v>173476</v>
      </c>
      <c r="K27" s="1" t="s">
        <v>162</v>
      </c>
      <c r="L27" s="1" t="n">
        <v>2</v>
      </c>
      <c r="M27" s="1" t="s">
        <v>163</v>
      </c>
    </row>
    <row r="28" customFormat="false" ht="12.75" hidden="false" customHeight="true" outlineLevel="0" collapsed="false">
      <c r="A28" s="1" t="s">
        <v>51</v>
      </c>
      <c r="B28" s="1" t="s">
        <v>164</v>
      </c>
      <c r="C28" s="13" t="s">
        <v>81</v>
      </c>
      <c r="D28" s="14" t="n">
        <v>46106</v>
      </c>
      <c r="E28" s="15" t="n">
        <v>0.708333333333333</v>
      </c>
      <c r="F28" s="15" t="n">
        <v>0.75</v>
      </c>
      <c r="G28" s="16" t="n">
        <f aca="false">F28-E28</f>
        <v>0.0416666666666667</v>
      </c>
      <c r="H28" s="22" t="s">
        <v>165</v>
      </c>
      <c r="I28" s="1" t="s">
        <v>73</v>
      </c>
      <c r="J28" s="1" t="n">
        <v>173422</v>
      </c>
      <c r="K28" s="1" t="s">
        <v>166</v>
      </c>
      <c r="L28" s="1" t="n">
        <v>2</v>
      </c>
      <c r="M28" s="1" t="s">
        <v>167</v>
      </c>
    </row>
    <row r="29" customFormat="false" ht="12.75" hidden="false" customHeight="true" outlineLevel="0" collapsed="false">
      <c r="A29" s="1" t="s">
        <v>51</v>
      </c>
      <c r="B29" s="1" t="s">
        <v>168</v>
      </c>
      <c r="C29" s="13" t="s">
        <v>8</v>
      </c>
      <c r="D29" s="14" t="n">
        <v>46109</v>
      </c>
      <c r="E29" s="15" t="n">
        <v>0.470138888888889</v>
      </c>
      <c r="F29" s="15" t="n">
        <v>0.501388888888889</v>
      </c>
      <c r="G29" s="16" t="n">
        <f aca="false">F29-E29</f>
        <v>0.03125</v>
      </c>
      <c r="H29" s="22" t="s">
        <v>169</v>
      </c>
      <c r="I29" s="1" t="s">
        <v>73</v>
      </c>
      <c r="J29" s="1" t="n">
        <v>173740</v>
      </c>
      <c r="K29" s="1" t="s">
        <v>118</v>
      </c>
      <c r="L29" s="1" t="n">
        <v>3</v>
      </c>
      <c r="M29" s="1" t="s">
        <v>170</v>
      </c>
    </row>
    <row r="30" customFormat="false" ht="12.75" hidden="false" customHeight="true" outlineLevel="0" collapsed="false">
      <c r="A30" s="1" t="s">
        <v>52</v>
      </c>
      <c r="B30" s="1" t="s">
        <v>171</v>
      </c>
      <c r="C30" s="13" t="s">
        <v>77</v>
      </c>
      <c r="D30" s="14" t="n">
        <v>46105</v>
      </c>
      <c r="E30" s="15" t="n">
        <v>0.254166666666667</v>
      </c>
      <c r="F30" s="15" t="n">
        <v>0.354166666666667</v>
      </c>
      <c r="G30" s="16" t="n">
        <f aca="false">F30-E30</f>
        <v>0.1</v>
      </c>
      <c r="H30" s="22" t="s">
        <v>172</v>
      </c>
      <c r="I30" s="1" t="s">
        <v>73</v>
      </c>
      <c r="J30" s="1" t="n">
        <v>173340</v>
      </c>
      <c r="K30" s="1" t="s">
        <v>173</v>
      </c>
      <c r="L30" s="1" t="n">
        <v>2</v>
      </c>
      <c r="M30" s="1" t="s">
        <v>174</v>
      </c>
    </row>
    <row r="31" customFormat="false" ht="24.25" hidden="false" customHeight="true" outlineLevel="0" collapsed="false">
      <c r="A31" s="1" t="s">
        <v>52</v>
      </c>
      <c r="B31" s="1" t="s">
        <v>171</v>
      </c>
      <c r="C31" s="13" t="s">
        <v>77</v>
      </c>
      <c r="D31" s="14" t="n">
        <v>46105</v>
      </c>
      <c r="E31" s="15" t="n">
        <v>0.708333333333333</v>
      </c>
      <c r="F31" s="15" t="n">
        <v>0.864583333333333</v>
      </c>
      <c r="G31" s="16" t="n">
        <f aca="false">F31-E31</f>
        <v>0.15625</v>
      </c>
      <c r="H31" s="23" t="s">
        <v>175</v>
      </c>
      <c r="I31" s="1" t="s">
        <v>73</v>
      </c>
      <c r="J31" s="1" t="n">
        <v>173340</v>
      </c>
      <c r="K31" s="1" t="s">
        <v>176</v>
      </c>
      <c r="L31" s="1" t="n">
        <v>1</v>
      </c>
      <c r="M31" s="1" t="s">
        <v>174</v>
      </c>
    </row>
    <row r="32" customFormat="false" ht="23.25" hidden="false" customHeight="true" outlineLevel="0" collapsed="false">
      <c r="A32" s="1" t="s">
        <v>52</v>
      </c>
      <c r="B32" s="1" t="s">
        <v>171</v>
      </c>
      <c r="C32" s="13" t="s">
        <v>77</v>
      </c>
      <c r="D32" s="14" t="n">
        <v>46105</v>
      </c>
      <c r="E32" s="15" t="n">
        <v>0.879166666666667</v>
      </c>
      <c r="F32" s="15" t="n">
        <v>0.929861111111111</v>
      </c>
      <c r="G32" s="16" t="n">
        <f aca="false">F32-E32</f>
        <v>0.0506944444444444</v>
      </c>
      <c r="H32" s="23" t="s">
        <v>177</v>
      </c>
      <c r="I32" s="1" t="s">
        <v>83</v>
      </c>
      <c r="J32" s="1" t="n">
        <v>173340</v>
      </c>
      <c r="K32" s="1" t="s">
        <v>178</v>
      </c>
      <c r="L32" s="1" t="n">
        <v>1</v>
      </c>
      <c r="M32" s="1" t="s">
        <v>174</v>
      </c>
    </row>
    <row r="33" customFormat="false" ht="12.75" hidden="false" customHeight="true" outlineLevel="0" collapsed="false">
      <c r="A33" s="1" t="s">
        <v>52</v>
      </c>
      <c r="B33" s="1" t="s">
        <v>171</v>
      </c>
      <c r="C33" s="13" t="s">
        <v>86</v>
      </c>
      <c r="D33" s="14" t="n">
        <v>46107</v>
      </c>
      <c r="E33" s="15" t="n">
        <v>0.291666666666667</v>
      </c>
      <c r="F33" s="15" t="n">
        <v>0.333333333333333</v>
      </c>
      <c r="G33" s="16" t="n">
        <f aca="false">F33-E33</f>
        <v>0.0416666666666667</v>
      </c>
      <c r="H33" s="22" t="s">
        <v>179</v>
      </c>
      <c r="I33" s="1" t="s">
        <v>73</v>
      </c>
      <c r="J33" s="1" t="n">
        <v>173484</v>
      </c>
      <c r="K33" s="1" t="s">
        <v>173</v>
      </c>
      <c r="L33" s="1" t="n">
        <v>2</v>
      </c>
      <c r="M33" s="1" t="s">
        <v>180</v>
      </c>
    </row>
    <row r="34" customFormat="false" ht="12.75" hidden="false" customHeight="true" outlineLevel="0" collapsed="false">
      <c r="A34" s="1" t="s">
        <v>52</v>
      </c>
      <c r="B34" s="1" t="s">
        <v>171</v>
      </c>
      <c r="C34" s="13" t="s">
        <v>86</v>
      </c>
      <c r="D34" s="14" t="n">
        <v>46107</v>
      </c>
      <c r="E34" s="15" t="n">
        <v>0.708333333333333</v>
      </c>
      <c r="F34" s="15" t="n">
        <v>0.754166666666667</v>
      </c>
      <c r="G34" s="16" t="n">
        <f aca="false">F34-E34</f>
        <v>0.0458333333333333</v>
      </c>
      <c r="H34" s="23" t="s">
        <v>181</v>
      </c>
      <c r="I34" s="1" t="s">
        <v>73</v>
      </c>
      <c r="J34" s="1" t="n">
        <v>173484</v>
      </c>
      <c r="K34" s="1" t="s">
        <v>182</v>
      </c>
      <c r="L34" s="1" t="n">
        <v>3</v>
      </c>
      <c r="M34" s="1" t="s">
        <v>180</v>
      </c>
    </row>
    <row r="35" customFormat="false" ht="12.75" hidden="false" customHeight="true" outlineLevel="0" collapsed="false">
      <c r="A35" s="1" t="s">
        <v>52</v>
      </c>
      <c r="B35" s="1" t="s">
        <v>171</v>
      </c>
      <c r="C35" s="13" t="s">
        <v>134</v>
      </c>
      <c r="D35" s="14" t="n">
        <v>46108</v>
      </c>
      <c r="E35" s="15" t="n">
        <v>0.708333333333333</v>
      </c>
      <c r="F35" s="15" t="n">
        <v>0.873611111111111</v>
      </c>
      <c r="G35" s="16" t="n">
        <f aca="false">F35-E35</f>
        <v>0.165277777777778</v>
      </c>
      <c r="H35" s="22" t="s">
        <v>183</v>
      </c>
      <c r="I35" s="1" t="s">
        <v>73</v>
      </c>
      <c r="J35" s="1" t="n">
        <v>173561</v>
      </c>
      <c r="K35" s="1" t="s">
        <v>184</v>
      </c>
      <c r="L35" s="1" t="n">
        <v>3</v>
      </c>
      <c r="M35" s="1" t="s">
        <v>185</v>
      </c>
    </row>
    <row r="36" customFormat="false" ht="24.25" hidden="false" customHeight="false" outlineLevel="0" collapsed="false">
      <c r="A36" s="1" t="s">
        <v>52</v>
      </c>
      <c r="B36" s="1" t="s">
        <v>171</v>
      </c>
      <c r="C36" s="13" t="s">
        <v>8</v>
      </c>
      <c r="D36" s="14" t="n">
        <v>46109</v>
      </c>
      <c r="E36" s="15" t="n">
        <v>0.358333333333333</v>
      </c>
      <c r="F36" s="15" t="n">
        <v>0.490277777777778</v>
      </c>
      <c r="G36" s="16" t="n">
        <f aca="false">F36-E36</f>
        <v>0.131944444444444</v>
      </c>
      <c r="H36" s="23" t="s">
        <v>186</v>
      </c>
      <c r="I36" s="1" t="s">
        <v>73</v>
      </c>
      <c r="J36" s="1" t="n">
        <v>173613</v>
      </c>
      <c r="K36" s="1" t="s">
        <v>187</v>
      </c>
      <c r="L36" s="1" t="n">
        <v>1</v>
      </c>
      <c r="M36" s="1" t="s">
        <v>188</v>
      </c>
    </row>
    <row r="37" customFormat="false" ht="23.25" hidden="false" customHeight="true" outlineLevel="0" collapsed="false">
      <c r="A37" s="1" t="s">
        <v>52</v>
      </c>
      <c r="B37" s="1" t="s">
        <v>171</v>
      </c>
      <c r="C37" s="13" t="s">
        <v>8</v>
      </c>
      <c r="D37" s="14" t="n">
        <v>46109</v>
      </c>
      <c r="E37" s="15" t="n">
        <v>0.6</v>
      </c>
      <c r="F37" s="15" t="n">
        <v>0.696527777777778</v>
      </c>
      <c r="G37" s="16" t="n">
        <f aca="false">F37-E37</f>
        <v>0.0965277777777778</v>
      </c>
      <c r="H37" s="23" t="s">
        <v>189</v>
      </c>
      <c r="I37" s="1" t="s">
        <v>73</v>
      </c>
      <c r="J37" s="1" t="n">
        <v>173613</v>
      </c>
      <c r="K37" s="1" t="s">
        <v>176</v>
      </c>
      <c r="L37" s="1" t="n">
        <v>1</v>
      </c>
      <c r="M37" s="1" t="s">
        <v>188</v>
      </c>
    </row>
    <row r="38" customFormat="false" ht="34.5" hidden="false" customHeight="true" outlineLevel="0" collapsed="false">
      <c r="A38" s="1" t="s">
        <v>52</v>
      </c>
      <c r="B38" s="1" t="s">
        <v>171</v>
      </c>
      <c r="C38" s="13" t="s">
        <v>77</v>
      </c>
      <c r="D38" s="14" t="n">
        <v>46112</v>
      </c>
      <c r="E38" s="15" t="n">
        <v>0.801388888888889</v>
      </c>
      <c r="F38" s="15" t="n">
        <v>0.852777777777778</v>
      </c>
      <c r="G38" s="16" t="n">
        <f aca="false">F38-E38</f>
        <v>0.0513888888888889</v>
      </c>
      <c r="H38" s="23" t="s">
        <v>190</v>
      </c>
      <c r="I38" s="1" t="s">
        <v>83</v>
      </c>
      <c r="J38" s="1" t="n">
        <v>173764</v>
      </c>
      <c r="K38" s="1" t="s">
        <v>191</v>
      </c>
      <c r="L38" s="1" t="n">
        <v>1</v>
      </c>
      <c r="M38" s="1" t="s">
        <v>192</v>
      </c>
    </row>
    <row r="39" customFormat="false" ht="22.35" hidden="false" customHeight="true" outlineLevel="0" collapsed="false">
      <c r="A39" s="1" t="s">
        <v>53</v>
      </c>
      <c r="B39" s="1" t="s">
        <v>193</v>
      </c>
      <c r="C39" s="13" t="s">
        <v>81</v>
      </c>
      <c r="D39" s="14" t="n">
        <v>46106</v>
      </c>
      <c r="E39" s="15" t="n">
        <v>0.708333333333333</v>
      </c>
      <c r="F39" s="15" t="n">
        <v>0.776388888888889</v>
      </c>
      <c r="G39" s="16" t="n">
        <f aca="false">F39-E39</f>
        <v>0.0680555555555556</v>
      </c>
      <c r="H39" s="23" t="s">
        <v>194</v>
      </c>
      <c r="I39" s="1" t="s">
        <v>73</v>
      </c>
      <c r="J39" s="1" t="n">
        <v>173419</v>
      </c>
      <c r="K39" s="1" t="s">
        <v>195</v>
      </c>
      <c r="L39" s="1" t="n">
        <v>3</v>
      </c>
      <c r="M39" s="1" t="s">
        <v>196</v>
      </c>
    </row>
    <row r="40" customFormat="false" ht="24.25" hidden="false" customHeight="false" outlineLevel="0" collapsed="false">
      <c r="A40" s="1" t="s">
        <v>53</v>
      </c>
      <c r="B40" s="1" t="s">
        <v>197</v>
      </c>
      <c r="C40" s="13" t="s">
        <v>134</v>
      </c>
      <c r="D40" s="14" t="n">
        <v>46108</v>
      </c>
      <c r="E40" s="15" t="n">
        <v>0.708333333333333</v>
      </c>
      <c r="F40" s="15" t="n">
        <v>0.826388888888889</v>
      </c>
      <c r="G40" s="16" t="n">
        <f aca="false">F40-E40</f>
        <v>0.118055555555556</v>
      </c>
      <c r="H40" s="23" t="s">
        <v>198</v>
      </c>
      <c r="I40" s="1" t="s">
        <v>73</v>
      </c>
      <c r="J40" s="1" t="n">
        <v>173611</v>
      </c>
      <c r="K40" s="1" t="s">
        <v>199</v>
      </c>
      <c r="L40" s="1" t="n">
        <v>1</v>
      </c>
      <c r="M40" s="1" t="s">
        <v>200</v>
      </c>
    </row>
    <row r="41" customFormat="false" ht="23.25" hidden="false" customHeight="true" outlineLevel="0" collapsed="false">
      <c r="A41" s="1" t="s">
        <v>53</v>
      </c>
      <c r="B41" s="1" t="s">
        <v>201</v>
      </c>
      <c r="C41" s="13" t="s">
        <v>8</v>
      </c>
      <c r="D41" s="14" t="n">
        <v>46109</v>
      </c>
      <c r="E41" s="15" t="n">
        <v>0.489583333333333</v>
      </c>
      <c r="F41" s="15" t="n">
        <v>0.645833333333333</v>
      </c>
      <c r="G41" s="16" t="n">
        <f aca="false">F41-E41</f>
        <v>0.15625</v>
      </c>
      <c r="H41" s="23" t="s">
        <v>202</v>
      </c>
      <c r="I41" s="1" t="s">
        <v>83</v>
      </c>
      <c r="J41" s="1" t="n">
        <v>173646</v>
      </c>
      <c r="K41" s="1" t="s">
        <v>203</v>
      </c>
      <c r="L41" s="1" t="n">
        <v>4</v>
      </c>
      <c r="M41" s="1" t="s">
        <v>204</v>
      </c>
    </row>
    <row r="42" customFormat="false" ht="35.4" hidden="false" customHeight="false" outlineLevel="0" collapsed="false">
      <c r="A42" s="1" t="s">
        <v>55</v>
      </c>
      <c r="B42" s="1" t="s">
        <v>205</v>
      </c>
      <c r="C42" s="13" t="s">
        <v>81</v>
      </c>
      <c r="D42" s="14" t="n">
        <v>46106</v>
      </c>
      <c r="E42" s="15" t="n">
        <v>0.8125</v>
      </c>
      <c r="F42" s="15" t="n">
        <v>0.879166666666667</v>
      </c>
      <c r="G42" s="16" t="n">
        <f aca="false">F42-E42</f>
        <v>0.0666666666666667</v>
      </c>
      <c r="H42" s="23" t="s">
        <v>206</v>
      </c>
      <c r="I42" s="1" t="s">
        <v>73</v>
      </c>
      <c r="J42" s="1" t="n">
        <v>173417</v>
      </c>
      <c r="K42" s="1" t="s">
        <v>207</v>
      </c>
      <c r="L42" s="1" t="n">
        <v>6</v>
      </c>
      <c r="M42" s="1" t="s">
        <v>208</v>
      </c>
    </row>
    <row r="43" customFormat="false" ht="12.75" hidden="false" customHeight="true" outlineLevel="0" collapsed="false">
      <c r="A43" s="1" t="s">
        <v>55</v>
      </c>
      <c r="B43" s="1" t="s">
        <v>209</v>
      </c>
      <c r="C43" s="13" t="s">
        <v>134</v>
      </c>
      <c r="D43" s="14" t="n">
        <v>46108</v>
      </c>
      <c r="E43" s="15" t="n">
        <v>0.799305555555556</v>
      </c>
      <c r="F43" s="15" t="n">
        <v>0.9</v>
      </c>
      <c r="G43" s="16" t="n">
        <f aca="false">F43-E43</f>
        <v>0.100694444444444</v>
      </c>
      <c r="H43" s="23" t="s">
        <v>210</v>
      </c>
      <c r="I43" s="1" t="s">
        <v>92</v>
      </c>
      <c r="J43" s="1" t="n">
        <v>173553</v>
      </c>
      <c r="K43" s="1" t="s">
        <v>211</v>
      </c>
      <c r="L43" s="1" t="n">
        <v>1</v>
      </c>
      <c r="M43" s="1" t="s">
        <v>212</v>
      </c>
    </row>
    <row r="44" customFormat="false" ht="46.6" hidden="false" customHeight="false" outlineLevel="0" collapsed="false">
      <c r="A44" s="1" t="s">
        <v>55</v>
      </c>
      <c r="B44" s="1" t="s">
        <v>209</v>
      </c>
      <c r="C44" s="13" t="s">
        <v>8</v>
      </c>
      <c r="D44" s="14" t="n">
        <v>46109</v>
      </c>
      <c r="E44" s="15" t="n">
        <v>0.382638888888889</v>
      </c>
      <c r="F44" s="15" t="n">
        <v>0.500694444444444</v>
      </c>
      <c r="G44" s="16" t="n">
        <f aca="false">F44-E44</f>
        <v>0.118055555555556</v>
      </c>
      <c r="H44" s="23" t="s">
        <v>213</v>
      </c>
      <c r="I44" s="1" t="s">
        <v>73</v>
      </c>
      <c r="J44" s="1" t="n">
        <v>173656</v>
      </c>
      <c r="K44" s="1" t="s">
        <v>214</v>
      </c>
      <c r="L44" s="1" t="n">
        <v>8</v>
      </c>
      <c r="M44" s="1" t="s">
        <v>215</v>
      </c>
    </row>
    <row r="45" customFormat="false" ht="46.6" hidden="false" customHeight="false" outlineLevel="0" collapsed="false">
      <c r="A45" s="1" t="s">
        <v>55</v>
      </c>
      <c r="B45" s="1" t="s">
        <v>209</v>
      </c>
      <c r="C45" s="13" t="s">
        <v>11</v>
      </c>
      <c r="D45" s="14" t="n">
        <v>46110</v>
      </c>
      <c r="E45" s="15" t="n">
        <v>0.361111111111111</v>
      </c>
      <c r="F45" s="15" t="n">
        <v>0.610416666666667</v>
      </c>
      <c r="G45" s="16" t="n">
        <f aca="false">F45-E45</f>
        <v>0.249305555555556</v>
      </c>
      <c r="H45" s="23" t="s">
        <v>216</v>
      </c>
      <c r="I45" s="1" t="s">
        <v>73</v>
      </c>
      <c r="J45" s="1" t="n">
        <v>173657</v>
      </c>
      <c r="K45" s="1" t="s">
        <v>217</v>
      </c>
      <c r="L45" s="1" t="n">
        <v>10</v>
      </c>
      <c r="M45" s="1" t="s">
        <v>218</v>
      </c>
    </row>
    <row r="46" customFormat="false" ht="12.75" hidden="false" customHeight="true" outlineLevel="0" collapsed="false">
      <c r="A46" s="1" t="s">
        <v>55</v>
      </c>
      <c r="B46" s="1" t="s">
        <v>209</v>
      </c>
      <c r="C46" s="13" t="s">
        <v>11</v>
      </c>
      <c r="D46" s="14" t="n">
        <v>46110</v>
      </c>
      <c r="E46" s="15" t="n">
        <v>0.802777777777778</v>
      </c>
      <c r="F46" s="15" t="n">
        <v>0.885416666666667</v>
      </c>
      <c r="G46" s="16" t="n">
        <f aca="false">F46-E46</f>
        <v>0.0826388888888889</v>
      </c>
      <c r="H46" s="23" t="s">
        <v>210</v>
      </c>
      <c r="I46" s="1" t="s">
        <v>92</v>
      </c>
      <c r="J46" s="1" t="n">
        <v>173657</v>
      </c>
      <c r="K46" s="1" t="s">
        <v>219</v>
      </c>
      <c r="L46" s="1" t="n">
        <v>1</v>
      </c>
      <c r="M46" s="1" t="s">
        <v>218</v>
      </c>
    </row>
    <row r="47" customFormat="false" ht="35.4" hidden="false" customHeight="false" outlineLevel="0" collapsed="false">
      <c r="A47" s="1" t="s">
        <v>50</v>
      </c>
      <c r="B47" s="1" t="s">
        <v>220</v>
      </c>
      <c r="C47" s="13" t="s">
        <v>71</v>
      </c>
      <c r="D47" s="14" t="n">
        <v>46111</v>
      </c>
      <c r="E47" s="15" t="n">
        <v>0.75</v>
      </c>
      <c r="F47" s="15" t="n">
        <v>0.868055555555556</v>
      </c>
      <c r="G47" s="16" t="n">
        <f aca="false">F47-E47</f>
        <v>0.118055555555556</v>
      </c>
      <c r="H47" s="23" t="s">
        <v>221</v>
      </c>
      <c r="I47" s="1" t="s">
        <v>83</v>
      </c>
      <c r="J47" s="1" t="n">
        <v>173735</v>
      </c>
      <c r="K47" s="1" t="s">
        <v>222</v>
      </c>
      <c r="L47" s="1" t="n">
        <v>7</v>
      </c>
      <c r="M47" s="1" t="s">
        <v>223</v>
      </c>
    </row>
    <row r="48" customFormat="false" ht="12.75" hidden="false" customHeight="true" outlineLevel="0" collapsed="false">
      <c r="A48" s="1" t="s">
        <v>50</v>
      </c>
      <c r="B48" s="1" t="s">
        <v>220</v>
      </c>
      <c r="C48" s="13" t="s">
        <v>71</v>
      </c>
      <c r="D48" s="14" t="n">
        <v>46111</v>
      </c>
      <c r="E48" s="15" t="n">
        <v>0.944444444444444</v>
      </c>
      <c r="F48" s="15" t="n">
        <v>0.993055555555556</v>
      </c>
      <c r="G48" s="16" t="n">
        <f aca="false">F48-E48</f>
        <v>0.0486111111111111</v>
      </c>
      <c r="H48" s="23" t="s">
        <v>224</v>
      </c>
      <c r="I48" s="1" t="s">
        <v>73</v>
      </c>
      <c r="J48" s="1" t="n">
        <v>173735</v>
      </c>
      <c r="K48" s="1" t="s">
        <v>225</v>
      </c>
      <c r="L48" s="1" t="n">
        <v>3</v>
      </c>
      <c r="M48" s="1" t="s">
        <v>223</v>
      </c>
    </row>
    <row r="49" customFormat="false" ht="12.75" hidden="false" customHeight="true" outlineLevel="0" collapsed="false">
      <c r="A49" s="1" t="s">
        <v>50</v>
      </c>
      <c r="B49" s="1" t="s">
        <v>226</v>
      </c>
      <c r="C49" s="13" t="s">
        <v>71</v>
      </c>
      <c r="D49" s="14" t="n">
        <v>46111</v>
      </c>
      <c r="E49" s="15" t="n">
        <v>0.708333333333333</v>
      </c>
      <c r="F49" s="15" t="n">
        <v>0.75</v>
      </c>
      <c r="G49" s="16" t="n">
        <f aca="false">F49-E49</f>
        <v>0.0416666666666667</v>
      </c>
      <c r="H49" s="22" t="s">
        <v>227</v>
      </c>
      <c r="I49" s="1" t="s">
        <v>83</v>
      </c>
      <c r="J49" s="1" t="n">
        <v>173697</v>
      </c>
      <c r="K49" s="1" t="s">
        <v>228</v>
      </c>
      <c r="L49" s="1" t="n">
        <v>2</v>
      </c>
      <c r="M49" s="1" t="s">
        <v>229</v>
      </c>
    </row>
    <row r="50" customFormat="false" ht="24.25" hidden="false" customHeight="false" outlineLevel="0" collapsed="false">
      <c r="A50" s="1" t="s">
        <v>50</v>
      </c>
      <c r="B50" s="1" t="s">
        <v>220</v>
      </c>
      <c r="C50" s="13" t="s">
        <v>77</v>
      </c>
      <c r="D50" s="14" t="n">
        <v>46112</v>
      </c>
      <c r="E50" s="15" t="n">
        <v>0.854166666666667</v>
      </c>
      <c r="F50" s="15" t="n">
        <v>0.979166666666667</v>
      </c>
      <c r="G50" s="16" t="n">
        <f aca="false">F50-E50</f>
        <v>0.125</v>
      </c>
      <c r="H50" s="23" t="s">
        <v>230</v>
      </c>
      <c r="I50" s="1" t="s">
        <v>73</v>
      </c>
      <c r="J50" s="1" t="n">
        <v>173858</v>
      </c>
      <c r="K50" s="1" t="s">
        <v>231</v>
      </c>
      <c r="L50" s="1" t="n">
        <v>6</v>
      </c>
      <c r="M50" s="1" t="s">
        <v>232</v>
      </c>
    </row>
    <row r="51" customFormat="false" ht="12.75" hidden="false" customHeight="true" outlineLevel="0" collapsed="false">
      <c r="A51" s="1" t="s">
        <v>54</v>
      </c>
      <c r="B51" s="1" t="s">
        <v>233</v>
      </c>
      <c r="C51" s="13" t="s">
        <v>71</v>
      </c>
      <c r="D51" s="14" t="n">
        <v>46104</v>
      </c>
      <c r="E51" s="15" t="n">
        <v>0.708333333333333</v>
      </c>
      <c r="F51" s="15" t="n">
        <v>0.771527777777778</v>
      </c>
      <c r="G51" s="16" t="n">
        <f aca="false">F51-E51</f>
        <v>0.0631944444444444</v>
      </c>
      <c r="H51" s="22" t="s">
        <v>234</v>
      </c>
      <c r="I51" s="1" t="s">
        <v>83</v>
      </c>
      <c r="J51" s="1" t="n">
        <v>173261</v>
      </c>
      <c r="K51" s="1" t="s">
        <v>228</v>
      </c>
      <c r="L51" s="1" t="n">
        <v>2</v>
      </c>
      <c r="M51" s="1" t="s">
        <v>235</v>
      </c>
    </row>
    <row r="52" customFormat="false" ht="12.75" hidden="false" customHeight="true" outlineLevel="0" collapsed="false">
      <c r="A52" s="1" t="s">
        <v>54</v>
      </c>
      <c r="B52" s="1" t="s">
        <v>233</v>
      </c>
      <c r="C52" s="13" t="s">
        <v>77</v>
      </c>
      <c r="D52" s="14" t="n">
        <v>46105</v>
      </c>
      <c r="E52" s="15" t="n">
        <v>0.863888888888889</v>
      </c>
      <c r="F52" s="15" t="n">
        <v>0.891666666666667</v>
      </c>
      <c r="G52" s="16" t="n">
        <f aca="false">F52-E52</f>
        <v>0.0277777777777778</v>
      </c>
      <c r="H52" s="22" t="s">
        <v>236</v>
      </c>
      <c r="I52" s="1" t="s">
        <v>73</v>
      </c>
      <c r="J52" s="1" t="n">
        <v>173345</v>
      </c>
      <c r="K52" s="1" t="s">
        <v>219</v>
      </c>
      <c r="L52" s="1" t="n">
        <v>1</v>
      </c>
      <c r="M52" s="1" t="s">
        <v>237</v>
      </c>
    </row>
    <row r="53" customFormat="false" ht="12.75" hidden="false" customHeight="true" outlineLevel="0" collapsed="false">
      <c r="A53" s="1" t="s">
        <v>54</v>
      </c>
      <c r="B53" s="1" t="s">
        <v>233</v>
      </c>
      <c r="C53" s="13" t="s">
        <v>134</v>
      </c>
      <c r="D53" s="14" t="n">
        <v>46108</v>
      </c>
      <c r="E53" s="15" t="n">
        <v>0.708333333333333</v>
      </c>
      <c r="F53" s="15" t="n">
        <v>0.826388888888889</v>
      </c>
      <c r="G53" s="16" t="n">
        <f aca="false">F53-E53</f>
        <v>0.118055555555556</v>
      </c>
      <c r="H53" s="25" t="s">
        <v>238</v>
      </c>
      <c r="I53" s="1" t="s">
        <v>73</v>
      </c>
      <c r="J53" s="1" t="n">
        <v>173547</v>
      </c>
      <c r="K53" s="1" t="s">
        <v>239</v>
      </c>
      <c r="L53" s="1" t="n">
        <v>2</v>
      </c>
      <c r="M53" s="1" t="s">
        <v>240</v>
      </c>
    </row>
    <row r="54" customFormat="false" ht="23.25" hidden="false" customHeight="true" outlineLevel="0" collapsed="false">
      <c r="H54" s="23"/>
    </row>
    <row r="55" customFormat="false" ht="23.25" hidden="false" customHeight="true" outlineLevel="0" collapsed="false">
      <c r="H55" s="23"/>
    </row>
    <row r="56" customFormat="false" ht="38.25" hidden="false" customHeight="true" outlineLevel="0" collapsed="false">
      <c r="H56" s="23"/>
    </row>
    <row r="57" customFormat="false" ht="23.25" hidden="false" customHeight="true" outlineLevel="0" collapsed="false">
      <c r="H57" s="23"/>
    </row>
    <row r="58" customFormat="false" ht="12.75" hidden="false" customHeight="true" outlineLevel="0" collapsed="false">
      <c r="H58" s="22"/>
    </row>
    <row r="59" customFormat="false" ht="12.75" hidden="false" customHeight="true" outlineLevel="0" collapsed="false">
      <c r="H59" s="22"/>
    </row>
    <row r="60" customFormat="false" ht="23.25" hidden="false" customHeight="true" outlineLevel="0" collapsed="false">
      <c r="H60" s="23"/>
    </row>
    <row r="61" customFormat="false" ht="23.25" hidden="false" customHeight="true" outlineLevel="0" collapsed="false">
      <c r="H61" s="23"/>
    </row>
    <row r="62" customFormat="false" ht="27" hidden="false" customHeight="true" outlineLevel="0" collapsed="false">
      <c r="H62" s="23"/>
    </row>
    <row r="63" customFormat="false" ht="23.25" hidden="false" customHeight="true" outlineLevel="0" collapsed="false">
      <c r="H63" s="23"/>
    </row>
    <row r="64" customFormat="false" ht="12.75" hidden="false" customHeight="true" outlineLevel="0" collapsed="false">
      <c r="H64" s="23"/>
    </row>
    <row r="65" customFormat="false" ht="12.75" hidden="false" customHeight="true" outlineLevel="0" collapsed="false">
      <c r="H65" s="22"/>
    </row>
    <row r="66" customFormat="false" ht="12.75" hidden="false" customHeight="true" outlineLevel="0" collapsed="false">
      <c r="H66" s="23"/>
    </row>
    <row r="67" customFormat="false" ht="23.25" hidden="false" customHeight="true" outlineLevel="0" collapsed="false">
      <c r="H67" s="23"/>
    </row>
    <row r="68" customFormat="false" ht="12.75" hidden="false" customHeight="true" outlineLevel="0" collapsed="false">
      <c r="H68" s="23"/>
    </row>
    <row r="69" customFormat="false" ht="12.75" hidden="false" customHeight="true" outlineLevel="0" collapsed="false">
      <c r="H69" s="22"/>
    </row>
    <row r="70" customFormat="false" ht="12.75" hidden="false" customHeight="true" outlineLevel="0" collapsed="false">
      <c r="H70" s="22"/>
    </row>
    <row r="71" customFormat="false" ht="12.75" hidden="false" customHeight="true" outlineLevel="0" collapsed="false">
      <c r="H71" s="22"/>
    </row>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c r="H89" s="22"/>
    </row>
    <row r="90" customFormat="false" ht="23.25" hidden="false" customHeight="true" outlineLevel="0" collapsed="false">
      <c r="H90" s="23"/>
    </row>
    <row r="91" customFormat="false" ht="12.75" hidden="false" customHeight="true" outlineLevel="0" collapsed="false"/>
    <row r="92" customFormat="false" ht="45.75" hidden="false" customHeight="true" outlineLevel="0" collapsed="false">
      <c r="H92" s="23"/>
    </row>
    <row r="93" customFormat="false" ht="23.25" hidden="false" customHeight="true" outlineLevel="0" collapsed="false">
      <c r="H93" s="23"/>
    </row>
    <row r="94" customFormat="false" ht="12.75" hidden="false" customHeight="true" outlineLevel="0" collapsed="false">
      <c r="H94" s="22"/>
    </row>
    <row r="95" customFormat="false" ht="12.75" hidden="false" customHeight="true" outlineLevel="0" collapsed="false">
      <c r="H95" s="22"/>
    </row>
    <row r="96" customFormat="false" ht="12.75" hidden="false" customHeight="true" outlineLevel="0" collapsed="false">
      <c r="H96" s="22"/>
    </row>
    <row r="97" customFormat="false" ht="23.25" hidden="false" customHeight="true" outlineLevel="0" collapsed="false">
      <c r="H97" s="23"/>
    </row>
    <row r="98" customFormat="false" ht="12.75" hidden="false" customHeight="true" outlineLevel="0" collapsed="false">
      <c r="H98" s="22"/>
    </row>
    <row r="99" customFormat="false" ht="12.75" hidden="false" customHeight="true" outlineLevel="0" collapsed="false">
      <c r="H99" s="22"/>
    </row>
    <row r="100" customFormat="false" ht="12.75" hidden="false" customHeight="true" outlineLevel="0" collapsed="false">
      <c r="H100" s="22"/>
    </row>
    <row r="101" customFormat="false" ht="12.75" hidden="false" customHeight="true" outlineLevel="0" collapsed="false">
      <c r="H101" s="22"/>
    </row>
    <row r="102" customFormat="false" ht="12.75" hidden="false" customHeight="true" outlineLevel="0" collapsed="false">
      <c r="H102" s="23"/>
    </row>
    <row r="103" customFormat="false" ht="12.75" hidden="false" customHeight="true" outlineLevel="0" collapsed="false">
      <c r="H103" s="22"/>
    </row>
    <row r="104" customFormat="false" ht="12.75" hidden="false" customHeight="true" outlineLevel="0" collapsed="false">
      <c r="H104" s="22"/>
    </row>
    <row r="105" customFormat="false" ht="23.25" hidden="false" customHeight="true" outlineLevel="0" collapsed="false">
      <c r="H105" s="23"/>
    </row>
    <row r="106" customFormat="false" ht="12.75" hidden="false" customHeight="true" outlineLevel="0" collapsed="false">
      <c r="H106" s="22"/>
    </row>
    <row r="107" customFormat="false" ht="23.25" hidden="false" customHeight="true" outlineLevel="0" collapsed="false">
      <c r="H107" s="23"/>
    </row>
    <row r="108" customFormat="false" ht="12.75" hidden="false" customHeight="true" outlineLevel="0" collapsed="false">
      <c r="H108" s="22"/>
    </row>
    <row r="109" customFormat="false" ht="23.25" hidden="false" customHeight="true" outlineLevel="0" collapsed="false">
      <c r="H109" s="23"/>
    </row>
    <row r="110" customFormat="false" ht="12.75" hidden="false" customHeight="true" outlineLevel="0" collapsed="false">
      <c r="H110" s="22"/>
    </row>
    <row r="111" customFormat="false" ht="23.25" hidden="false" customHeight="true" outlineLevel="0" collapsed="false">
      <c r="H111" s="23"/>
    </row>
    <row r="112" customFormat="false" ht="12.75" hidden="false" customHeight="true" outlineLevel="0" collapsed="false">
      <c r="H112" s="22"/>
    </row>
    <row r="113" customFormat="false" ht="12.75" hidden="false" customHeight="true" outlineLevel="0" collapsed="false">
      <c r="H113" s="22"/>
    </row>
    <row r="114" customFormat="false" ht="12.75" hidden="false" customHeight="true" outlineLevel="0" collapsed="false">
      <c r="H114" s="22"/>
    </row>
    <row r="115" customFormat="false" ht="57" hidden="false" customHeight="true" outlineLevel="0" collapsed="false">
      <c r="H115" s="23"/>
    </row>
    <row r="116" customFormat="false" ht="34.5" hidden="false" customHeight="true" outlineLevel="0" collapsed="false">
      <c r="H116" s="23"/>
    </row>
    <row r="117" customFormat="false" ht="12.75" hidden="false" customHeight="true" outlineLevel="0" collapsed="false">
      <c r="H117" s="22"/>
    </row>
    <row r="118" customFormat="false" ht="12.75" hidden="false" customHeight="true" outlineLevel="0" collapsed="false">
      <c r="H118" s="22"/>
    </row>
    <row r="119" customFormat="false" ht="23.25" hidden="false" customHeight="true" outlineLevel="0" collapsed="false">
      <c r="H119" s="23"/>
    </row>
    <row r="120" customFormat="false" ht="12.75" hidden="false" customHeight="true" outlineLevel="0" collapsed="false">
      <c r="H120" s="22"/>
    </row>
    <row r="121" customFormat="false" ht="23.25" hidden="false" customHeight="true" outlineLevel="0" collapsed="false">
      <c r="H121" s="23"/>
    </row>
    <row r="122" customFormat="false" ht="12.75" hidden="false" customHeight="true" outlineLevel="0" collapsed="false">
      <c r="H122" s="22"/>
    </row>
    <row r="123" customFormat="false" ht="12.75" hidden="false" customHeight="true" outlineLevel="0" collapsed="false">
      <c r="H123" s="23"/>
    </row>
    <row r="124" customFormat="false" ht="23.25" hidden="false" customHeight="true" outlineLevel="0" collapsed="false">
      <c r="H124" s="23"/>
    </row>
    <row r="125" customFormat="false" ht="12.75" hidden="false" customHeight="true" outlineLevel="0" collapsed="false">
      <c r="H125" s="22"/>
    </row>
    <row r="126" customFormat="false" ht="12.75" hidden="false" customHeight="true" outlineLevel="0" collapsed="false">
      <c r="H126" s="23"/>
    </row>
    <row r="127" customFormat="false" ht="12.75" hidden="false" customHeight="true" outlineLevel="0" collapsed="false">
      <c r="H127" s="22"/>
    </row>
    <row r="128" customFormat="false" ht="12.75" hidden="false" customHeight="true" outlineLevel="0" collapsed="false">
      <c r="H128" s="23"/>
    </row>
    <row r="129" customFormat="false" ht="23.25" hidden="false" customHeight="true" outlineLevel="0" collapsed="false">
      <c r="H129" s="23"/>
    </row>
    <row r="130" customFormat="false" ht="23.25" hidden="false" customHeight="true" outlineLevel="0" collapsed="false">
      <c r="H130" s="23"/>
    </row>
    <row r="131" customFormat="false" ht="12.75" hidden="false" customHeight="true" outlineLevel="0" collapsed="false">
      <c r="H131" s="23"/>
    </row>
    <row r="132" customFormat="false" ht="12.75" hidden="false" customHeight="true" outlineLevel="0" collapsed="false">
      <c r="H132" s="22"/>
    </row>
    <row r="133" customFormat="false" ht="12.75" hidden="false" customHeight="true" outlineLevel="0" collapsed="false">
      <c r="H133" s="22"/>
    </row>
    <row r="134" customFormat="false" ht="12.75" hidden="false" customHeight="true" outlineLevel="0" collapsed="false">
      <c r="H134" s="22"/>
    </row>
    <row r="135" customFormat="false" ht="34.5" hidden="false" customHeight="true" outlineLevel="0" collapsed="false">
      <c r="H135" s="23"/>
    </row>
    <row r="136" customFormat="false" ht="12.75" hidden="false" customHeight="true" outlineLevel="0" collapsed="false">
      <c r="H136" s="22"/>
    </row>
    <row r="137" customFormat="false" ht="12.75" hidden="false" customHeight="true" outlineLevel="0" collapsed="false">
      <c r="H137" s="22"/>
    </row>
    <row r="138" customFormat="false" ht="34.5" hidden="false" customHeight="true" outlineLevel="0" collapsed="false">
      <c r="H138" s="23"/>
    </row>
    <row r="139" customFormat="false" ht="12.75" hidden="false" customHeight="true" outlineLevel="0" collapsed="false">
      <c r="H139" s="23"/>
    </row>
    <row r="140" customFormat="false" ht="12.75" hidden="false" customHeight="true" outlineLevel="0" collapsed="false">
      <c r="H140" s="22"/>
    </row>
    <row r="141" customFormat="false" ht="23.25" hidden="false" customHeight="true" outlineLevel="0" collapsed="false">
      <c r="H141" s="23"/>
    </row>
    <row r="142" customFormat="false" ht="23.25" hidden="false" customHeight="true" outlineLevel="0" collapsed="false">
      <c r="H142" s="23"/>
    </row>
    <row r="143" customFormat="false" ht="12.75" hidden="false" customHeight="true" outlineLevel="0" collapsed="false">
      <c r="H143" s="22"/>
    </row>
    <row r="144" customFormat="false" ht="12.75" hidden="false" customHeight="true" outlineLevel="0" collapsed="false">
      <c r="H144" s="22"/>
    </row>
    <row r="145" customFormat="false" ht="12.75" hidden="false" customHeight="true" outlineLevel="0" collapsed="false"/>
    <row r="146" customFormat="false" ht="23.25" hidden="false" customHeight="true" outlineLevel="0" collapsed="false">
      <c r="H146" s="23"/>
    </row>
    <row r="147" customFormat="false" ht="12.75" hidden="false" customHeight="true" outlineLevel="0" collapsed="false">
      <c r="H147" s="23"/>
    </row>
    <row r="148" customFormat="false" ht="12.75" hidden="false" customHeight="true" outlineLevel="0" collapsed="false">
      <c r="H148" s="22"/>
    </row>
    <row r="149" customFormat="false" ht="23.25" hidden="false" customHeight="true" outlineLevel="0" collapsed="false">
      <c r="H149" s="23"/>
    </row>
    <row r="150" customFormat="false" ht="23.25" hidden="false" customHeight="true" outlineLevel="0" collapsed="false">
      <c r="H150" s="23"/>
    </row>
    <row r="151" customFormat="false" ht="12.75" hidden="false" customHeight="true" outlineLevel="0" collapsed="false">
      <c r="H151" s="22"/>
    </row>
    <row r="152" customFormat="false" ht="23.25" hidden="false" customHeight="true" outlineLevel="0" collapsed="false">
      <c r="H152" s="23"/>
    </row>
    <row r="153" customFormat="false" ht="12.75" hidden="false" customHeight="true" outlineLevel="0" collapsed="false">
      <c r="H153" s="22"/>
    </row>
    <row r="154" customFormat="false" ht="12.75" hidden="false" customHeight="true" outlineLevel="0" collapsed="false">
      <c r="H154" s="22"/>
    </row>
    <row r="155" customFormat="false" ht="12.75" hidden="false" customHeight="true" outlineLevel="0" collapsed="false">
      <c r="H155" s="22"/>
    </row>
    <row r="156" customFormat="false" ht="12.75" hidden="false" customHeight="true" outlineLevel="0" collapsed="false">
      <c r="H156" s="22"/>
    </row>
    <row r="157" customFormat="false" ht="23.25" hidden="false" customHeight="true" outlineLevel="0" collapsed="false">
      <c r="H157" s="23"/>
    </row>
    <row r="158" customFormat="false" ht="12.75" hidden="false" customHeight="true" outlineLevel="0" collapsed="false">
      <c r="H158" s="22"/>
    </row>
    <row r="159" customFormat="false" ht="23.25" hidden="false" customHeight="true" outlineLevel="0" collapsed="false">
      <c r="H159" s="23"/>
    </row>
    <row r="160" customFormat="false" ht="12.75" hidden="false" customHeight="true" outlineLevel="0" collapsed="false">
      <c r="H160" s="22"/>
    </row>
    <row r="161" customFormat="false" ht="12.75" hidden="false" customHeight="true" outlineLevel="0" collapsed="false">
      <c r="H161" s="22"/>
    </row>
    <row r="162" customFormat="false" ht="45.75" hidden="false" customHeight="true" outlineLevel="0" collapsed="false">
      <c r="H162" s="23"/>
    </row>
    <row r="163" customFormat="false" ht="45.75" hidden="false" customHeight="true" outlineLevel="0" collapsed="false">
      <c r="H163" s="23"/>
    </row>
    <row r="164" customFormat="false" ht="12.75" hidden="false" customHeight="true" outlineLevel="0" collapsed="false">
      <c r="H164" s="22"/>
    </row>
    <row r="165" customFormat="false" ht="12.75" hidden="false" customHeight="true" outlineLevel="0" collapsed="false">
      <c r="H165" s="22"/>
    </row>
    <row r="166" customFormat="false" ht="12.75" hidden="false" customHeight="true" outlineLevel="0" collapsed="false">
      <c r="H166" s="22"/>
    </row>
    <row r="167" customFormat="false" ht="23.25" hidden="false" customHeight="true" outlineLevel="0" collapsed="false">
      <c r="H167" s="23"/>
    </row>
    <row r="168" customFormat="false" ht="12.75" hidden="false" customHeight="true" outlineLevel="0" collapsed="false">
      <c r="H168" s="22"/>
    </row>
    <row r="169" customFormat="false" ht="12.75" hidden="false" customHeight="true" outlineLevel="0" collapsed="false">
      <c r="H169" s="23"/>
    </row>
    <row r="170" customFormat="false" ht="12.75" hidden="false" customHeight="true" outlineLevel="0" collapsed="false">
      <c r="H170" s="22"/>
    </row>
    <row r="171" customFormat="false" ht="12.75" hidden="false" customHeight="true" outlineLevel="0" collapsed="false">
      <c r="H171" s="22"/>
    </row>
    <row r="172" customFormat="false" ht="23.25" hidden="false" customHeight="true" outlineLevel="0" collapsed="false">
      <c r="H172" s="23"/>
    </row>
    <row r="174" customFormat="false" ht="12.75" hidden="false" customHeight="true" outlineLevel="0" collapsed="false">
      <c r="G174" s="26"/>
    </row>
    <row r="1048576" customFormat="false" ht="12.8" hidden="false" customHeight="false" outlineLevel="0" collapsed="false"/>
  </sheetData>
  <autoFilter ref="A1:M172"/>
  <conditionalFormatting sqref="A1:M1048576">
    <cfRule type="expression" priority="2" aboveAverage="0" equalAverage="0" bottom="0" percent="0" rank="0" text="" dxfId="4">
      <formula>($A1&lt;&gt;#REF!)</formula>
    </cfRule>
    <cfRule type="expression" priority="3" aboveAverage="0" equalAverage="0" bottom="0" percent="0" rank="0" text="" dxfId="5">
      <formula>($C1="sábado")</formula>
    </cfRule>
    <cfRule type="expression" priority="4" aboveAverage="0" equalAverage="0" bottom="0" percent="0" rank="0" text="" dxfId="6">
      <formula>($C1="domingo")</formula>
    </cfRule>
    <cfRule type="expression" priority="5" aboveAverage="0" equalAverage="0" bottom="0" percent="0" rank="0" text="" dxfId="7">
      <formula>($E1&lt;&gt;"")*( HOUR($E1)&lt;6)</formula>
    </cfRule>
  </conditionalFormatting>
  <conditionalFormatting sqref="F1:F1048576">
    <cfRule type="expression" priority="6" aboveAverage="0" equalAverage="0" bottom="0" percent="0" rank="0" text="" dxfId="8">
      <formula>AND(HOUR($E1)&lt;8, HOUR($F1)&gt;8)</formula>
    </cfRule>
  </conditionalFormatting>
  <conditionalFormatting sqref="E1:E1048576">
    <cfRule type="expression" priority="7" aboveAverage="0" equalAverage="0" bottom="0" percent="0" rank="0" text="" dxfId="9">
      <formula>AND(HOUR($E1)&lt;17, HOUR($F1)&gt;17)</formula>
    </cfRule>
  </conditionalFormatting>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 &amp;A</oddHeader>
    <oddFooter>&amp;C&amp;"Times New Roman,Regular"&amp;12 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14</TotalTime>
  <Application>LibreOffice/26.2.1.2$Linux_X86_64 LibreOffice_project/5937a82db3889b586a62e0a27a0d74b840403d7c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2026-03-29T13:03:07Z</dcterms:created>
  <dc:creator/>
  <dc:description/>
  <dc:language>es-EC</dc:language>
  <cp:lastModifiedBy>Ernesto Palacios</cp:lastModifiedBy>
  <dcterms:modified xsi:type="dcterms:W3CDTF">2026-04-02T17:15:14Z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