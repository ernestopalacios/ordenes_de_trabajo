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960" windowHeight="14895" tabRatio="500" firstSheet="0" activeTab="1" autoFilterDateGrouping="1"/>
  </bookViews>
  <sheets>
    <sheet name="Revisar_primero" sheetId="1" state="visible" r:id="rId1"/>
    <sheet name="result" sheetId="2" state="visible" r:id="rId2"/>
  </sheets>
  <definedNames>
    <definedName name="_xlnm._FilterDatabase" localSheetId="1" hidden="1">'result'!$A$1:$M$180</definedName>
  </definedNames>
  <calcPr calcId="191029" fullCalcOnLoad="1" iterateDelta="0.0001"/>
</workbook>
</file>

<file path=xl/styles.xml><?xml version="1.0" encoding="utf-8"?>
<styleSheet xmlns="http://schemas.openxmlformats.org/spreadsheetml/2006/main">
  <numFmts count="6">
    <numFmt numFmtId="164" formatCode="dddd&quot;,  &quot;dd&quot; de &quot;mmmm&quot; de &quot;yyyy"/>
    <numFmt numFmtId="165" formatCode="dd/mm/yy"/>
    <numFmt numFmtId="166" formatCode="dd/mmm\ yyyy"/>
    <numFmt numFmtId="167" formatCode="hh:mm"/>
    <numFmt numFmtId="168" formatCode="[$-F400]h:mm:ss\ AM/PM"/>
    <numFmt numFmtId="169" formatCode="yyyy-mm-dd"/>
  </numFmts>
  <fonts count="9">
    <font>
      <name val="Arial"/>
      <charset val="1"/>
      <family val="2"/>
      <sz val="10"/>
    </font>
    <font>
      <name val="Arial"/>
      <charset val="1"/>
      <family val="2"/>
      <b val="1"/>
      <sz val="10"/>
    </font>
    <font>
      <name val="Arial"/>
      <charset val="1"/>
      <family val="2"/>
      <b val="1"/>
      <sz val="14"/>
    </font>
    <font>
      <name val="Arial"/>
      <charset val="1"/>
      <family val="2"/>
      <sz val="12"/>
    </font>
    <font>
      <name val="Arial"/>
      <charset val="1"/>
      <family val="2"/>
      <sz val="14"/>
    </font>
    <font>
      <name val="Arial"/>
      <charset val="1"/>
      <family val="2"/>
      <color theme="0"/>
      <sz val="10"/>
    </font>
    <font>
      <name val="Arial"/>
      <charset val="1"/>
      <color rgb="FF000000"/>
      <sz val="10"/>
    </font>
    <font>
      <name val="Arial"/>
      <charset val="1"/>
      <b val="1"/>
      <color rgb="FF000000"/>
      <sz val="10"/>
    </font>
    <font>
      <name val="Arial"/>
      <charset val="1"/>
      <family val="2"/>
      <b val="1"/>
      <color rgb="FF000000"/>
      <sz val="10"/>
    </font>
  </fonts>
  <fills count="11">
    <fill>
      <patternFill/>
    </fill>
    <fill>
      <patternFill patternType="gray125"/>
    </fill>
    <fill>
      <patternFill patternType="solid">
        <fgColor rgb="FFB4C7DC"/>
        <bgColor rgb="FFCCCCFF"/>
      </patternFill>
    </fill>
    <fill>
      <patternFill patternType="solid">
        <fgColor theme="8" tint="0.7997985778374584"/>
        <bgColor rgb="FFFFFFFF"/>
      </patternFill>
    </fill>
    <fill>
      <patternFill patternType="solid">
        <fgColor theme="8" tint="0.5995971556749168"/>
        <bgColor rgb="FFFFF1C1"/>
      </patternFill>
    </fill>
    <fill>
      <patternFill patternType="solid">
        <fgColor theme="5" tint="0.7997985778374584"/>
        <bgColor rgb="FFCCFFFF"/>
      </patternFill>
    </fill>
    <fill>
      <patternFill patternType="solid">
        <fgColor rgb="FF2A6099"/>
        <bgColor rgb="FF666699"/>
      </patternFill>
    </fill>
    <fill>
      <patternFill patternType="solid">
        <fgColor theme="9" tint="0.7997985778374584"/>
        <bgColor rgb="FFFFF1C1"/>
      </patternFill>
    </fill>
    <fill>
      <patternFill patternType="solid">
        <fgColor theme="9" tint="0.5995971556749168"/>
        <bgColor rgb="FFFF8080"/>
      </patternFill>
    </fill>
    <fill>
      <patternFill patternType="solid">
        <fgColor rgb="FFFF0000"/>
        <bgColor rgb="FF993300"/>
      </patternFill>
    </fill>
    <fill>
      <patternFill patternType="solid">
        <fgColor theme="7" tint="0.3999755851924192"/>
        <bgColor rgb="FFCCFFFF"/>
      </patternFill>
    </fill>
  </fills>
  <borders count="1">
    <border>
      <left/>
      <right/>
      <top/>
      <bottom/>
      <diagonal/>
    </border>
  </borders>
  <cellStyleXfs count="1">
    <xf numFmtId="0" fontId="0" fillId="0" borderId="0"/>
  </cellStyleXfs>
  <cellXfs count="32">
    <xf numFmtId="0" fontId="0" fillId="0" borderId="0" pivotButton="0" quotePrefix="0" xfId="0"/>
    <xf numFmtId="164" fontId="0" fillId="0" borderId="0" pivotButton="0" quotePrefix="0" xfId="0"/>
    <xf numFmtId="0" fontId="1" fillId="0" borderId="0" applyAlignment="1" pivotButton="0" quotePrefix="0" xfId="0">
      <alignment horizontal="left" indent="1"/>
    </xf>
    <xf numFmtId="165"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xf>
    <xf numFmtId="0" fontId="1" fillId="2" borderId="0" applyAlignment="1" pivotButton="0" quotePrefix="0" xfId="0">
      <alignment horizontal="left" indent="1"/>
    </xf>
    <xf numFmtId="165" fontId="0" fillId="3" borderId="0" pivotButton="0" quotePrefix="0" xfId="0"/>
    <xf numFmtId="165" fontId="0" fillId="4" borderId="0" pivotButton="0" quotePrefix="0" xfId="0"/>
    <xf numFmtId="165" fontId="0" fillId="5" borderId="0" pivotButton="0" quotePrefix="0" xfId="0"/>
    <xf numFmtId="0" fontId="0" fillId="6" borderId="0" pivotButton="0" quotePrefix="0" xfId="0"/>
    <xf numFmtId="165" fontId="0" fillId="7" borderId="0" pivotButton="0" quotePrefix="0" xfId="0"/>
    <xf numFmtId="165" fontId="0" fillId="8" borderId="0" pivotButton="0" quotePrefix="0" xfId="0"/>
    <xf numFmtId="165" fontId="5" fillId="9" borderId="0" applyAlignment="1" pivotButton="0" quotePrefix="0" xfId="0">
      <alignment horizontal="center"/>
    </xf>
    <xf numFmtId="0" fontId="0" fillId="0" borderId="0" applyAlignment="1" pivotButton="0" quotePrefix="0" xfId="0">
      <alignment horizontal="right"/>
    </xf>
    <xf numFmtId="166" fontId="0" fillId="0" borderId="0" applyAlignment="1" pivotButton="0" quotePrefix="0" xfId="0">
      <alignment horizontal="center"/>
    </xf>
    <xf numFmtId="167" fontId="0" fillId="0" borderId="0" applyAlignment="1" pivotButton="0" quotePrefix="0" xfId="0">
      <alignment horizontal="center"/>
    </xf>
    <xf numFmtId="168" fontId="1" fillId="0" borderId="0" applyAlignment="1" pivotButton="0" quotePrefix="0" xfId="0">
      <alignment horizontal="center"/>
    </xf>
    <xf numFmtId="0" fontId="1" fillId="0" borderId="0" pivotButton="0" quotePrefix="0" xfId="0"/>
    <xf numFmtId="0" fontId="1" fillId="0" borderId="0" applyAlignment="1" pivotButton="0" quotePrefix="0" xfId="0">
      <alignment horizontal="right" indent="1"/>
    </xf>
    <xf numFmtId="166" fontId="1" fillId="0" borderId="0" applyAlignment="1" pivotButton="0" quotePrefix="0" xfId="0">
      <alignment horizontal="center"/>
    </xf>
    <xf numFmtId="167" fontId="1" fillId="0" borderId="0" applyAlignment="1" pivotButton="0" quotePrefix="0" xfId="0">
      <alignment horizontal="center"/>
    </xf>
    <xf numFmtId="168" fontId="1" fillId="0" borderId="0" applyAlignment="1" pivotButton="0" quotePrefix="0" xfId="0">
      <alignment horizontal="left" indent="1"/>
    </xf>
    <xf numFmtId="0" fontId="6" fillId="0" borderId="0" pivotButton="0" quotePrefix="0" xfId="0"/>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8" fillId="0" borderId="0" pivotButton="0" quotePrefix="0" xfId="0"/>
    <xf numFmtId="165" fontId="0" fillId="10" borderId="0" pivotButton="0" quotePrefix="0" xfId="0"/>
    <xf numFmtId="169" fontId="0" fillId="0" borderId="0" pivotButton="0" quotePrefix="0" xfId="0"/>
    <xf numFmtId="21" fontId="0" fillId="0" borderId="0" pivotButton="0" quotePrefix="0" xfId="0"/>
  </cellXfs>
  <cellStyles count="1">
    <cellStyle name="Normal" xfId="0" builtinId="0"/>
  </cellStyles>
  <dxfs count="62">
    <dxf>
      <fill>
        <patternFill>
          <bgColor theme="5" tint="0.7997985778374584"/>
        </patternFill>
      </fill>
    </dxf>
    <dxf>
      <font>
        <color theme="0"/>
      </font>
      <fill>
        <patternFill>
          <bgColor rgb="FF002060"/>
        </patternFill>
      </fill>
    </dxf>
    <dxf>
      <font>
        <color rgb="FFFFFFFF"/>
      </font>
      <fill>
        <patternFill>
          <bgColor rgb="FFFF0000"/>
        </patternFill>
      </fill>
    </dxf>
    <dxf>
      <font>
        <color rgb="FFFFFFFF"/>
      </font>
      <fill>
        <patternFill>
          <bgColor rgb="FFFF0000"/>
        </patternFill>
      </fill>
    </dxf>
    <dxf>
      <fill>
        <patternFill>
          <bgColor theme="8" tint="0.3995788445692313"/>
        </patternFill>
      </fill>
    </dxf>
    <dxf>
      <fill>
        <patternFill>
          <bgColor theme="8" tint="0.7997985778374584"/>
        </patternFill>
      </fill>
    </dxf>
    <dxf>
      <border>
        <left/>
        <right/>
        <top/>
        <bottom style="thin">
          <color auto="1"/>
        </bottom>
      </border>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ill>
        <patternFill>
          <bgColor theme="5" tint="0.7997985778374584"/>
        </patternFill>
      </fill>
    </dxf>
    <dxf>
      <font>
        <color theme="0"/>
      </font>
      <fill>
        <patternFill>
          <bgColor rgb="FF002060"/>
        </patternFill>
      </fill>
    </dxf>
    <dxf>
      <font>
        <color rgb="FFFFFFFF"/>
      </font>
      <fill>
        <patternFill>
          <bgColor rgb="FFFF0000"/>
        </patternFill>
      </fill>
    </dxf>
    <dxf>
      <font>
        <color rgb="FFFFFFFF"/>
      </font>
      <fill>
        <patternFill>
          <bgColor rgb="FFFF0000"/>
        </patternFill>
      </fill>
    </dxf>
    <dxf>
      <fill>
        <patternFill>
          <bgColor theme="8" tint="0.3995788445692313"/>
        </patternFill>
      </fill>
    </dxf>
    <dxf>
      <fill>
        <patternFill>
          <bgColor theme="8" tint="0.7997985778374584"/>
        </patternFill>
      </fill>
    </dxf>
    <dxf>
      <border>
        <left/>
        <right/>
        <top/>
        <bottom style="thin">
          <color auto="1"/>
        </bottom>
      </border>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ill>
        <patternFill>
          <bgColor theme="5" tint="0.7997985778374584"/>
        </patternFill>
      </fill>
    </dxf>
    <dxf>
      <font>
        <color theme="0"/>
      </font>
      <fill>
        <patternFill>
          <bgColor rgb="FF002060"/>
        </patternFill>
      </fill>
    </dxf>
    <dxf>
      <font>
        <color rgb="FFFFFFFF"/>
      </font>
      <fill>
        <patternFill>
          <bgColor rgb="FFFF0000"/>
        </patternFill>
      </fill>
    </dxf>
    <dxf>
      <font>
        <color rgb="FFFFFFFF"/>
      </font>
      <fill>
        <patternFill>
          <bgColor rgb="FFFF0000"/>
        </patternFill>
      </fill>
    </dxf>
    <dxf>
      <fill>
        <patternFill>
          <bgColor theme="8" tint="0.3995788445692313"/>
        </patternFill>
      </fill>
    </dxf>
    <dxf>
      <fill>
        <patternFill>
          <bgColor theme="8" tint="0.7997985778374584"/>
        </patternFill>
      </fill>
    </dxf>
    <dxf>
      <border>
        <left/>
        <right/>
        <top/>
        <bottom style="thin">
          <color auto="1"/>
        </bottom>
      </border>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ill>
        <patternFill>
          <bgColor theme="9" tint="0.5995971556749168"/>
        </patternFill>
      </fill>
    </dxf>
    <dxf>
      <fill>
        <patternFill>
          <bgColor theme="9" tint="0.7997985778374584"/>
        </patternFill>
      </fill>
    </dxf>
    <dxf>
      <fill>
        <patternFill>
          <bgColor theme="5" tint="0.7997985778374584"/>
        </patternFill>
      </fill>
    </dxf>
    <dxf>
      <font>
        <color theme="0"/>
      </font>
      <fill>
        <patternFill>
          <bgColor rgb="FF002060"/>
        </patternFill>
      </fill>
    </dxf>
    <dxf>
      <font>
        <color rgb="FFFFFFFF"/>
      </font>
      <fill>
        <patternFill>
          <bgColor rgb="FFFF0000"/>
        </patternFill>
      </fill>
    </dxf>
    <dxf>
      <font>
        <color rgb="FFFFFFFF"/>
      </font>
      <fill>
        <patternFill>
          <bgColor rgb="FFFF0000"/>
        </patternFill>
      </fill>
    </dxf>
    <dxf>
      <fill>
        <patternFill>
          <bgColor theme="8" tint="0.3995788445692313"/>
        </patternFill>
      </fill>
    </dxf>
    <dxf>
      <fill>
        <patternFill>
          <bgColor theme="8" tint="0.7997985778374584"/>
        </patternFill>
      </fill>
    </dxf>
    <dxf>
      <border>
        <left/>
        <right/>
        <top/>
        <bottom style="thin">
          <color auto="1"/>
        </bottom>
      </border>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
      <font>
        <color theme="0"/>
      </font>
      <fill>
        <patternFill>
          <bgColor theme="7" tint="0.399945066682943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1C1"/>
      <rgbColor rgb="FFBBE6FE"/>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4FEBB"/>
      <rgbColor rgb="FFFFE383"/>
      <rgbColor rgb="FF99CCFF"/>
      <rgbColor rgb="FFF09F9E"/>
      <rgbColor rgb="FFCC99FF"/>
      <rgbColor rgb="FFF8CFCE"/>
      <rgbColor rgb="FF3366FF"/>
      <rgbColor rgb="FF33CCCC"/>
      <rgbColor rgb="FF99CC00"/>
      <rgbColor rgb="FFFFD545"/>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zoomScale="65" zoomScaleNormal="65" workbookViewId="0">
      <selection activeCell="E17" sqref="E17"/>
    </sheetView>
  </sheetViews>
  <sheetFormatPr baseColWidth="10" defaultColWidth="11.5703125" defaultRowHeight="12.75"/>
  <cols>
    <col width="43.140625" customWidth="1" min="1" max="1"/>
    <col width="35.140625" customWidth="1" style="1" min="2" max="2"/>
    <col width="28.7109375" customWidth="1" min="3" max="3"/>
    <col width="37" customWidth="1" style="2" min="4" max="4"/>
    <col width="15.85546875" customWidth="1" style="2" min="5" max="5"/>
    <col width="18.42578125" customWidth="1" style="3" min="6" max="6"/>
    <col width="18.7109375" customWidth="1" min="7" max="7"/>
    <col width="32.85546875" customWidth="1" style="2" min="8" max="8"/>
    <col width="15.85546875" customWidth="1" style="3" min="9" max="9"/>
    <col width="17.5703125" customWidth="1" min="10" max="10"/>
  </cols>
  <sheetData>
    <row r="1" ht="31.5" customHeight="1">
      <c r="A1" s="4" t="inlineStr">
        <is>
          <t>Aplica</t>
        </is>
      </c>
      <c r="B1" s="4" t="inlineStr">
        <is>
          <t>Fecha</t>
        </is>
      </c>
      <c r="C1" s="4" t="inlineStr">
        <is>
          <t>Etiqueta</t>
        </is>
      </c>
      <c r="D1" s="4" t="inlineStr">
        <is>
          <t>TurnoAP</t>
        </is>
      </c>
      <c r="E1" s="4" t="n"/>
      <c r="F1" s="5" t="inlineStr">
        <is>
          <t>Colores (informativo)</t>
        </is>
      </c>
      <c r="H1" s="6" t="inlineStr">
        <is>
          <t>Reglas de colores aplicadas al documento</t>
        </is>
      </c>
      <c r="J1" s="6" t="inlineStr">
        <is>
          <t>Cuentas</t>
        </is>
      </c>
    </row>
    <row r="2">
      <c r="A2" s="7" t="inlineStr">
        <is>
          <t>TODOS</t>
        </is>
      </c>
      <c r="B2" s="1" t="n">
        <v>46023</v>
      </c>
      <c r="C2" t="inlineStr">
        <is>
          <t>“Día Festivo: Año Nuevo”</t>
        </is>
      </c>
      <c r="D2" s="1" t="n">
        <v>46034</v>
      </c>
      <c r="E2" s="1" t="n"/>
      <c r="F2" s="8" t="n"/>
      <c r="G2" t="inlineStr">
        <is>
          <t>sábado</t>
        </is>
      </c>
      <c r="J2" s="2" t="n"/>
    </row>
    <row r="3">
      <c r="A3" s="7" t="inlineStr">
        <is>
          <t>TODOS</t>
        </is>
      </c>
      <c r="B3" s="1" t="n">
        <v>46066</v>
      </c>
      <c r="C3" t="inlineStr">
        <is>
          <t>“Día Festivo: Día del Oriente Ecuatoriano”</t>
        </is>
      </c>
      <c r="D3" s="1" t="n">
        <v>46035</v>
      </c>
      <c r="E3" s="1" t="n"/>
      <c r="F3" s="9" t="n"/>
      <c r="G3" t="inlineStr">
        <is>
          <t>domingo</t>
        </is>
      </c>
      <c r="J3" s="2" t="inlineStr">
        <is>
          <t xml:space="preserve"> REDES</t>
        </is>
      </c>
    </row>
    <row r="4">
      <c r="A4" s="7" t="inlineStr">
        <is>
          <t>TODOS</t>
        </is>
      </c>
      <c r="B4" s="1" t="n">
        <v>46069</v>
      </c>
      <c r="C4" t="inlineStr">
        <is>
          <t>“Día Festivo: Carnaval (Lunes)”</t>
        </is>
      </c>
      <c r="D4" s="1" t="n">
        <v>46036</v>
      </c>
      <c r="E4" s="1" t="n"/>
      <c r="F4" s="29" t="n"/>
      <c r="G4" t="inlineStr">
        <is>
          <t>feriado</t>
        </is>
      </c>
      <c r="J4" s="2" t="inlineStr">
        <is>
          <t xml:space="preserve"> ALUMBRADO</t>
        </is>
      </c>
    </row>
    <row r="5">
      <c r="A5" s="7" t="inlineStr">
        <is>
          <t>TODOS</t>
        </is>
      </c>
      <c r="B5" s="1" t="n">
        <v>46070</v>
      </c>
      <c r="C5" t="inlineStr">
        <is>
          <t>“Día Festivo: Carnaval (Martes)”</t>
        </is>
      </c>
      <c r="D5" s="1" t="n">
        <v>46037</v>
      </c>
      <c r="E5" s="1" t="n"/>
      <c r="F5" s="10" t="n"/>
      <c r="G5" t="inlineStr">
        <is>
          <t>madrugada</t>
        </is>
      </c>
      <c r="J5" s="2" t="inlineStr">
        <is>
          <t xml:space="preserve"> ACOMETIDAS</t>
        </is>
      </c>
    </row>
    <row r="6">
      <c r="A6" s="7" t="inlineStr">
        <is>
          <t>TODOS</t>
        </is>
      </c>
      <c r="B6" s="1" t="n">
        <v>46115</v>
      </c>
      <c r="C6" t="inlineStr">
        <is>
          <t>“Día Festivo: Viernes Santo”</t>
        </is>
      </c>
      <c r="D6" s="1" t="n">
        <v>46038</v>
      </c>
      <c r="E6" s="1" t="n"/>
      <c r="F6" s="11" t="n"/>
      <c r="G6" t="inlineStr">
        <is>
          <t>cambio horario</t>
        </is>
      </c>
      <c r="H6" s="2" t="inlineStr">
        <is>
          <t>Cuadrilla AP cambio de horario</t>
        </is>
      </c>
      <c r="J6" s="2" t="inlineStr">
        <is>
          <t xml:space="preserve"> MEDIDORES</t>
        </is>
      </c>
    </row>
    <row r="7">
      <c r="A7" s="7" t="inlineStr">
        <is>
          <t>TODOS</t>
        </is>
      </c>
      <c r="B7" s="1" t="n">
        <v>46143</v>
      </c>
      <c r="C7" t="inlineStr">
        <is>
          <t>“Día Festivo: Día del Trabajo”</t>
        </is>
      </c>
      <c r="D7" s="1" t="n">
        <v>46055</v>
      </c>
      <c r="E7" s="1" t="n"/>
      <c r="F7" s="12" t="n"/>
      <c r="G7" t="inlineStr">
        <is>
          <t>revisar hora inicio</t>
        </is>
      </c>
      <c r="H7" s="2" t="inlineStr">
        <is>
          <t>debería ser hasta 08:00 am</t>
        </is>
      </c>
      <c r="J7" s="2" t="inlineStr">
        <is>
          <t xml:space="preserve"> informativa</t>
        </is>
      </c>
    </row>
    <row r="8">
      <c r="A8" s="7" t="inlineStr">
        <is>
          <t>TODOS</t>
        </is>
      </c>
      <c r="B8" s="1" t="n">
        <v>46167</v>
      </c>
      <c r="C8" t="inlineStr">
        <is>
          <t>“Día Festivo: Batalla de Pichincha”</t>
        </is>
      </c>
      <c r="D8" s="1" t="n">
        <v>46056</v>
      </c>
      <c r="E8" s="1" t="n"/>
      <c r="F8" s="13" t="n"/>
      <c r="G8" t="inlineStr">
        <is>
          <t>revisar hora final</t>
        </is>
      </c>
      <c r="H8" s="2" t="inlineStr">
        <is>
          <t>debería ser desde 17:00 pm</t>
        </is>
      </c>
      <c r="J8" s="2" t="inlineStr">
        <is>
          <t xml:space="preserve"> transporte</t>
        </is>
      </c>
    </row>
    <row r="9">
      <c r="A9" s="7" t="inlineStr">
        <is>
          <t>TODOS</t>
        </is>
      </c>
      <c r="B9" s="1" t="n">
        <v>46244</v>
      </c>
      <c r="C9" t="inlineStr">
        <is>
          <t xml:space="preserve">“Día Festivo. Primer Grito de Independencia” </t>
        </is>
      </c>
      <c r="D9" s="1" t="n">
        <v>46057</v>
      </c>
      <c r="E9" s="1" t="n"/>
      <c r="F9" s="14" t="inlineStr">
        <is>
          <t>DIVIDIR</t>
        </is>
      </c>
      <c r="G9" t="inlineStr">
        <is>
          <t xml:space="preserve">Separar MAD </t>
        </is>
      </c>
      <c r="H9" s="2" t="inlineStr">
        <is>
          <t>Dividir en dos --&gt;(06:00)&lt;--</t>
        </is>
      </c>
      <c r="J9" s="2" t="inlineStr">
        <is>
          <t xml:space="preserve"> SUBESTACION</t>
        </is>
      </c>
    </row>
    <row r="10">
      <c r="A10" s="7" t="inlineStr">
        <is>
          <t>TODOS</t>
        </is>
      </c>
      <c r="B10" s="1" t="n">
        <v>46304</v>
      </c>
      <c r="C10" t="inlineStr">
        <is>
          <t xml:space="preserve">“Día Festivo: Independencia de Guayaquil” </t>
        </is>
      </c>
      <c r="D10" s="1" t="n">
        <v>46058</v>
      </c>
      <c r="E10" s="1" t="n"/>
      <c r="J10" s="2" t="inlineStr">
        <is>
          <t xml:space="preserve"> SUBTRANSMISION</t>
        </is>
      </c>
    </row>
    <row r="11">
      <c r="A11" s="7" t="inlineStr">
        <is>
          <t>TODOS</t>
        </is>
      </c>
      <c r="B11" s="1" t="n">
        <v>46328</v>
      </c>
      <c r="C11" t="inlineStr">
        <is>
          <t>“Día Festivo: Santos Difuntos”</t>
        </is>
      </c>
      <c r="D11" s="1" t="n">
        <v>46076</v>
      </c>
      <c r="E11" s="1" t="n"/>
      <c r="J11" s="2" t="inlineStr">
        <is>
          <t xml:space="preserve"> Servicios_Ocasional</t>
        </is>
      </c>
    </row>
    <row r="12">
      <c r="A12" s="7" t="inlineStr">
        <is>
          <t>TODOS</t>
        </is>
      </c>
      <c r="B12" s="1" t="n">
        <v>46329</v>
      </c>
      <c r="C12" t="inlineStr">
        <is>
          <t>“Día Festivo: Independencia de Cuenca”</t>
        </is>
      </c>
      <c r="D12" s="1" t="n">
        <v>46118</v>
      </c>
      <c r="E12" s="1" t="n"/>
      <c r="J12" s="2" t="inlineStr">
        <is>
          <t xml:space="preserve"> PLANILL</t>
        </is>
      </c>
    </row>
    <row r="13">
      <c r="A13" s="7" t="inlineStr">
        <is>
          <t>TODOS</t>
        </is>
      </c>
      <c r="B13" s="1" t="n">
        <v>46335</v>
      </c>
      <c r="C13" t="inlineStr">
        <is>
          <t>“Día Festivo: Provincializacion”</t>
        </is>
      </c>
      <c r="D13" s="1" t="n">
        <v>46119</v>
      </c>
      <c r="E13" s="1" t="n"/>
      <c r="J13" s="2" t="inlineStr">
        <is>
          <t xml:space="preserve"> Nuevos_Servici</t>
        </is>
      </c>
    </row>
    <row r="14">
      <c r="A14" s="7" t="inlineStr">
        <is>
          <t>TODOS</t>
        </is>
      </c>
      <c r="B14" s="1" t="n">
        <v>46381</v>
      </c>
      <c r="C14" t="inlineStr">
        <is>
          <t>“Día Festivo: Navidad”</t>
        </is>
      </c>
      <c r="D14" s="1" t="n">
        <v>46120</v>
      </c>
      <c r="E14" s="1" t="n"/>
      <c r="J14" s="2" t="inlineStr">
        <is>
          <t xml:space="preserve"> se_labora</t>
        </is>
      </c>
    </row>
    <row r="15">
      <c r="A15" s="7" t="inlineStr">
        <is>
          <t>Zamora Z1 (Cuadrilla. Nro. 6)</t>
        </is>
      </c>
      <c r="B15" s="1" t="n">
        <v>46300</v>
      </c>
      <c r="C15" t="inlineStr">
        <is>
          <t>“Dia Festivo: Cantonizacion”</t>
        </is>
      </c>
      <c r="D15" s="1" t="n">
        <v>46121</v>
      </c>
      <c r="E15" s="1" t="n"/>
      <c r="J15" s="2" t="inlineStr">
        <is>
          <t xml:space="preserve"> lunch</t>
        </is>
      </c>
    </row>
    <row r="16">
      <c r="A16" s="7" t="inlineStr">
        <is>
          <t>Zamora Z1 (Cuadrilla. AP Nro. 4)</t>
        </is>
      </c>
      <c r="B16" s="1" t="n">
        <v>46300</v>
      </c>
      <c r="C16" t="inlineStr">
        <is>
          <t>“Dia Festivo: Cantonizacion”</t>
        </is>
      </c>
      <c r="D16" s="1" t="n">
        <v>46122</v>
      </c>
      <c r="E16" s="1" t="n"/>
      <c r="J16" s="2" t="inlineStr">
        <is>
          <t xml:space="preserve"> ?</t>
        </is>
      </c>
    </row>
    <row r="17">
      <c r="A17" s="7" t="inlineStr">
        <is>
          <t>Zamora (Agencia)</t>
        </is>
      </c>
      <c r="B17" s="1" t="n">
        <v>46300</v>
      </c>
      <c r="C17" t="inlineStr">
        <is>
          <t>“Dia Festivo: Cantonizacion”</t>
        </is>
      </c>
      <c r="D17" s="1" t="n"/>
      <c r="E17" s="1" t="n"/>
    </row>
    <row r="18">
      <c r="A18" s="7" t="inlineStr">
        <is>
          <t>Jefatura Zonal Zamora</t>
        </is>
      </c>
      <c r="B18" s="1" t="n">
        <v>46300</v>
      </c>
      <c r="C18" t="inlineStr">
        <is>
          <t>“Dia Festivo: Cantonizacion”</t>
        </is>
      </c>
      <c r="D18" s="1" t="n"/>
      <c r="E18" s="1" t="n"/>
    </row>
    <row r="19">
      <c r="A19" s="7" t="inlineStr">
        <is>
          <t>Yacuambi Z1 (Cuadrilla. Nro. 8)</t>
        </is>
      </c>
      <c r="B19" s="1" t="n">
        <v>46031</v>
      </c>
      <c r="C19" t="inlineStr">
        <is>
          <t>“Dia Festivo: Cantonizacion”</t>
        </is>
      </c>
      <c r="D19" s="1" t="n"/>
      <c r="E19" s="1" t="n"/>
    </row>
    <row r="20">
      <c r="A20" s="7" t="inlineStr">
        <is>
          <t>Yantzaza Z1 (Cuadrilla. Nro. 5)</t>
        </is>
      </c>
      <c r="B20" s="1" t="n">
        <v>46080</v>
      </c>
      <c r="C20" t="inlineStr">
        <is>
          <t>“Dia Festivo: Cantonizacion”</t>
        </is>
      </c>
      <c r="D20" s="1" t="n"/>
      <c r="E20" s="1" t="n"/>
    </row>
    <row r="21">
      <c r="A21" s="7" t="inlineStr">
        <is>
          <t>Líneas Energizadas (Cuadrilla  Nro.6)</t>
        </is>
      </c>
      <c r="B21" s="1" t="n">
        <v>46080</v>
      </c>
      <c r="C21" t="inlineStr">
        <is>
          <t>“Dia Festivo: Cantonizacion”</t>
        </is>
      </c>
      <c r="D21" s="1" t="n"/>
      <c r="E21" s="1" t="n"/>
    </row>
    <row r="22">
      <c r="A22" s="7" t="inlineStr">
        <is>
          <t>Yantzaza (Agencia)</t>
        </is>
      </c>
      <c r="B22" s="1" t="n">
        <v>46080</v>
      </c>
      <c r="C22" t="inlineStr">
        <is>
          <t>“Dia Festivo: Cantonizacion”</t>
        </is>
      </c>
      <c r="D22" s="1" t="n"/>
      <c r="E22" s="1" t="n"/>
    </row>
    <row r="23">
      <c r="A23" s="7" t="inlineStr">
        <is>
          <t>Paquisha Z1 (Cuadrilla Nro. 10)</t>
        </is>
      </c>
      <c r="B23" s="1" t="n">
        <v>46319</v>
      </c>
      <c r="C23" t="inlineStr">
        <is>
          <t>“Dia Festivo: Cantonizacion”</t>
        </is>
      </c>
      <c r="D23" s="1" t="n"/>
      <c r="E23" s="1" t="n"/>
    </row>
    <row r="24">
      <c r="A24" s="7" t="inlineStr">
        <is>
          <t>Guayzimi Z1 (Cuadrilla. Nro. 7)</t>
        </is>
      </c>
      <c r="B24" s="1" t="n">
        <v>46353</v>
      </c>
      <c r="C24" t="inlineStr">
        <is>
          <t>“Dia Festivo: Cantonizacion”</t>
        </is>
      </c>
      <c r="D24" s="1" t="n"/>
      <c r="E24" s="1" t="n"/>
    </row>
    <row r="25">
      <c r="A25" s="7" t="inlineStr">
        <is>
          <t>El Pangui Z1 (Cuadrilla. Nro. 4)</t>
        </is>
      </c>
      <c r="B25" s="1" t="n">
        <v>46065</v>
      </c>
      <c r="C25" t="inlineStr">
        <is>
          <t>“Dia Festivo: Cantonizacion”</t>
        </is>
      </c>
      <c r="D25" s="1" t="n"/>
      <c r="E25" s="1" t="n"/>
    </row>
    <row r="26">
      <c r="A26" s="7" t="inlineStr">
        <is>
          <t>El Pangui (Agencia)</t>
        </is>
      </c>
      <c r="B26" s="1" t="n">
        <v>46065</v>
      </c>
      <c r="C26" t="inlineStr">
        <is>
          <t>“Dia Festivo: Cantonizacion”</t>
        </is>
      </c>
      <c r="D26" s="1" t="n"/>
      <c r="E26" s="1" t="n"/>
    </row>
    <row r="27">
      <c r="A27" s="7" t="inlineStr">
        <is>
          <t>Gualaquiza Z1 (Cuadrilla. Nro. 3)</t>
        </is>
      </c>
      <c r="B27" s="1" t="n">
        <v>46251</v>
      </c>
      <c r="C27" t="inlineStr">
        <is>
          <t>“Dia Festivo: Cantonizacion”</t>
        </is>
      </c>
      <c r="D27" s="1" t="n"/>
      <c r="E27" s="1" t="n"/>
    </row>
    <row r="28">
      <c r="A28" s="7" t="inlineStr">
        <is>
          <t>Gualaquiza (Agencia)</t>
        </is>
      </c>
      <c r="B28" s="1" t="n">
        <v>46251</v>
      </c>
      <c r="C28" t="inlineStr">
        <is>
          <t>“Dia Festivo: Cantonizacion”</t>
        </is>
      </c>
      <c r="D28" s="1" t="n"/>
      <c r="E28" s="1" t="n"/>
    </row>
    <row r="29">
      <c r="D29" s="1" t="n"/>
      <c r="E29" s="1" t="n"/>
    </row>
    <row r="30">
      <c r="D30" s="1" t="n"/>
      <c r="E30" s="1" t="n"/>
    </row>
    <row r="31">
      <c r="D31" s="1" t="n"/>
      <c r="E31" s="1" t="n"/>
    </row>
    <row r="32">
      <c r="D32" s="1" t="n"/>
      <c r="E32" s="1" t="n"/>
    </row>
    <row r="33">
      <c r="D33" s="1" t="n"/>
      <c r="E33" s="1" t="n"/>
    </row>
    <row r="34">
      <c r="D34" s="1" t="n"/>
      <c r="E34" s="1" t="n"/>
    </row>
    <row r="35">
      <c r="D35" s="1" t="n"/>
      <c r="E35" s="1" t="n"/>
    </row>
    <row r="36">
      <c r="D36" s="1" t="n"/>
      <c r="E36" s="1" t="n"/>
    </row>
    <row r="37">
      <c r="D37" s="1" t="n"/>
      <c r="E37" s="1" t="n"/>
    </row>
  </sheetData>
  <pageMargins left="0.7875" right="0.7875" top="1.05277777777778" bottom="1.05277777777778" header="0.7875" footer="0.7875"/>
  <pageSetup orientation="portrait" paperSize="9" useFirstPageNumber="1" horizontalDpi="300" verticalDpi="300"/>
  <headerFooter>
    <oddHeader>&amp;C&amp;"Times New Roman,Regular"&amp;12 &amp;A</oddHeader>
    <oddFooter>&amp;C&amp;"Times New Roman,Regular"&amp;12 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M180"/>
  <sheetViews>
    <sheetView tabSelected="1" zoomScale="70" zoomScaleNormal="70" workbookViewId="0">
      <pane ySplit="1" topLeftCell="A2" activePane="bottomLeft" state="frozen"/>
      <selection pane="bottomLeft" activeCell="B7" sqref="B7"/>
    </sheetView>
  </sheetViews>
  <sheetFormatPr baseColWidth="10" defaultColWidth="11.5703125" defaultRowHeight="12.75"/>
  <cols>
    <col width="31.5703125" customWidth="1" min="1" max="1"/>
    <col width="39.7109375" customWidth="1" min="2" max="2"/>
    <col width="14.42578125" customWidth="1" style="15" min="3" max="3"/>
    <col width="16.5703125" customWidth="1" style="16" min="4" max="4"/>
    <col width="14.5703125" customWidth="1" style="17" min="5" max="5"/>
    <col width="13.42578125" customWidth="1" style="17" min="6" max="6"/>
    <col width="19.7109375" customWidth="1" style="18" min="7" max="7"/>
    <col width="170.28515625" customWidth="1" style="19" min="8" max="8"/>
    <col width="38" customWidth="1" min="9" max="9"/>
    <col width="12.28515625" customWidth="1" min="10" max="10"/>
    <col width="10.140625" customWidth="1" min="11" max="12"/>
    <col width="55.85546875" customWidth="1" min="13" max="13"/>
    <col width="13.42578125" bestFit="1" customWidth="1" min="15" max="15"/>
  </cols>
  <sheetData>
    <row r="1">
      <c r="A1" s="2" t="inlineStr">
        <is>
          <t>Cuadrilla</t>
        </is>
      </c>
      <c r="B1" s="2" t="inlineStr">
        <is>
          <t>Responsable</t>
        </is>
      </c>
      <c r="C1" s="20" t="inlineStr">
        <is>
          <t>Dia</t>
        </is>
      </c>
      <c r="D1" s="21" t="inlineStr">
        <is>
          <t>Fecha</t>
        </is>
      </c>
      <c r="E1" s="22" t="inlineStr">
        <is>
          <t>InicioEvento</t>
        </is>
      </c>
      <c r="F1" s="22" t="inlineStr">
        <is>
          <t>FinEvento</t>
        </is>
      </c>
      <c r="G1" s="23" t="inlineStr">
        <is>
          <t>Duracion</t>
        </is>
      </c>
      <c r="H1" s="2" t="inlineStr">
        <is>
          <t>Evento</t>
        </is>
      </c>
      <c r="I1" s="2" t="inlineStr">
        <is>
          <t>Cuenta</t>
        </is>
      </c>
      <c r="J1" s="2" t="inlineStr">
        <is>
          <t>id_ot</t>
        </is>
      </c>
      <c r="K1" s="2" t="inlineStr">
        <is>
          <t>Items</t>
        </is>
      </c>
      <c r="L1" s="2" t="inlineStr">
        <is>
          <t>Num_Filas</t>
        </is>
      </c>
      <c r="M1" s="2" t="inlineStr">
        <is>
          <t>Archivo</t>
        </is>
      </c>
    </row>
    <row r="2">
      <c r="A2" t="inlineStr">
        <is>
          <t>Zamora Z1 (Cuadrilla. Nro. 6)</t>
        </is>
      </c>
      <c r="B2" t="inlineStr">
        <is>
          <t>FR, JCR</t>
        </is>
      </c>
      <c r="C2" t="inlineStr">
        <is>
          <t>miércoles</t>
        </is>
      </c>
      <c r="D2" s="30" t="n">
        <v>46113</v>
      </c>
      <c r="E2" s="31" t="n">
        <v>0.9381944444444444</v>
      </c>
      <c r="F2" s="31" t="n">
        <v>0.98125</v>
      </c>
      <c r="G2">
        <f>F2-E2</f>
        <v/>
      </c>
      <c r="H2" s="24" t="inlineStr">
        <is>
          <t>DAÑO REPORTADO POR Centro de Control, Península, 70357 se encuentra trafos quemado OID10219 OID10220 de 20KVA, se aísla transformadores privados, en la estructura. 70356 Se cambia fusible de 8A tipo T, se normaliza el servicio eléctrico al transformador de la EERSSA 16926 de 25KVA.</t>
        </is>
      </c>
      <c r="I2" t="inlineStr">
        <is>
          <t>REDES</t>
        </is>
      </c>
      <c r="J2" t="n">
        <v>173886</v>
      </c>
      <c r="K2" t="inlineStr">
        <is>
          <t>10</t>
        </is>
      </c>
      <c r="L2" t="n">
        <v>1</v>
      </c>
      <c r="M2" t="inlineStr">
        <is>
          <t>OT [01] Cuadrilla Zamora 2026-04-01 (006) FR.pdf</t>
        </is>
      </c>
    </row>
    <row r="3" ht="25.5" customHeight="1">
      <c r="A3" t="inlineStr">
        <is>
          <t>Zamora Z1 (Cuadrilla. Nro. 6)</t>
        </is>
      </c>
      <c r="B3" t="inlineStr">
        <is>
          <t>FR, JCR</t>
        </is>
      </c>
      <c r="C3" t="inlineStr">
        <is>
          <t>viernes</t>
        </is>
      </c>
      <c r="D3" s="30" t="n">
        <v>46115</v>
      </c>
      <c r="E3" s="31" t="n">
        <v>0.3840277777777778</v>
      </c>
      <c r="F3" s="31" t="n">
        <v>0.5368055555555555</v>
      </c>
      <c r="G3">
        <f>F3-E3</f>
        <v/>
      </c>
      <c r="H3" s="25" t="inlineStr">
        <is>
          <t>En la Agencia Zamora, se coordina trabajo conjuntamente con el Compañero, además se equipa vehículo de materiales y herramientas. DAÑO REPORTADO POR Centro de Control, Calle Diego de Vaca, estructura. 71155, se revisa e inspecciona transformador 13903 de 25KVA, se encuentra pararrayo quemado por Ave en el bushing de medio voltaje. Se encuentra bushing de medio voltaje defectuoso, se realiza censo de carga y se encuentra emitiendo voltaje, se encuentra en el Tap 5. Desde Zamora nos trasladamos hacia El Maní. DAÑO REPORTADO POR Centro de Control, El Maní, estructura. 28669 se encuentra red de bajo voltaje arrancadas por conectores en mal estado, se empalma y regula líneas, se cambia conectores en la bajante Del transformador 24441 de 25KVA, se normaliza el servicio eléctrico. Desde El Maní, nos trasladamos hacia la Agencia Zamora.</t>
        </is>
      </c>
      <c r="I3" t="inlineStr">
        <is>
          <t>REDES</t>
        </is>
      </c>
      <c r="J3" t="n">
        <v>174090</v>
      </c>
      <c r="K3" t="inlineStr">
        <is>
          <t>2, 3, 5, 6, 8</t>
        </is>
      </c>
      <c r="L3" t="n">
        <v>5</v>
      </c>
      <c r="M3" t="inlineStr">
        <is>
          <t>OT [01] Cuadrilla Zamora 2026-04-03 (006) FR.pdf</t>
        </is>
      </c>
    </row>
    <row r="4" ht="25.5" customHeight="1">
      <c r="A4" t="inlineStr">
        <is>
          <t>Zamora Z1 (Cuadrilla. Nro. 6)</t>
        </is>
      </c>
      <c r="B4" t="inlineStr">
        <is>
          <t>FR, JCR</t>
        </is>
      </c>
      <c r="C4" t="inlineStr">
        <is>
          <t>viernes</t>
        </is>
      </c>
      <c r="D4" s="30" t="n">
        <v>46115</v>
      </c>
      <c r="E4" s="31" t="n">
        <v>0.6513888888888889</v>
      </c>
      <c r="F4" s="31" t="n">
        <v>0.7534722222222222</v>
      </c>
      <c r="G4">
        <f>F4-E4</f>
        <v/>
      </c>
      <c r="H4" s="25" t="inlineStr">
        <is>
          <t>Desde la Agencia Zamora nos trasladamos hacia La Pituca. DAÑO REPORTADO POR Centro de Control, La Pituca, Med. 127482(13587) se encuentra acometida arrancada por maquinaria pesada, se empalma y regula acometida, se normaliza el servicio eléctrico. Desde La Pituca, nos trasladamos hacia la Agencia Zamora.</t>
        </is>
      </c>
      <c r="I4" t="inlineStr">
        <is>
          <t>ACOMETIDAS</t>
        </is>
      </c>
      <c r="J4" t="n">
        <v>174090</v>
      </c>
      <c r="K4" t="inlineStr">
        <is>
          <t>13, 14, 15</t>
        </is>
      </c>
      <c r="L4" t="n">
        <v>3</v>
      </c>
      <c r="M4" t="inlineStr">
        <is>
          <t>OT [01] Cuadrilla Zamora 2026-04-03 (006) FR.pdf</t>
        </is>
      </c>
    </row>
    <row r="5">
      <c r="A5" t="inlineStr">
        <is>
          <t>Zamora Z1 (Cuadrilla. Nro. 6)</t>
        </is>
      </c>
      <c r="B5" t="inlineStr">
        <is>
          <t>RS, JCR</t>
        </is>
      </c>
      <c r="C5" t="inlineStr">
        <is>
          <t>sábado</t>
        </is>
      </c>
      <c r="D5" s="30" t="n">
        <v>46116</v>
      </c>
      <c r="E5" s="31" t="n">
        <v>0.8611111111111112</v>
      </c>
      <c r="F5" s="31" t="n">
        <v>0.9034722222222222</v>
      </c>
      <c r="G5">
        <f>F5-E5</f>
        <v/>
      </c>
      <c r="H5" s="25" t="inlineStr">
        <is>
          <t>Nos trasladamos desde la agencia EERSSA Zamora al barrio San José Zamora, barrio San José Alto previa revisión en la estructura. 36243 se arregla conexión recalentada en conector de la red BT y acometida del medidor 18-250523. Nos trasladamos desde San José Alto a la agencia EERSSA Zamora.</t>
        </is>
      </c>
      <c r="I5" t="inlineStr">
        <is>
          <t xml:space="preserve"> REDES</t>
        </is>
      </c>
      <c r="J5" t="n">
        <v>174606</v>
      </c>
      <c r="K5" t="inlineStr">
        <is>
          <t>2, 3, 4</t>
        </is>
      </c>
      <c r="L5" t="n">
        <v>3</v>
      </c>
      <c r="M5" t="inlineStr">
        <is>
          <t>OT [01] Cuadrilla Zamora 2026-04-04 (007) RS.pdf</t>
        </is>
      </c>
    </row>
    <row r="6" ht="25.5" customHeight="1">
      <c r="A6" t="inlineStr">
        <is>
          <t>Zamora Z1 (Cuadrilla. Nro. 6)</t>
        </is>
      </c>
      <c r="B6" t="inlineStr">
        <is>
          <t>FR, RS, LL, VZH, JCR</t>
        </is>
      </c>
      <c r="C6" t="inlineStr">
        <is>
          <t>miércoles</t>
        </is>
      </c>
      <c r="D6" s="30" t="n">
        <v>46120</v>
      </c>
      <c r="E6" s="31" t="n">
        <v>0.7083333333333334</v>
      </c>
      <c r="F6" s="31" t="n">
        <v>0.7722222222222223</v>
      </c>
      <c r="G6">
        <f>F6-E6</f>
        <v/>
      </c>
      <c r="H6" s="25" t="inlineStr">
        <is>
          <t>DAÑO REPORTADO POR Centro de Control, Nambija, estructura. 194212 se arregla conexiones de bajantes del transformador 22182 de 37,5KVA, se cambia conectores. Desde Nambija, nos trasladamos hacia la Agencia Zamora.</t>
        </is>
      </c>
      <c r="I6" t="inlineStr">
        <is>
          <t>REDES</t>
        </is>
      </c>
      <c r="J6" t="n">
        <v>174212</v>
      </c>
      <c r="K6" t="inlineStr">
        <is>
          <t>11, 12</t>
        </is>
      </c>
      <c r="L6" t="n">
        <v>2</v>
      </c>
      <c r="M6" t="inlineStr">
        <is>
          <t>OT [01] Cuadrilla Zamora 2026-04-08 (006) FR.pdf</t>
        </is>
      </c>
    </row>
    <row r="7">
      <c r="A7" t="inlineStr">
        <is>
          <t>Zamora Z1 (Cuadrilla. Nro. 6)</t>
        </is>
      </c>
      <c r="B7" t="inlineStr">
        <is>
          <t>LL, GJ</t>
        </is>
      </c>
      <c r="C7" t="inlineStr">
        <is>
          <t>miércoles</t>
        </is>
      </c>
      <c r="D7" s="30" t="n">
        <v>46120</v>
      </c>
      <c r="E7" s="31" t="n">
        <v>0.8472222222222222</v>
      </c>
      <c r="F7" s="31" t="n">
        <v>0.9409722222222222</v>
      </c>
      <c r="G7">
        <f>F7-E7</f>
        <v/>
      </c>
      <c r="H7" s="25" t="inlineStr">
        <is>
          <t>Desde la Agencia Zamora, nos trasladamos hacia Namakuntza. DAÑO REPORTADO POR Centro de Control, Namakuntza, se habilita transformador 6420 de 10KVA, estructura. 34730,causa; desconocida. Desde Namakuntza, nos trasladamos a la Agencia Zamora.</t>
        </is>
      </c>
      <c r="I7" t="inlineStr">
        <is>
          <t>?</t>
        </is>
      </c>
      <c r="J7" t="n">
        <v>174212</v>
      </c>
      <c r="K7" t="inlineStr">
        <is>
          <t>16, 17, 18</t>
        </is>
      </c>
      <c r="L7" t="n">
        <v>3</v>
      </c>
      <c r="M7" t="inlineStr">
        <is>
          <t>OT [01] Cuadrilla Zamora 2026-04-08 (006) FR.pdf</t>
        </is>
      </c>
    </row>
    <row r="8">
      <c r="A8" t="inlineStr">
        <is>
          <t>Zamora Z1 (Cuadrilla. AP Nro. 4)</t>
        </is>
      </c>
      <c r="B8" t="inlineStr">
        <is>
          <t>LM, RY, JCH, MC</t>
        </is>
      </c>
      <c r="C8" t="inlineStr">
        <is>
          <t>lunes</t>
        </is>
      </c>
      <c r="D8" s="30" t="n">
        <v>46118</v>
      </c>
      <c r="E8" s="31" t="n">
        <v>0.7916666666666666</v>
      </c>
      <c r="F8" s="31" t="n">
        <v>0.9180555555555555</v>
      </c>
      <c r="G8">
        <f>F8-E8</f>
        <v/>
      </c>
      <c r="H8" s="25" t="inlineStr">
        <is>
          <t>Nos trasladamos desde Piuntza de Guadalupe hacia Nambija Bajo Nambija Bajo, en la estructura. No. 289655 se realiza Censo de carga al transformador monofásico sicap No. 27063 de 25 KVA. F1: 117V con 30A, F2: 117V con 31A, F1 y 2: 234V, N: 6A, Lado izquierdo hacia el puente, F1: 10,3A, F2: 2A, N: 3,2A. Lado Derecho hacia la iglesia, F1: 19,5A, F2: 24A, N: 4A. Conductor 2X2X2. Hora: 19:45 Desde Nambija Bajo hacia La Pista de Cumbaratza se hase recorrido levantando información de las luminarias con fallas La Pista de Cumbaratza se realiza pausa activa Desde La Pista de Cumbaratza hacia Zamora se hase recorrido levantando información de las luminarias con fallas</t>
        </is>
      </c>
      <c r="I8" t="inlineStr">
        <is>
          <t>REDES,  ALUMBRADO</t>
        </is>
      </c>
      <c r="J8" t="n">
        <v>174010</v>
      </c>
      <c r="K8" t="inlineStr">
        <is>
          <t>11, 12, 14, 15, 16</t>
        </is>
      </c>
      <c r="L8" t="n">
        <v>5</v>
      </c>
      <c r="M8" t="inlineStr">
        <is>
          <t>OT [02] Alumbrado Zamora 2026-04-06 (012) LM.pdf</t>
        </is>
      </c>
    </row>
    <row r="9" ht="25.5" customHeight="1">
      <c r="A9" t="inlineStr">
        <is>
          <t>Zamora Z1 (Cuadrilla. AP Nro. 4)</t>
        </is>
      </c>
      <c r="B9" t="inlineStr">
        <is>
          <t>LM, RY, JCH, MC</t>
        </is>
      </c>
      <c r="C9" t="inlineStr">
        <is>
          <t>martes</t>
        </is>
      </c>
      <c r="D9" s="30" t="n">
        <v>46119</v>
      </c>
      <c r="E9" s="31" t="n">
        <v>0.7847222222222222</v>
      </c>
      <c r="F9" s="31" t="n">
        <v>0.9180555555555555</v>
      </c>
      <c r="G9">
        <f>F9-E9</f>
        <v/>
      </c>
      <c r="H9" s="25" t="inlineStr">
        <is>
          <t>Zamora sector de La Pista de Cumbaratza se realiza pausa activa Zamora desde La Pista de Cumbaratza hacia Zamora se hase recorrido levantando información de luminarias con fallas. INSPECCIÓN, atendido, luminaria Led de 100 W, se cambia el SPD, estructura Nro. 273177, Apagada, 07/04/2026/20:40. Zamora en el ciclo vía Santa Elena hacia Timbara INSPECCIÓN, atendido, luminaria Led de 100 W, se cambia el SPD, estructura Nro. 273228, Apagada, 07/04/2026/20:49. Zamora en el ciclo vía Santa Elena hacia Timbara INSPECCIÓN, atendido, luminaria Led de 100 W, se cambia el SPD, estructura Nro. 273225, pagada, 07/04/2026/21:00. Zamora en el ciclo vía Santa Elena hacia Timbara Zamora en el ciclo vía Santa Elena hacia Timbara se espera a que pase la presencia de la lluvia. INSPECCIÓN, atendido, luminaria Led de 100 W, se cambia el SPD, estructura Nro. 273181, Apagada, 07/04/2026/21:30. Zamora en el ciclo vía Santa Elena hacia Timbara Nos trasladamos desde el ciclo vía Santa Elena ? Timbara hacia la agencia de la EERSSA Zamora y se deja guardando el vehículo.</t>
        </is>
      </c>
      <c r="I9" t="inlineStr">
        <is>
          <t xml:space="preserve"> ALUMBRADO</t>
        </is>
      </c>
      <c r="J9" t="n">
        <v>174101</v>
      </c>
      <c r="K9" t="inlineStr">
        <is>
          <t>23, 24, 25, 26, 27, 28, 29, 30</t>
        </is>
      </c>
      <c r="L9" t="n">
        <v>8</v>
      </c>
      <c r="M9" t="inlineStr">
        <is>
          <t>OT [02] Alumbrado Zamora 2026-04-07 (012) LM.pdf</t>
        </is>
      </c>
    </row>
    <row r="10">
      <c r="A10" t="inlineStr">
        <is>
          <t>Zamora Z1 (Cuadrilla. AP Nro. 4)</t>
        </is>
      </c>
      <c r="B10" t="inlineStr">
        <is>
          <t>LM, RY, JCH, MC</t>
        </is>
      </c>
      <c r="C10" t="inlineStr">
        <is>
          <t>miércoles</t>
        </is>
      </c>
      <c r="D10" s="30" t="n">
        <v>46120</v>
      </c>
      <c r="E10" s="31" t="n">
        <v>0.7777777777777778</v>
      </c>
      <c r="F10" s="31" t="n">
        <v>0.9180555555555555</v>
      </c>
      <c r="G10">
        <f>F10-E10</f>
        <v/>
      </c>
      <c r="H10" s="26" t="inlineStr">
        <is>
          <t>INSPECCIÓN, atendido, luminaria de 100W Na, se cambia, lámpara, balasto, arrancador, capacitor, fotocélula, 3 conectores de C/G, 2, 5 metros de cable concéntrico 3X14, estructura 179978, Apagada, 08/04/2026 Zamora barrio Tunantza Bajo. INSPECCIÓN, atendido, luminaria de 100W Na, se cambia, lámpara, estructura 181403, Apagada, 08/04/2026 Zamora barrio Tunantza Bajo. Pausa activa en Zamora Se realiza recorrido nocturno, levantando información de las luminarias con fallas en los sectores de Timbara, Cumbaratza, Namirez y Nambija Bajo. Namirez, por pedido del Ing. Andrew Quezada se realiza censo de carga en las estructura. No. 26876 transformador de 10 KVA sicap OID11183 Y No. 27874 transformador de 10 KVA sicap OID11182, Nos trasladamos desde Nambija Bajo hacia Zamora</t>
        </is>
      </c>
      <c r="I10" t="inlineStr">
        <is>
          <t xml:space="preserve"> ALUMBRADO, REDES</t>
        </is>
      </c>
      <c r="J10" t="n">
        <v>174367</v>
      </c>
      <c r="K10" t="inlineStr">
        <is>
          <t>18, 20, 21, 22, 23, 24</t>
        </is>
      </c>
      <c r="L10" t="n">
        <v>6</v>
      </c>
      <c r="M10" t="inlineStr">
        <is>
          <t>OT [02] Alumbrado Zamora 2026-04-08 (012) LM.pdf</t>
        </is>
      </c>
    </row>
    <row r="11" ht="63.75" customHeight="1">
      <c r="A11" t="inlineStr">
        <is>
          <t>Zamora Z1 (Cuadrilla. AP Nro. 4)</t>
        </is>
      </c>
      <c r="B11" t="inlineStr">
        <is>
          <t>LM, RY, JCH, MC</t>
        </is>
      </c>
      <c r="C11" t="inlineStr">
        <is>
          <t>jueves</t>
        </is>
      </c>
      <c r="D11" s="30" t="n">
        <v>46121</v>
      </c>
      <c r="E11" s="31" t="n">
        <v>0.7847222222222222</v>
      </c>
      <c r="F11" s="31" t="n">
        <v>0.9180555555555555</v>
      </c>
      <c r="G11">
        <f>F11-E11</f>
        <v/>
      </c>
      <c r="H11" s="27" t="inlineStr">
        <is>
          <t>Se realiza recorrido Nocturno levantando información de las luminarias con fallas, en los sectores desde Namirez hacia San Carlos de Las Minas. Nos trasladamos desde San Carlos de Las Minas hacia el sector de La Pista de Cumbaratza Pausa activa en el sector de La Pista de Cumbaratza Se realiza recorrido Nocturno levantando información de las luminarias con fallas, en los sectores desde La Pista de Cumbaratza hacia el barrio Benjamín Carrión en Zamora.</t>
        </is>
      </c>
      <c r="I11" t="inlineStr">
        <is>
          <t>?</t>
        </is>
      </c>
      <c r="J11" t="n">
        <v>174436</v>
      </c>
      <c r="K11" t="inlineStr">
        <is>
          <t>12, 13, 14, 15</t>
        </is>
      </c>
      <c r="L11" t="n">
        <v>4</v>
      </c>
      <c r="M11" t="inlineStr">
        <is>
          <t>OT [02] Alumbrado Zamora 2026-04-09 (012) LM.pdf</t>
        </is>
      </c>
    </row>
    <row r="12" ht="38.25" customHeight="1">
      <c r="A12" t="inlineStr">
        <is>
          <t>Zamora Z1 (Cuadrilla. AP Nro. 4)</t>
        </is>
      </c>
      <c r="B12" t="inlineStr">
        <is>
          <t>LM, RY, JCH, MC</t>
        </is>
      </c>
      <c r="C12" t="inlineStr">
        <is>
          <t>viernes</t>
        </is>
      </c>
      <c r="D12" s="30" t="n">
        <v>46122</v>
      </c>
      <c r="E12" s="31" t="n">
        <v>0.7875</v>
      </c>
      <c r="F12" s="31" t="n">
        <v>0.9173611111111111</v>
      </c>
      <c r="G12">
        <f>F12-E12</f>
        <v/>
      </c>
      <c r="H12" s="27" t="inlineStr">
        <is>
          <t>INSPECCIÓN. Atendido, luminaria de 100 W Na, se cambia, lámpara, estructura 37262, Apagada, 10/04/2026/19:18. Zamora, San Carlos de Las Minas Nos trasladamos desde San Carlos de Las Minas hacia Zamora Pausa activa en Zamora. INSPECCIÓN. Atendido, Repotenciación, luminaria de 70 W Na en mal estado, se retira y en remplazo se deja instalando luminaria de 100 W Na usada con brazo, se ocupa: luminaria, fotocélula, lámpara 2 metros de cable concéntrico 3X14, 3 conectores de C/G, estructura 61938, Apagada, 10/04/2026/15:00. se toma imágenes para lo de la ficha SIG. Zamora, barrio 2 de Noviembre pasaje Modesto Gálvez. INSPECCIÓN. Atendido, Repotenciación, luminaria de 70 W Na en mal estado, se retira y en remplazo se deja instalando luminaria de 100 W Na usada con brazo, se ocupa: luminaria, fotocélula, lámpara 3 conectores de C/G, estructura 61939, Apagada, 10/04/2026/15:00. se toma imágenes para lo de la ficha SIG. Zamora, barrio 2 de Noviembre pasaje Modesto Gálvez. INSPECCIÓN. Atendido, Repotenciación, luminaria de 70 W Na en mal estado, se retira y en remplazo se deja instalando luminaria de 100 W Na usada con brazo, se ocupa: luminaria, fotocélula, lámpara 3 conectores de C/G, estructura 61640, Apagada, 10/04/2026/15:00. se toma imágenes para lo de la ficha SIG. Zamora, barrio 2 de Noviembre pasaje Modesto Gálvez. En la agencia de la EERSSA Zamora se deja guardando el vehículo.</t>
        </is>
      </c>
      <c r="I12" t="inlineStr">
        <is>
          <t>ALUMBRADO</t>
        </is>
      </c>
      <c r="J12" t="n">
        <v>174518</v>
      </c>
      <c r="K12" t="inlineStr">
        <is>
          <t>19, 20, 21, 22, 24, 26, 28</t>
        </is>
      </c>
      <c r="L12" t="n">
        <v>7</v>
      </c>
      <c r="M12" t="inlineStr">
        <is>
          <t>OT [02] Alumbrado Zamora 2026-04-10 (012) LM.pdf</t>
        </is>
      </c>
    </row>
    <row r="13">
      <c r="A13" t="inlineStr">
        <is>
          <t>Yacuambi Z1 (Cuadrilla. Nro. 8)</t>
        </is>
      </c>
      <c r="B13" t="inlineStr">
        <is>
          <t>NL, WC, NR</t>
        </is>
      </c>
      <c r="C13" t="inlineStr">
        <is>
          <t>miércoles</t>
        </is>
      </c>
      <c r="D13" s="30" t="n">
        <v>46113</v>
      </c>
      <c r="E13" s="31" t="n">
        <v>0.7083333333333334</v>
      </c>
      <c r="F13" s="31" t="n">
        <v>0.90625</v>
      </c>
      <c r="G13">
        <f>F13-E13</f>
        <v/>
      </c>
      <c r="H13" s="27" t="inlineStr">
        <is>
          <t>Desde Chapintza Bajo se hala con cuerdas al vehiculo 4-52 daño de embrague con el vehiculo 4-36 hasta la agencia Zamora, se descarga materiales y herramientas se equipa al vehículo 4-36 DAÑO REPORTADO POR Centro de Control. Mensaje de Centro de Control. Traslado desde Zamora hasta Chapintza Bajo informan derivación a Chapintza Alto sin servicio eléctrico En Chapintza Bajo en la estructura 38958 se encuentra tirafusible quemado derivación a Chapintza Alto, se revisa la derivación y no se encuentra novedades, luego en la estructura 38958 Se repone 1 tirafusible de 25A-T y se restablece el servicio eléctrico CARGA: 70KVA: FUSIBLE 1x25A-T FECHA DESC: 01/04/2026 (16:00 aprox) FECHA CONX: (21:45) CAUSA se desconoce</t>
        </is>
      </c>
      <c r="I13" t="inlineStr">
        <is>
          <t>REDES</t>
        </is>
      </c>
      <c r="J13" t="n">
        <v>173911</v>
      </c>
      <c r="K13" t="inlineStr">
        <is>
          <t>16, 17, 18</t>
        </is>
      </c>
      <c r="L13" t="n">
        <v>3</v>
      </c>
      <c r="M13" t="inlineStr">
        <is>
          <t>OT [03] Cuadrilla Yacuambi 2026-04-01 (017) NL.pdf</t>
        </is>
      </c>
    </row>
    <row r="14">
      <c r="A14" t="inlineStr">
        <is>
          <t>Yacuambi Z1 (Cuadrilla. Nro. 8)</t>
        </is>
      </c>
      <c r="B14" t="inlineStr">
        <is>
          <t>NL, WC</t>
        </is>
      </c>
      <c r="C14" t="inlineStr">
        <is>
          <t>sábado</t>
        </is>
      </c>
      <c r="D14" s="30" t="n">
        <v>46116</v>
      </c>
      <c r="E14" s="31" t="n">
        <v>0.8263888888888888</v>
      </c>
      <c r="F14" s="31" t="n">
        <v>0.9583333333333334</v>
      </c>
      <c r="G14">
        <f>F14-E14</f>
        <v/>
      </c>
      <c r="H14" s="24" t="inlineStr">
        <is>
          <t>DAÑO REPORTADO POR Centro de Control. Mensaje de Centro de Control. Traslado desde Yacuambi hasta Guadalupe informan sector la Clínica Misional sin servicio eléctrico En Guadalupe sector la Clínica Misional se la estructura 179563 se encuentra transformador bloqueado sicap 9859 de 10KVA, se revisa encontrando vegetación sobre la LBT Se asegura con cuerdas a los arboles y se hace desbroce de vegetación con motosierra en la estructura 38722 luego en la estructura 179563 se activa breaker del transfo sicap 9859 de 10KVA Y se restablece el servicio eléctrico CARGA: 10KVA FECHA DESC: 04/04/2026 (18:00 aprox) FECHA CONX: (22:00) CAUSA vegetación en LBT Desde Guadalupe se retorna a Yacuambi</t>
        </is>
      </c>
      <c r="I14" t="inlineStr">
        <is>
          <t>REDES</t>
        </is>
      </c>
      <c r="J14" t="n">
        <v>174123</v>
      </c>
      <c r="K14" t="inlineStr">
        <is>
          <t>2, 3, 7</t>
        </is>
      </c>
      <c r="L14" t="n">
        <v>3</v>
      </c>
      <c r="M14" t="inlineStr">
        <is>
          <t>OT [03] Cuadrilla Yacuambi 2026-04-04 (017) NL.pdf</t>
        </is>
      </c>
    </row>
    <row r="15">
      <c r="A15" t="inlineStr">
        <is>
          <t>Yacuambi Z1 (Cuadrilla. Nro. 8)</t>
        </is>
      </c>
      <c r="B15" t="inlineStr">
        <is>
          <t>NL, WC</t>
        </is>
      </c>
      <c r="C15" t="inlineStr">
        <is>
          <t>domingo</t>
        </is>
      </c>
      <c r="D15" s="30" t="n">
        <v>46117</v>
      </c>
      <c r="E15" s="31" t="n">
        <v>0.375</v>
      </c>
      <c r="F15" s="31" t="n">
        <v>0.5694444444444444</v>
      </c>
      <c r="G15">
        <f>F15-E15</f>
        <v/>
      </c>
      <c r="H15" s="24" t="inlineStr">
        <is>
          <t>DAÑO REPORTADO POR Centro de Control. Mensaje de Centro de Control. Traslado desde Yacuambi hasta Guadalupe barrio San Ramón informan domicilio sin servicio eléctrico En Guadalupe Barrio San Ramon se encuentra acometida triplex arrancada del Med 258811 por caída de vegetación, se asegura con cuerdas a los arboles y se hace desbroce De vegetación con motosierra se retira acometida en mal estado se empalma 10 metros de acometida triplex Nro 6 se regula acometida y se restablece el servicio eléctrico Desde el Barrio San Ramon se retorna a Yacuambi</t>
        </is>
      </c>
      <c r="I15" t="inlineStr">
        <is>
          <t xml:space="preserve"> REDES</t>
        </is>
      </c>
      <c r="J15" t="n">
        <v>174157</v>
      </c>
      <c r="K15" t="inlineStr">
        <is>
          <t>2, 3, 5</t>
        </is>
      </c>
      <c r="L15" t="n">
        <v>3</v>
      </c>
      <c r="M15" t="inlineStr">
        <is>
          <t>OT [03] Cuadrilla Yacuambi 2026-04-05 (017) NL.pdf</t>
        </is>
      </c>
    </row>
    <row r="16">
      <c r="A16" t="inlineStr">
        <is>
          <t>Yacuambi Z1 (Cuadrilla. Nro. 8)</t>
        </is>
      </c>
      <c r="B16" t="inlineStr">
        <is>
          <t>NL, WC, NR</t>
        </is>
      </c>
      <c r="C16" t="inlineStr">
        <is>
          <t>miércoles</t>
        </is>
      </c>
      <c r="D16" s="30" t="n">
        <v>46120</v>
      </c>
      <c r="E16" s="31" t="n">
        <v>0.2569444444444444</v>
      </c>
      <c r="F16" s="31" t="n">
        <v>0.4583333333333333</v>
      </c>
      <c r="G16">
        <f>F16-E16</f>
        <v/>
      </c>
      <c r="H16" s="24" t="inlineStr">
        <is>
          <t>Traslado desde Yacuambi hasta Zamora Agencia de la EERSSA En Zamora sector La Unión se colabora en corte de arbol gigante con tirfor y motosierra en conjunto con la Cuadrilla de Zamora Sr (FR) Cuadrilla Yacuambi Sr (NL) se recoge herramientas Y materiales</t>
        </is>
      </c>
      <c r="I16" t="inlineStr">
        <is>
          <t>REDES</t>
        </is>
      </c>
      <c r="J16" t="n">
        <v>174319</v>
      </c>
      <c r="K16" t="inlineStr">
        <is>
          <t>2, 3</t>
        </is>
      </c>
      <c r="L16" t="n">
        <v>2</v>
      </c>
      <c r="M16" t="inlineStr">
        <is>
          <t>OT [03] Cuadrilla Yacuambi 2026-04-08 (017) NL.pdf</t>
        </is>
      </c>
    </row>
    <row r="17">
      <c r="A17" t="inlineStr">
        <is>
          <t>Yacuambi Z1 (Cuadrilla. Nro. 8)</t>
        </is>
      </c>
      <c r="B17" t="inlineStr">
        <is>
          <t>WC, NR</t>
        </is>
      </c>
      <c r="C17" t="inlineStr">
        <is>
          <t>jueves</t>
        </is>
      </c>
      <c r="D17" s="30" t="n">
        <v>46121</v>
      </c>
      <c r="E17" s="31" t="n">
        <v>0.8333333333333334</v>
      </c>
      <c r="F17" s="31" t="n">
        <v>0.9340277777777778</v>
      </c>
      <c r="G17">
        <f>F17-E17</f>
        <v/>
      </c>
      <c r="H17" s="24" t="inlineStr">
        <is>
          <t>Traslado desde Yacuambi hasta barrio Jembuentza En el barrio Jembuentza se verifica acometida del Med 1241739 se encuentra arrancada por deslizamiento de tierra, se desmonta acometida en mal estado y se repone 20 mts de acometida triplex 3x6 Se procede con las mediciones correspondientes y se normaliza el servicio eléctrico. De Jembuentza se retorna a Yacuambi.</t>
        </is>
      </c>
      <c r="I17" t="inlineStr">
        <is>
          <t xml:space="preserve"> ACOMETIDAS</t>
        </is>
      </c>
      <c r="J17" t="n">
        <v>174528</v>
      </c>
      <c r="K17" t="inlineStr">
        <is>
          <t>2, 3, 6</t>
        </is>
      </c>
      <c r="L17" t="n">
        <v>3</v>
      </c>
      <c r="M17" t="inlineStr">
        <is>
          <t>OT [03] Cuadrilla Yacuambi 2026-04-09 (018) WC.pdf</t>
        </is>
      </c>
    </row>
    <row r="18" ht="27" customHeight="1">
      <c r="A18" t="inlineStr">
        <is>
          <t>Yantzaza Z1 (Cuadrilla. Nro. 5)</t>
        </is>
      </c>
      <c r="B18" t="inlineStr">
        <is>
          <t>SB, JLC</t>
        </is>
      </c>
      <c r="C18" t="inlineStr">
        <is>
          <t>viernes</t>
        </is>
      </c>
      <c r="D18" s="30" t="n">
        <v>46122</v>
      </c>
      <c r="E18" s="31" t="n">
        <v>0.28125</v>
      </c>
      <c r="F18" s="31" t="n">
        <v>0.3402777777777778</v>
      </c>
      <c r="G18">
        <f>F18-E18</f>
        <v/>
      </c>
      <c r="H18" s="24" t="inlineStr">
        <is>
          <t>En Yantzaza se realiza plan de maniobras en coordinación con Centro de Control, segun WR..1103028506. cierre de seccionadores tipo barra en estructura: 211933, para enmallar AP Yantzaza III con Paquisha En estructura: 255182 apertura de seccionadores tipo barra para separar AP Yantzaza III con Paquisha, or cubrir carga por trabajo en S/E Bomboiza Traslado desde Yantzaza hasta Muchime En Muchime en reguladores de voltaje en coordinación con Centro de Control, se posesiona en Manual y se coloca el TAP en Neutral a los Reguladores</t>
        </is>
      </c>
      <c r="I18" t="inlineStr">
        <is>
          <t>REDES</t>
        </is>
      </c>
      <c r="J18" t="n">
        <v>174472</v>
      </c>
      <c r="K18" t="inlineStr">
        <is>
          <t>2, 4, 5</t>
        </is>
      </c>
      <c r="L18" t="n">
        <v>3</v>
      </c>
      <c r="M18" t="inlineStr">
        <is>
          <t>OT [04] Cuadrilla Yantzaza 2026-04-10 (021) SB.pdf</t>
        </is>
      </c>
    </row>
    <row r="19">
      <c r="A19" t="inlineStr">
        <is>
          <t>Yantzaza Z1 (Cuadrilla. Nro. 5)</t>
        </is>
      </c>
      <c r="B19" t="inlineStr">
        <is>
          <t>AA, GT</t>
        </is>
      </c>
      <c r="C19" t="inlineStr">
        <is>
          <t>viernes</t>
        </is>
      </c>
      <c r="D19" s="30" t="n">
        <v>46122</v>
      </c>
      <c r="E19" s="31" t="n">
        <v>0.7597222222222222</v>
      </c>
      <c r="F19" s="31" t="n">
        <v>0.8236111111111111</v>
      </c>
      <c r="G19">
        <f>F19-E19</f>
        <v/>
      </c>
      <c r="H19" s="24" t="inlineStr">
        <is>
          <t>DAÑO REPORTADO POR CENTRO DE CONTROL (Mensaje de Whats App). Nos trasladamos de la agencia Yantzaza a Los Encuentros, La Centza. La Centza. estructura 181929, se revisa el medidor 240856, se encuentra la salida del breaker en mal estado, se cambia la salida (110v) (19:10). Pendiente cambio de breaker y arreglo de instalación interna. Nos trasladamos de Los Encuentros a la agencia Yantzaza.</t>
        </is>
      </c>
      <c r="I19" t="inlineStr">
        <is>
          <t xml:space="preserve"> MEDIDORES</t>
        </is>
      </c>
      <c r="J19" t="n">
        <v>174482</v>
      </c>
      <c r="K19" t="inlineStr">
        <is>
          <t>1, 2, 3</t>
        </is>
      </c>
      <c r="L19" t="n">
        <v>3</v>
      </c>
      <c r="M19" t="inlineStr">
        <is>
          <t>OT [04] Cuadrilla Yantzaza 2026-04-10 (022) AA.pdf</t>
        </is>
      </c>
    </row>
    <row r="20">
      <c r="A20" t="inlineStr">
        <is>
          <t>Líneas Energizadas (Cuadrilla  Nro.6)</t>
        </is>
      </c>
      <c r="B20" t="inlineStr">
        <is>
          <t>GLE</t>
        </is>
      </c>
      <c r="C20" t="inlineStr">
        <is>
          <t>miércoles</t>
        </is>
      </c>
      <c r="D20" s="30" t="n">
        <v>46113</v>
      </c>
      <c r="E20" s="31" t="n">
        <v>0.2708333333333333</v>
      </c>
      <c r="F20" s="31" t="n">
        <v>0.3541666666666667</v>
      </c>
      <c r="G20">
        <f>F20-E20</f>
        <v/>
      </c>
      <c r="H20" s="24" t="inlineStr">
        <is>
          <t>Se Coordina trabajos con jefe inmediato y centro de control, se realiza maniobras de mallado interno del Reconectador Las Peñas con Nueva Tarqui y Neutralizada de Reguladores Gualaquiza.</t>
        </is>
      </c>
      <c r="I20" t="inlineStr">
        <is>
          <t>REDES</t>
        </is>
      </c>
      <c r="J20" t="n">
        <v>173844</v>
      </c>
      <c r="K20" t="inlineStr">
        <is>
          <t>1</t>
        </is>
      </c>
      <c r="L20" t="n">
        <v>1</v>
      </c>
      <c r="M20" t="inlineStr">
        <is>
          <t>OT [05] Energizados Yantzaza 2026-04-01 (027) LA.pdf</t>
        </is>
      </c>
    </row>
    <row r="21" ht="25.5" customHeight="1">
      <c r="A21" t="inlineStr">
        <is>
          <t>Líneas Energizadas (Cuadrilla  Nro.6)</t>
        </is>
      </c>
      <c r="B21" t="inlineStr">
        <is>
          <t>GLE</t>
        </is>
      </c>
      <c r="C21" t="inlineStr">
        <is>
          <t>miércoles</t>
        </is>
      </c>
      <c r="D21" s="30" t="n">
        <v>46113</v>
      </c>
      <c r="E21" s="31" t="n">
        <v>0.625</v>
      </c>
      <c r="F21" s="31" t="n">
        <v>0.7708333333333334</v>
      </c>
      <c r="G21">
        <f>F21-E21</f>
        <v/>
      </c>
      <c r="H21" s="25" t="inlineStr">
        <is>
          <t>Gualaquiza: estructura 26088 - 40747 izado de dos postes de 14m con linea energizada. Gualaquiza: estructura S/N conexión de puentes de media tensión de reconectador nuevo Laboran: LA, CB, RM, CO, SR de 06:30 a 18:30. Se pernota en Gualaquiza. Kilometraje canasta 2-146: inicial: 1517 FINAL: 1540</t>
        </is>
      </c>
      <c r="I21" t="inlineStr">
        <is>
          <t>REDES,  REDES</t>
        </is>
      </c>
      <c r="J21" t="n">
        <v>173844</v>
      </c>
      <c r="K21" t="inlineStr">
        <is>
          <t>5, 6</t>
        </is>
      </c>
      <c r="L21" t="n">
        <v>2</v>
      </c>
      <c r="M21" t="inlineStr">
        <is>
          <t>OT [05] Energizados Yantzaza 2026-04-01 (027) LA.pdf</t>
        </is>
      </c>
    </row>
    <row r="22" ht="25.5" customHeight="1">
      <c r="A22" t="inlineStr">
        <is>
          <t>Líneas Energizadas (Cuadrilla  Nro.6)</t>
        </is>
      </c>
      <c r="B22" t="inlineStr">
        <is>
          <t>GLE</t>
        </is>
      </c>
      <c r="C22" t="inlineStr">
        <is>
          <t>lunes</t>
        </is>
      </c>
      <c r="D22" s="30" t="n">
        <v>46118</v>
      </c>
      <c r="E22" s="31" t="n">
        <v>0.7083333333333334</v>
      </c>
      <c r="F22" s="31" t="n">
        <v>0.7708333333333334</v>
      </c>
      <c r="G22">
        <f>F22-E22</f>
        <v/>
      </c>
      <c r="H22" s="25" t="inlineStr">
        <is>
          <t>San Carlos de las Minas - Yantzaza.</t>
        </is>
      </c>
      <c r="I22" t="inlineStr">
        <is>
          <t>?</t>
        </is>
      </c>
      <c r="J22" t="n">
        <v>174118</v>
      </c>
      <c r="K22" t="inlineStr">
        <is>
          <t>7</t>
        </is>
      </c>
      <c r="L22" t="n">
        <v>1</v>
      </c>
      <c r="M22" t="inlineStr">
        <is>
          <t>OT [05] Energizados Yantzaza 2026-04-06 (027) LA.pdf</t>
        </is>
      </c>
    </row>
    <row r="23" ht="38.25" customHeight="1">
      <c r="A23" t="inlineStr">
        <is>
          <t>Paquisha Z1 (Cuadrilla Nro. 10)</t>
        </is>
      </c>
      <c r="B23" t="inlineStr">
        <is>
          <t>JA, MS</t>
        </is>
      </c>
      <c r="C23" t="inlineStr">
        <is>
          <t>sábado</t>
        </is>
      </c>
      <c r="D23" s="30" t="n">
        <v>46116</v>
      </c>
      <c r="E23" s="31" t="n">
        <v>0.4319444444444445</v>
      </c>
      <c r="F23" s="31" t="n">
        <v>0.4756944444444444</v>
      </c>
      <c r="G23">
        <f>F23-E23</f>
        <v/>
      </c>
      <c r="H23" s="25" t="inlineStr">
        <is>
          <t>Por comunicado de Centro de Control se sale atender una incidencia sin SE una vivienda en el sector de Natenza informa la Sra. Rosa Poma, Traslado a Natenza Se llega al lugar y en la estructura 32476 se revisa el Medidor 18-213414 y se encuentra el breaker general en mal estado se cambia el breaker y se ajustan todas las conexiones quedando normal el SE Traslado a la Bodega de Paquisha</t>
        </is>
      </c>
      <c r="I23" t="inlineStr">
        <is>
          <t xml:space="preserve"> MEDIDORES</t>
        </is>
      </c>
      <c r="J23" t="n">
        <v>174048</v>
      </c>
      <c r="K23" t="inlineStr">
        <is>
          <t>2, 3, 4</t>
        </is>
      </c>
      <c r="L23" t="n">
        <v>3</v>
      </c>
      <c r="M23" t="inlineStr">
        <is>
          <t>OT [06] Cuadrilla Paquisha 2026-04-04 (034) JA.pdf</t>
        </is>
      </c>
    </row>
    <row r="24" ht="25.5" customHeight="1">
      <c r="A24" t="inlineStr">
        <is>
          <t>Paquisha Z1 (Cuadrilla Nro. 10)</t>
        </is>
      </c>
      <c r="B24" t="inlineStr">
        <is>
          <t>JA, MS</t>
        </is>
      </c>
      <c r="C24" t="inlineStr">
        <is>
          <t>domingo</t>
        </is>
      </c>
      <c r="D24" s="30" t="n">
        <v>46117</v>
      </c>
      <c r="E24" s="31" t="n">
        <v>0.6381944444444444</v>
      </c>
      <c r="F24" s="31" t="n">
        <v>0.6881944444444444</v>
      </c>
      <c r="G24">
        <f>F24-E24</f>
        <v/>
      </c>
      <c r="H24" s="25" t="inlineStr">
        <is>
          <t>Por comunicado de Centro de Control se sale atender una incidencia sin SE un cliente en el cerro Santa Barbara informa la Sra. Cristina Velez, Traslado a Zumbi sector Cuje Se llega al lugar y se revisa las derivaciones en MV en la estructura 29135 y 289546 y se encuentran normal el Servicio se intenta comunicar con la persona que reporta el reclamo no contesta el teléfono Queda pendiente hasta que se regirte nuevamente el reclamo ya que es zona rural dispersa Traslado a la Bodega de Paquisha</t>
        </is>
      </c>
      <c r="I24" t="inlineStr">
        <is>
          <t xml:space="preserve"> MEDIDORES</t>
        </is>
      </c>
      <c r="J24" t="n">
        <v>174127</v>
      </c>
      <c r="K24" t="inlineStr">
        <is>
          <t>2, 3, 5</t>
        </is>
      </c>
      <c r="L24" t="n">
        <v>3</v>
      </c>
      <c r="M24" t="inlineStr">
        <is>
          <t>OT [06] Cuadrilla Paquisha 2026-04-05 (034) JA.pdf</t>
        </is>
      </c>
    </row>
    <row r="25">
      <c r="A25" t="inlineStr">
        <is>
          <t>Paquisha Z1 (Cuadrilla Nro. 10)</t>
        </is>
      </c>
      <c r="B25" t="inlineStr">
        <is>
          <t>AMARI ORDONEZ JUNIOR IVAN</t>
        </is>
      </c>
      <c r="C25" t="inlineStr">
        <is>
          <t>jueves</t>
        </is>
      </c>
      <c r="D25" s="30" t="n">
        <v>46121</v>
      </c>
      <c r="E25" s="31" t="n">
        <v>0.6875</v>
      </c>
      <c r="F25" s="31" t="n">
        <v>0.8125</v>
      </c>
      <c r="G25">
        <f>F25-E25</f>
        <v/>
      </c>
      <c r="H25" s="24" t="inlineStr">
        <is>
          <t>Traslado a Guaysimi Por comunicado de Centro de Control se sale atender una incidencia sin SE un sector de Santa Elena, informa el Sr. Freddy Gonzáles traslado a Santa Elena Se llega al lugar y en la estructura 34357 se encuentra el Trafo 14444 de 3 KVA bloqueado se reconecta el breaker del Trafo se vuelve a bloquear se revisa y se encuentra cortocircuito interno en el Medidor 270991 se aísla la falla y se reconecta el breaker del Trafo quedando normal el Servicio eléctrico Traslado a la Bodega de Paquisha</t>
        </is>
      </c>
      <c r="I25" t="inlineStr">
        <is>
          <t xml:space="preserve"> REDES</t>
        </is>
      </c>
      <c r="J25" t="n">
        <v>174423</v>
      </c>
      <c r="K25" t="inlineStr">
        <is>
          <t>11, 12, 13, 15</t>
        </is>
      </c>
      <c r="L25" t="n">
        <v>4</v>
      </c>
      <c r="M25" t="inlineStr">
        <is>
          <t>OT [06] Cuadrilla Paquisha 2026-04-09 (034) JA.pdf</t>
        </is>
      </c>
    </row>
    <row r="26">
      <c r="A26" t="inlineStr">
        <is>
          <t>Paquisha Z1 (Cuadrilla Nro. 10)</t>
        </is>
      </c>
      <c r="B26" t="inlineStr">
        <is>
          <t>JA, DG, MS, JJ</t>
        </is>
      </c>
      <c r="C26" t="inlineStr">
        <is>
          <t>viernes</t>
        </is>
      </c>
      <c r="D26" s="30" t="n">
        <v>46122</v>
      </c>
      <c r="E26" s="31" t="n">
        <v>0.25</v>
      </c>
      <c r="F26" s="31" t="n">
        <v>0.3541666666666667</v>
      </c>
      <c r="G26">
        <f>F26-E26</f>
        <v/>
      </c>
      <c r="H26" s="24" t="inlineStr">
        <is>
          <t>Traslado a Guaysimi En Guaysimi se recoge a los compañeros de la cuadrilla de Guaysimi ya que no disponen de vehículo Traslado a El Miasi</t>
        </is>
      </c>
      <c r="I26" t="inlineStr">
        <is>
          <t>?</t>
        </is>
      </c>
      <c r="J26" t="n">
        <v>174471</v>
      </c>
      <c r="K26" t="inlineStr">
        <is>
          <t>2, 3, 4</t>
        </is>
      </c>
      <c r="L26" t="n">
        <v>3</v>
      </c>
      <c r="M26" t="inlineStr">
        <is>
          <t>OT [06] Cuadrilla Paquisha 2026-04-10 (034) JA.pdf</t>
        </is>
      </c>
    </row>
    <row r="27" ht="25.5" customHeight="1">
      <c r="A27" t="inlineStr">
        <is>
          <t>Paquisha Z1 (Cuadrilla Nro. 10)</t>
        </is>
      </c>
      <c r="B27" t="inlineStr">
        <is>
          <t>JA, DG, MS, JJ</t>
        </is>
      </c>
      <c r="C27" t="inlineStr">
        <is>
          <t>viernes</t>
        </is>
      </c>
      <c r="D27" s="30" t="n">
        <v>46122</v>
      </c>
      <c r="E27" s="31" t="n">
        <v>0.7361111111111112</v>
      </c>
      <c r="F27" s="31" t="n">
        <v>0.75</v>
      </c>
      <c r="G27">
        <f>F27-E27</f>
        <v/>
      </c>
      <c r="H27" s="25" t="inlineStr">
        <is>
          <t>Se llega la lugar y en la estructura 37895 se encuentra cortocircuito en la a cometida y las borneras del Medidor en mal estado se retira el medidor y se deja el servicio eléctrico directo quedando normal Traslado a la bodega de Paquisha</t>
        </is>
      </c>
      <c r="I27" t="inlineStr">
        <is>
          <t xml:space="preserve"> MEDIDORES</t>
        </is>
      </c>
      <c r="J27" t="n">
        <v>174471</v>
      </c>
      <c r="K27" t="inlineStr">
        <is>
          <t>13, 14</t>
        </is>
      </c>
      <c r="L27" t="n">
        <v>2</v>
      </c>
      <c r="M27" t="inlineStr">
        <is>
          <t>OT [06] Cuadrilla Paquisha 2026-04-10 (034) JA.pdf</t>
        </is>
      </c>
    </row>
    <row r="28" ht="25.5" customHeight="1">
      <c r="A28" t="inlineStr">
        <is>
          <t>Guayzimi Z1 (Cuadrilla. Nro. 7)</t>
        </is>
      </c>
      <c r="B28" t="inlineStr">
        <is>
          <t>CQ, AC, JL</t>
        </is>
      </c>
      <c r="C28" t="inlineStr">
        <is>
          <t>jueves</t>
        </is>
      </c>
      <c r="D28" s="30" t="n">
        <v>46121</v>
      </c>
      <c r="E28" s="31" t="n">
        <v>0.2708333333333333</v>
      </c>
      <c r="F28" s="31" t="n">
        <v>0.3611111111111111</v>
      </c>
      <c r="G28">
        <f>F28-E28</f>
        <v/>
      </c>
      <c r="H28" s="25" t="inlineStr">
        <is>
          <t>Guayzimi - Yayu.</t>
        </is>
      </c>
      <c r="I28" t="inlineStr">
        <is>
          <t>?</t>
        </is>
      </c>
      <c r="J28" t="n">
        <v>174393</v>
      </c>
      <c r="K28" t="inlineStr">
        <is>
          <t>2</t>
        </is>
      </c>
      <c r="L28" t="n">
        <v>1</v>
      </c>
      <c r="M28" t="inlineStr">
        <is>
          <t>OT [07] Cuadrilla Guayzimi 2026-04-09 (038) CQ.pdf</t>
        </is>
      </c>
    </row>
    <row r="29" ht="25.5" customHeight="1">
      <c r="A29" t="inlineStr">
        <is>
          <t>Guayzimi Z1 (Cuadrilla. Nro. 7)</t>
        </is>
      </c>
      <c r="B29" t="inlineStr">
        <is>
          <t>CQ, AC, JL</t>
        </is>
      </c>
      <c r="C29" t="inlineStr">
        <is>
          <t>jueves</t>
        </is>
      </c>
      <c r="D29" s="30" t="n">
        <v>46121</v>
      </c>
      <c r="E29" s="31" t="n">
        <v>0.6041666666666666</v>
      </c>
      <c r="F29" s="31" t="n">
        <v>0.7541666666666667</v>
      </c>
      <c r="G29">
        <f>F29-E29</f>
        <v/>
      </c>
      <c r="H29" s="25" t="inlineStr">
        <is>
          <t>Daño Centro de Control Nuevo Paraíso - Santa Elena por el sector de El Miasi el vehículo 4-33 sufre falla mecánica Que impide continuar trasladándonos se deja el vehículo en un sitio seguro hasta segunda orden y nos integramos a la cuadrilla Paquisha a su regreso a Guayzimi Llegando a Guayzimi a las 18:06</t>
        </is>
      </c>
      <c r="I29" t="inlineStr">
        <is>
          <t>?</t>
        </is>
      </c>
      <c r="J29" t="n">
        <v>174393</v>
      </c>
      <c r="K29" t="inlineStr">
        <is>
          <t>9</t>
        </is>
      </c>
      <c r="L29" t="n">
        <v>1</v>
      </c>
      <c r="M29" t="inlineStr">
        <is>
          <t>OT [07] Cuadrilla Guayzimi 2026-04-09 (038) CQ.pdf</t>
        </is>
      </c>
    </row>
    <row r="30" ht="25.5" customHeight="1">
      <c r="A30" t="inlineStr">
        <is>
          <t>Guayzimi Z1 (Cuadrilla. Nro. 7)</t>
        </is>
      </c>
      <c r="B30" t="inlineStr">
        <is>
          <t>CQ, AC, JL</t>
        </is>
      </c>
      <c r="C30" t="inlineStr">
        <is>
          <t>viernes</t>
        </is>
      </c>
      <c r="D30" s="30" t="n">
        <v>46122</v>
      </c>
      <c r="E30" s="31" t="n">
        <v>0.2847222222222222</v>
      </c>
      <c r="F30" s="31" t="n">
        <v>0.5416666666666666</v>
      </c>
      <c r="G30">
        <f>F30-E30</f>
        <v/>
      </c>
      <c r="H30" s="25" t="inlineStr">
        <is>
          <t>Nos integramos a la cuadrilla Paquisha nos trasladamos conjuntamente nos trasladamos al sector Yawi Se continúa con los trabajos de cambio de estructura Nro. 71535 quebrado por caída de un árbol realiza siguientes trabajos con apoyo de abonados del sector Traslado de nuevo estructura de la vía al sitio del estructura quebrado; con apoyo de una retroexcavadora se realiza limpieza de vegetación árboles de gran magnitud Proyectados al estructura a cambiar; desvestida del estructura saliente, parada del nuevo estructura, vestida retensada de línea cerrada de puentes eléctricos</t>
        </is>
      </c>
      <c r="I30" t="inlineStr">
        <is>
          <t>REDES</t>
        </is>
      </c>
      <c r="J30" t="n">
        <v>174473</v>
      </c>
      <c r="K30" t="inlineStr">
        <is>
          <t>2</t>
        </is>
      </c>
      <c r="L30" t="n">
        <v>1</v>
      </c>
      <c r="M30" t="inlineStr">
        <is>
          <t>OT [07] Cuadrilla Guayzimi 2026-04-10 (038) CQ.pdf</t>
        </is>
      </c>
    </row>
    <row r="31">
      <c r="A31" t="inlineStr">
        <is>
          <t>Guayzimi Z1 (Cuadrilla. Nro. 7)</t>
        </is>
      </c>
      <c r="B31" t="inlineStr">
        <is>
          <t>JL</t>
        </is>
      </c>
      <c r="C31" t="inlineStr">
        <is>
          <t>viernes</t>
        </is>
      </c>
      <c r="D31" s="30" t="n">
        <v>46122</v>
      </c>
      <c r="E31" s="31" t="n">
        <v>0.7083333333333334</v>
      </c>
      <c r="F31" s="31" t="n">
        <v>0.8729166666666667</v>
      </c>
      <c r="G31">
        <f>F31-E31</f>
        <v/>
      </c>
      <c r="H31" s="25" t="inlineStr">
        <is>
          <t>En Coordinación con el Ing. Ernesto Palacios me traslado en el vehículo rentado de la Cuadrilla Paquisha desde Guayzimi hasta Zamora para retirar el vehculo 4-36 Se recibe el vehículo 4-36 del Ing Ernesto Palacios, se verifica buen estado del vehículo y retorno a la Bodega de Guayzimi</t>
        </is>
      </c>
      <c r="I31" t="inlineStr">
        <is>
          <t>?</t>
        </is>
      </c>
      <c r="J31" t="n">
        <v>174545</v>
      </c>
      <c r="K31" t="inlineStr">
        <is>
          <t>2, 3</t>
        </is>
      </c>
      <c r="L31" t="n">
        <v>2</v>
      </c>
      <c r="M31" t="inlineStr">
        <is>
          <t>OT [07] Cuadrilla Guayzimi 2026-04-10 (040) JL.pdf</t>
        </is>
      </c>
    </row>
    <row r="32">
      <c r="A32" t="inlineStr">
        <is>
          <t>El Pangui Z1 (Cuadrilla. Nro. 4)</t>
        </is>
      </c>
      <c r="B32" t="inlineStr">
        <is>
          <t>HM, LV, AS</t>
        </is>
      </c>
      <c r="C32" t="inlineStr">
        <is>
          <t>miércoles</t>
        </is>
      </c>
      <c r="D32" s="30" t="n">
        <v>46113</v>
      </c>
      <c r="E32" s="31" t="n">
        <v>0.2868055555555555</v>
      </c>
      <c r="F32" s="31" t="n">
        <v>0.5416666666666666</v>
      </c>
      <c r="G32">
        <f>F32-E32</f>
        <v/>
      </c>
      <c r="H32" s="24" t="inlineStr">
        <is>
          <t>En la agencia El Pangui se elabora la OT. Traslado desde El Pangui hasta Gualaquiza. En Gualaquiza sector San Miguel, estructura. 208978 se apoya al grupo de Fernando Guzmán en cambio de estructura colapsada por choque de vehículo.</t>
        </is>
      </c>
      <c r="I32" t="inlineStr">
        <is>
          <t xml:space="preserve"> REDES</t>
        </is>
      </c>
      <c r="J32" t="n">
        <v>173908</v>
      </c>
      <c r="K32" t="inlineStr">
        <is>
          <t>1, 2</t>
        </is>
      </c>
      <c r="L32" t="n">
        <v>2</v>
      </c>
      <c r="M32" t="inlineStr">
        <is>
          <t>OT [08] Cuadrilla El Pangui 2026-04-01 (042) HM.pdf</t>
        </is>
      </c>
    </row>
    <row r="33">
      <c r="A33" t="inlineStr">
        <is>
          <t>El Pangui Z1 (Cuadrilla. Nro. 4)</t>
        </is>
      </c>
      <c r="B33" t="inlineStr">
        <is>
          <t>HM, AS</t>
        </is>
      </c>
      <c r="C33" t="inlineStr">
        <is>
          <t>jueves</t>
        </is>
      </c>
      <c r="D33" s="30" t="n">
        <v>46114</v>
      </c>
      <c r="E33" s="31" t="n">
        <v>0.8152777777777778</v>
      </c>
      <c r="F33" s="31" t="n">
        <v>0.8354166666666667</v>
      </c>
      <c r="G33">
        <f>F33-E33</f>
        <v/>
      </c>
      <c r="H33" s="25" t="inlineStr">
        <is>
          <t>DAÑO REPORTADO POR Centro de Control. (Mensaje de WhatsApp) Traslado desde la agencia El Pangui hasta la estructura. 227941 en El Pangui, informan sector sin energía. Daño reportado por Centro de Control.(19:15). En El Pangui, estructura. 227941 se rehabilita el transformador 23783 de 37.5 KVA a las (19:50). Causa: desconocida. Reporta: Sra. Raquel Ochoa. INC: S/N. Traslado hasta la agencia El Pangui.</t>
        </is>
      </c>
      <c r="I33" t="inlineStr">
        <is>
          <t>REDES</t>
        </is>
      </c>
      <c r="J33" t="n">
        <v>173951</v>
      </c>
      <c r="K33" t="inlineStr">
        <is>
          <t>12, 13, 14</t>
        </is>
      </c>
      <c r="L33" t="n">
        <v>3</v>
      </c>
      <c r="M33" t="inlineStr">
        <is>
          <t>OT [08] Cuadrilla El Pangui 2026-04-02 (042) HM.pdf</t>
        </is>
      </c>
    </row>
    <row r="34" ht="25.5" customHeight="1">
      <c r="A34" t="inlineStr">
        <is>
          <t>El Pangui Z1 (Cuadrilla. Nro. 4)</t>
        </is>
      </c>
      <c r="B34" t="inlineStr">
        <is>
          <t>HM, AS</t>
        </is>
      </c>
      <c r="C34" t="inlineStr">
        <is>
          <t>viernes</t>
        </is>
      </c>
      <c r="D34" s="30" t="n">
        <v>46115</v>
      </c>
      <c r="E34" s="31" t="n">
        <v>0.4784722222222222</v>
      </c>
      <c r="F34" s="31" t="n">
        <v>0.5104166666666666</v>
      </c>
      <c r="G34">
        <f>F34-E34</f>
        <v/>
      </c>
      <c r="H34" s="25" t="inlineStr">
        <is>
          <t>Daño reportado por Centro de Control (mensaje de WhatsApp) Traslado desde El Pangui hasta 8 de Diciembre, informan sector sin energía. En 8 de Diciembre, estructura. 71319 se repone 1 tirafusible de 1.3- SR para el transformador 18194 de 25 KVA a las (11:55). Causa: ave. Hora de desconexión: 10:05. INC: 11041046785. Se revisa y no se encuentra más novedades. Traslado desde 8 de Diciembre hasta la agencia El Pangui.</t>
        </is>
      </c>
      <c r="I34" t="inlineStr">
        <is>
          <t>REDES</t>
        </is>
      </c>
      <c r="J34" t="n">
        <v>174014</v>
      </c>
      <c r="K34" t="inlineStr">
        <is>
          <t>2, 3, 4</t>
        </is>
      </c>
      <c r="L34" t="n">
        <v>3</v>
      </c>
      <c r="M34" t="inlineStr">
        <is>
          <t>OT [08] Cuadrilla El Pangui 2026-04-03 (042) HM.pdf</t>
        </is>
      </c>
    </row>
    <row r="35">
      <c r="A35" t="inlineStr">
        <is>
          <t>El Pangui Z1 (Cuadrilla. Nro. 4)</t>
        </is>
      </c>
      <c r="B35" t="inlineStr">
        <is>
          <t>HM, AS</t>
        </is>
      </c>
      <c r="C35" t="inlineStr">
        <is>
          <t>domingo</t>
        </is>
      </c>
      <c r="D35" s="30" t="n">
        <v>46117</v>
      </c>
      <c r="E35" s="31" t="n">
        <v>0.3069444444444445</v>
      </c>
      <c r="F35" s="31" t="n">
        <v>0.4986111111111111</v>
      </c>
      <c r="G35">
        <f>F35-E35</f>
        <v/>
      </c>
      <c r="H35" s="25" t="inlineStr">
        <is>
          <t>Daño reportado por Centro de Control (mensaje de WhatsApp) Traslado desde El Pangui hasta Soldado Rivera, informan sector sin energía. En Soldado Rivera, estructura. 127591, se encuentra fusible quemado en derivación a Soldado Rivera Alto, se revisa y no se encuentra novedad. Se repone tirafusible de 1.0 A-SR a las (09:45). CARGA: 35 KVA FUSIBLE: 1x 1.0-SR. FECHA DESC: 04/04/2026 (18:40 aprox.) FECHA CONX: (09:45) CAUSA: descargas atmosféricas. Traslado desde Soldado Rivera hasta la agencia El Pangui.</t>
        </is>
      </c>
      <c r="I35" t="inlineStr">
        <is>
          <t>REDES</t>
        </is>
      </c>
      <c r="J35" t="n">
        <v>174070</v>
      </c>
      <c r="K35" t="inlineStr">
        <is>
          <t>1, 2, 4</t>
        </is>
      </c>
      <c r="L35" t="n">
        <v>3</v>
      </c>
      <c r="M35" t="inlineStr">
        <is>
          <t>OT [08] Cuadrilla El Pangui 2026-04-05 (042) HM.pdf</t>
        </is>
      </c>
    </row>
    <row r="36">
      <c r="A36" t="inlineStr">
        <is>
          <t>Gualaquiza Z1 (Cuadrilla. Nro. 3)</t>
        </is>
      </c>
      <c r="B36" t="inlineStr">
        <is>
          <t>FG, CLP, MA</t>
        </is>
      </c>
      <c r="C36" t="inlineStr">
        <is>
          <t>miércoles</t>
        </is>
      </c>
      <c r="D36" s="30" t="n">
        <v>46113</v>
      </c>
      <c r="E36" s="31" t="n">
        <v>0.3229166666666667</v>
      </c>
      <c r="F36" s="31" t="n">
        <v>0.3576388888888889</v>
      </c>
      <c r="G36">
        <f>F36-E36</f>
        <v/>
      </c>
      <c r="H36" s="24" t="inlineStr">
        <is>
          <t>Traslado a San Miguel San Miguel se coordina con ciuadrilla de energizados, se delimita zona de trabajo, se espera que realicen maniobras de desenergizacion.</t>
        </is>
      </c>
      <c r="I36" t="inlineStr">
        <is>
          <t>REDES</t>
        </is>
      </c>
      <c r="J36" t="n">
        <v>173863</v>
      </c>
      <c r="K36" t="inlineStr">
        <is>
          <t>2, 3</t>
        </is>
      </c>
      <c r="L36" t="n">
        <v>2</v>
      </c>
      <c r="M36" t="inlineStr">
        <is>
          <t>OT [09] Cuadrilla Gualaquiza 2026-04-01 (045) FG.pdf</t>
        </is>
      </c>
    </row>
    <row r="37">
      <c r="A37" t="inlineStr">
        <is>
          <t>Gualaquiza Z1 (Cuadrilla. Nro. 3)</t>
        </is>
      </c>
      <c r="B37" t="inlineStr">
        <is>
          <t>CLP, GC</t>
        </is>
      </c>
      <c r="C37" t="inlineStr">
        <is>
          <t>lunes</t>
        </is>
      </c>
      <c r="D37" s="30" t="n">
        <v>46118</v>
      </c>
      <c r="E37" s="31" t="n">
        <v>0.7986111111111112</v>
      </c>
      <c r="F37" s="31" t="n">
        <v>0.8854166666666666</v>
      </c>
      <c r="G37">
        <f>F37-E37</f>
        <v/>
      </c>
      <c r="H37" s="24" t="inlineStr">
        <is>
          <t>Gualaquiza (Agencia) - Pradera- se equipa vehiculo con herramientas y materiales. La Pradera, Se arregla acometida triplex en cortocircuito.Medidornro240908, se resetea transformador 20916- en la estructuranro182174. se restituye servicio con normalidad. La Pradera - Gualaquiza Agencia.</t>
        </is>
      </c>
      <c r="I37" t="inlineStr">
        <is>
          <t>?</t>
        </is>
      </c>
      <c r="J37" t="n">
        <v>174310</v>
      </c>
      <c r="K37" t="inlineStr">
        <is>
          <t>2, 3, 4</t>
        </is>
      </c>
      <c r="L37" t="n">
        <v>3</v>
      </c>
      <c r="M37" t="inlineStr">
        <is>
          <t>OT [09] Cuadrilla Gualaquiza 2026-04-06 (047) CLP.pdf</t>
        </is>
      </c>
    </row>
    <row r="38">
      <c r="A38" t="inlineStr">
        <is>
          <t>Gualaquiza Z1 (Cuadrilla. Nro. 3)</t>
        </is>
      </c>
      <c r="B38" t="inlineStr">
        <is>
          <t>CLP, GC</t>
        </is>
      </c>
      <c r="C38" t="inlineStr">
        <is>
          <t>martes</t>
        </is>
      </c>
      <c r="D38" s="30" t="n">
        <v>46119</v>
      </c>
      <c r="E38" s="31" t="n">
        <v>0.75</v>
      </c>
      <c r="F38" s="31" t="n">
        <v>0.8472222222222222</v>
      </c>
      <c r="G38">
        <f>F38-E38</f>
        <v/>
      </c>
      <c r="H38" s="24" t="inlineStr">
        <is>
          <t>Gualaquiza - Shiramentza Shiramentza, se revisa red de Baja Tensión, no se encuentra novedad, se cambia tirafusible de 1 A tipo SR por un 1.3 A tipo SR. en la estructuranro237230 transformadornro22357 de 10 Kva. Shiramentza - Gualaquiza Agencia</t>
        </is>
      </c>
      <c r="I38" t="inlineStr">
        <is>
          <t>REDES</t>
        </is>
      </c>
      <c r="J38" t="n">
        <v>174313</v>
      </c>
      <c r="K38" t="inlineStr">
        <is>
          <t>2, 3, 4</t>
        </is>
      </c>
      <c r="L38" t="n">
        <v>3</v>
      </c>
      <c r="M38" t="inlineStr">
        <is>
          <t>OT [09] Cuadrilla Gualaquiza 2026-04-07 (047) CLP.pdf</t>
        </is>
      </c>
    </row>
    <row r="39">
      <c r="A39" t="inlineStr">
        <is>
          <t>Gualaquiza Z1 (Cuadrilla. Nro. 3)</t>
        </is>
      </c>
      <c r="B39" t="inlineStr">
        <is>
          <t>CLP, GC</t>
        </is>
      </c>
      <c r="C39" t="inlineStr">
        <is>
          <t>viernes</t>
        </is>
      </c>
      <c r="D39" s="30" t="n">
        <v>46122</v>
      </c>
      <c r="E39" s="31" t="n">
        <v>0.7270833333333333</v>
      </c>
      <c r="F39" s="31" t="n">
        <v>0.8173611111111111</v>
      </c>
      <c r="G39">
        <f>F39-E39</f>
        <v/>
      </c>
      <c r="H39" s="26" t="inlineStr">
        <is>
          <t>Gualaquiza Agencia - Tutus Tutus, se realiza el cambio de tirafusible de a tipo T por uno de A tipo T. en la estructuranro91980. se restituye el servicio con normalidad. Tutus - Gualaquiza Agencia.</t>
        </is>
      </c>
      <c r="I39" t="inlineStr">
        <is>
          <t>REDES</t>
        </is>
      </c>
      <c r="J39" t="n">
        <v>174486</v>
      </c>
      <c r="K39" t="inlineStr">
        <is>
          <t>14, 15, 16</t>
        </is>
      </c>
      <c r="L39" t="n">
        <v>3</v>
      </c>
      <c r="M39" t="inlineStr">
        <is>
          <t>OT [09] Cuadrilla Gualaquiza 2026-04-10 (047) CLP.pdf</t>
        </is>
      </c>
    </row>
    <row r="40">
      <c r="A40" t="inlineStr">
        <is>
          <t>Zamora (Agencia)</t>
        </is>
      </c>
      <c r="B40" t="inlineStr">
        <is>
          <t>GJ, SO</t>
        </is>
      </c>
      <c r="C40" t="inlineStr">
        <is>
          <t>martes</t>
        </is>
      </c>
      <c r="D40" s="30" t="n">
        <v>46119</v>
      </c>
      <c r="E40" s="31" t="n">
        <v>0.6319444444444444</v>
      </c>
      <c r="F40" s="31" t="n">
        <v>0.7819444444444444</v>
      </c>
      <c r="G40">
        <f>F40-E40</f>
        <v/>
      </c>
      <c r="H40" s="26" t="inlineStr">
        <is>
          <t>En la Calle Francisco de Orellana y Sevilla de Oro se instala 3 N/S Nro. 18-264073 _ 18-264074 y 18-264075 solicitado por la Sra. Irma Quilambaqui, se ocupa 30 metros de TX6 estructura Nro. 251691 Traslado a Timbara Bellavista En Timbara se revisa daño que informa C. C. Del medidor Nro. 276547 (5573) del Sr. Gonzalo Silva, se verifica conexiones internas recalentadas, se cambia cables y se normaliza el servicio eléctrico Traslado a la Agencia Zamora</t>
        </is>
      </c>
      <c r="I40" t="inlineStr">
        <is>
          <t xml:space="preserve"> MEDIDORES</t>
        </is>
      </c>
      <c r="J40" t="n">
        <v>174216</v>
      </c>
      <c r="K40" t="inlineStr">
        <is>
          <t>11, 12, 13, 14</t>
        </is>
      </c>
      <c r="L40" t="n">
        <v>4</v>
      </c>
      <c r="M40" t="inlineStr">
        <is>
          <t>OT [21] Agencia Zamora 2026-04-07 (050) GJ.pdf</t>
        </is>
      </c>
    </row>
    <row r="41">
      <c r="A41" t="inlineStr">
        <is>
          <t>Yantzaza (Agencia)</t>
        </is>
      </c>
      <c r="B41" t="inlineStr">
        <is>
          <t>PCH, RCL</t>
        </is>
      </c>
      <c r="C41" t="inlineStr">
        <is>
          <t>jueves</t>
        </is>
      </c>
      <c r="D41" s="30" t="n">
        <v>46114</v>
      </c>
      <c r="E41" s="31" t="n">
        <v>0.71875</v>
      </c>
      <c r="F41" s="31" t="n">
        <v>0.8229166666666666</v>
      </c>
      <c r="G41">
        <f>F41-E41</f>
        <v/>
      </c>
      <c r="H41" s="26" t="inlineStr">
        <is>
          <t>DAÑO REPORTADO POR CENTRO DE CONTROL, mediante (Mensaje de Whats App). Nos trasladamos de la agencia Yantzaza hasta Ungumiatza, informa sector sin servicio. En Ungumiatza, estructura 30626, se encuentra LBV, FA, arramcada, causa vegetación, se abren puentes para energizar,el Traf. 7080/5 Kva. Quedando 2 viviendas sin servicio, por ser de noche. Además, quedan pendientes para el siguiente día, hacer desbroce de vegetación entre la Estuturas 30226 y 30267, y empalmar LBV, para poder normalizar el servicio, Nos trasladamos de Ungumiatza a la Agencia Yantzaza.</t>
        </is>
      </c>
      <c r="I41" t="inlineStr">
        <is>
          <t>REDES</t>
        </is>
      </c>
      <c r="J41" t="n">
        <v>174002</v>
      </c>
      <c r="K41" t="inlineStr">
        <is>
          <t>2, 3, 5</t>
        </is>
      </c>
      <c r="L41" t="n">
        <v>3</v>
      </c>
      <c r="M41" t="inlineStr">
        <is>
          <t>OT [22] Agencia Yantzaza 2026-04-02 (055) PCH.pdf</t>
        </is>
      </c>
    </row>
    <row r="42">
      <c r="A42" t="inlineStr">
        <is>
          <t>Yantzaza (Agencia)</t>
        </is>
      </c>
      <c r="B42" t="inlineStr">
        <is>
          <t>PCH, RCL</t>
        </is>
      </c>
      <c r="C42" t="inlineStr">
        <is>
          <t>viernes</t>
        </is>
      </c>
      <c r="D42" s="30" t="n">
        <v>46115</v>
      </c>
      <c r="E42" s="31" t="n">
        <v>0.3333333333333333</v>
      </c>
      <c r="F42" s="31" t="n">
        <v>0.7611111111111111</v>
      </c>
      <c r="G42">
        <f>F42-E42</f>
        <v/>
      </c>
      <c r="H42" s="27" t="inlineStr">
        <is>
          <t>Arreglo de daños reportados por el Centro de Control. Preparación de materiales, herramientas, EPP, elaboración del permiso de trabajo. Nos trasladamos de Yantzaza a Zamora, a abastecernos de combustible, al vehículo 2-112. Una vez tanqueado el vehículo, retornamos a Yantzaza. DAÑO REPORTADO POR CENTRO DE CONTROL, mediante (Mensaje de Whats App). Nos trasladamos de la agencia Yantzaza hasta Jesús del Gran Poder. Informa sector sin servicio. En el Barrio, Jesús del Gran Poder, entre los postes 248333 y 248332, se encuentra LBV (2F) rota por recalentamiento del conector, se empalma, se tensa y se regula la LÍNEA, Además, se se reconecta el breaker del transf, 24273 de 25kva, reestablece el servicio si novedad. DAÑO REPORTADO POR CENTRO DE CONTROL, mediante (Mensaje de Whats App). Nos trasladamos de Jesús del Gram Poser hasta los Encuentros. LUNCH EN LOS ENCUENTROS DAÑO REPORTADO POR CENTRO DE CONTROL, mediante (Mensaje de Whats App).nos trasladamos de los Encuentros al Zarza, informan domicilio sin servicio. En el barrio Zarza, medidor 1000027890, se encuentra acometida sulfatada, se arregla acometida; además, se cambia breaker por estar en mal estado, se reestablese el servicio . DAÑO REPORTADO POR CENTRO DE CONTROL, mediante (Mensaje de Whats App). Nos trasladamos del Zarza hasta la Censa. Informa domicilio sin servicio. En la Censa, estructura 33770, se encuentra acometida recalentada del , medidor 131551, se cambia acometida, además se restituye medidor 18-264907, se utilizan 61 m de 3x6 Acsr, Nos trasladamos de la Censa a la Agencia Yantzaza</t>
        </is>
      </c>
      <c r="I42" t="inlineStr">
        <is>
          <t>REDES, ACOMETIDAS</t>
        </is>
      </c>
      <c r="J42" t="n">
        <v>174030</v>
      </c>
      <c r="K42" t="inlineStr">
        <is>
          <t>2, 3, 4, 5, 7, 8, 9, 10, 11, 12, 13</t>
        </is>
      </c>
      <c r="L42" t="n">
        <v>11</v>
      </c>
      <c r="M42" t="inlineStr">
        <is>
          <t>OT [22] Agencia Yantzaza 2026-04-03 (055) PCH.pdf</t>
        </is>
      </c>
    </row>
    <row r="43">
      <c r="A43" t="inlineStr">
        <is>
          <t>Yantzaza (Agencia)</t>
        </is>
      </c>
      <c r="B43" t="inlineStr">
        <is>
          <t>PCH, RCL</t>
        </is>
      </c>
      <c r="C43" t="inlineStr">
        <is>
          <t>sábado</t>
        </is>
      </c>
      <c r="D43" s="30" t="n">
        <v>46116</v>
      </c>
      <c r="E43" s="31" t="n">
        <v>0.34375</v>
      </c>
      <c r="F43" s="31" t="n">
        <v>0.4444444444444444</v>
      </c>
      <c r="G43">
        <f>F43-E43</f>
        <v/>
      </c>
      <c r="H43" s="27" t="inlineStr">
        <is>
          <t>DAÑO REPORTADO POR CENTRO DE CONTROL, mediante (Mensaje de Whats App). Nos trasladamos de la agencia Yantzaza hasta Ungumiatza informa sector sin servicio. En el Barrio Ungumiata, entre los postes 30626 y 30627, se hace desbroce de vegetación; además, se empalma la LBV(1F) se regula y se tensa. Daño pendiente del día jueves. Además, en el Poste 30626, se conectan las bajantes del transf: 7080 de 5 Kva, y se cierran puentes en la LBV, se normaliza el servicio sin novedad.</t>
        </is>
      </c>
      <c r="I43" t="inlineStr">
        <is>
          <t>REDES</t>
        </is>
      </c>
      <c r="J43" t="n">
        <v>174054</v>
      </c>
      <c r="K43" t="inlineStr">
        <is>
          <t>2, 3</t>
        </is>
      </c>
      <c r="L43" t="n">
        <v>2</v>
      </c>
      <c r="M43" t="inlineStr">
        <is>
          <t>OT [22] Agencia Yantzaza 2026-04-04 (055) PCH.pdf</t>
        </is>
      </c>
    </row>
    <row r="44" ht="38.25" customHeight="1">
      <c r="A44" t="inlineStr">
        <is>
          <t>Yantzaza (Agencia)</t>
        </is>
      </c>
      <c r="B44" t="inlineStr">
        <is>
          <t>PCH, RCL</t>
        </is>
      </c>
      <c r="C44" t="inlineStr">
        <is>
          <t>sábado</t>
        </is>
      </c>
      <c r="D44" s="30" t="n">
        <v>46116</v>
      </c>
      <c r="E44" s="31" t="n">
        <v>0.4340277777777778</v>
      </c>
      <c r="F44" s="31" t="n">
        <v>0.5069444444444444</v>
      </c>
      <c r="G44">
        <f>F44-E44</f>
        <v/>
      </c>
      <c r="H44" s="27" t="inlineStr">
        <is>
          <t>En el Barrio Guayabal, se encuentra breaker y puentes sulfatados del, medidor 18-214982 se cambia de breaker y puentes, se normaliza el servicio.</t>
        </is>
      </c>
      <c r="I44" t="inlineStr">
        <is>
          <t xml:space="preserve"> MEDIDORES</t>
        </is>
      </c>
      <c r="J44" t="n">
        <v>174054</v>
      </c>
      <c r="K44" t="inlineStr">
        <is>
          <t>6</t>
        </is>
      </c>
      <c r="L44" t="n">
        <v>1</v>
      </c>
      <c r="M44" t="inlineStr">
        <is>
          <t>OT [22] Agencia Yantzaza 2026-04-04 (055) PCH.pdf</t>
        </is>
      </c>
    </row>
    <row r="45" ht="51" customHeight="1">
      <c r="A45" t="inlineStr">
        <is>
          <t>Yantzaza (Agencia)</t>
        </is>
      </c>
      <c r="B45" t="inlineStr">
        <is>
          <t>PCH, RCL</t>
        </is>
      </c>
      <c r="C45" t="inlineStr">
        <is>
          <t>sábado</t>
        </is>
      </c>
      <c r="D45" s="30" t="n">
        <v>46116</v>
      </c>
      <c r="E45" s="31" t="n">
        <v>0.4513888888888889</v>
      </c>
      <c r="F45" s="31" t="n">
        <v>0.4756944444444444</v>
      </c>
      <c r="G45">
        <f>F45-E45</f>
        <v/>
      </c>
      <c r="H45" s="27" t="inlineStr">
        <is>
          <t>DAÑO REPORTADO POR CENTRO DE CONTROL, mediante (Mensaje de Whats App). Nos trasladamos de Ungumiatza hasta el Guayabal informa domicilio sin servicio.</t>
        </is>
      </c>
      <c r="I45" t="inlineStr">
        <is>
          <t>?</t>
        </is>
      </c>
      <c r="J45" t="n">
        <v>174054</v>
      </c>
      <c r="K45" t="inlineStr">
        <is>
          <t>5</t>
        </is>
      </c>
      <c r="L45" t="n">
        <v>1</v>
      </c>
      <c r="M45" t="inlineStr">
        <is>
          <t>OT [22] Agencia Yantzaza 2026-04-04 (055) PCH.pdf</t>
        </is>
      </c>
    </row>
    <row r="46" ht="25.5" customHeight="1">
      <c r="A46" t="inlineStr">
        <is>
          <t>Yantzaza (Agencia)</t>
        </is>
      </c>
      <c r="B46" t="inlineStr">
        <is>
          <t>PCH, RCL</t>
        </is>
      </c>
      <c r="C46" t="inlineStr">
        <is>
          <t>sábado</t>
        </is>
      </c>
      <c r="D46" s="30" t="n">
        <v>46116</v>
      </c>
      <c r="E46" s="31" t="n">
        <v>0.5138888888888888</v>
      </c>
      <c r="F46" s="31" t="n">
        <v>0.5145833333333333</v>
      </c>
      <c r="G46">
        <f>F46-E46</f>
        <v/>
      </c>
      <c r="H46" s="27" t="inlineStr">
        <is>
          <t>Nos trasladamos de Guayabal a la Agencia Yantzaza.</t>
        </is>
      </c>
      <c r="I46" t="inlineStr">
        <is>
          <t>?</t>
        </is>
      </c>
      <c r="J46" t="n">
        <v>174054</v>
      </c>
      <c r="K46" t="inlineStr">
        <is>
          <t>7</t>
        </is>
      </c>
      <c r="L46" t="n">
        <v>1</v>
      </c>
      <c r="M46" t="inlineStr">
        <is>
          <t>OT [22] Agencia Yantzaza 2026-04-04 (055) PCH.pdf</t>
        </is>
      </c>
    </row>
    <row r="47" ht="38.25" customHeight="1">
      <c r="A47" t="inlineStr">
        <is>
          <t>Yantzaza (Agencia)</t>
        </is>
      </c>
      <c r="B47" t="inlineStr">
        <is>
          <t>PCH, RCL</t>
        </is>
      </c>
      <c r="C47" t="inlineStr">
        <is>
          <t>sábado</t>
        </is>
      </c>
      <c r="D47" s="30" t="n">
        <v>46116</v>
      </c>
      <c r="E47" s="31" t="n">
        <v>0.6048611111111111</v>
      </c>
      <c r="F47" s="31" t="n">
        <v>0.6465277777777778</v>
      </c>
      <c r="G47">
        <f>F47-E47</f>
        <v/>
      </c>
      <c r="H47" s="27" t="inlineStr">
        <is>
          <t>DAÑO REPORTADO POR CENTRO DE CONTROL, mediante (Mensaje de Whats App). Nos trasladamos de la agencia Yantzaza hasta el Porvenir, informa domicilio sin servicio. En el barrio El Porvenir, medidor 1000367210, se arreglan conexiones internas sulfatadas, además, se cambia el breaker y se normaliza el servicio. Retornamos del Porvenir a la Agencia Yantzaza.</t>
        </is>
      </c>
      <c r="I47" t="inlineStr">
        <is>
          <t>MEDIDORES</t>
        </is>
      </c>
      <c r="J47" t="n">
        <v>174054</v>
      </c>
      <c r="K47" t="inlineStr">
        <is>
          <t>11, 12, 13</t>
        </is>
      </c>
      <c r="L47" t="n">
        <v>3</v>
      </c>
      <c r="M47" t="inlineStr">
        <is>
          <t>OT [22] Agencia Yantzaza 2026-04-04 (055) PCH.pdf</t>
        </is>
      </c>
    </row>
    <row r="48" ht="38.25" customHeight="1">
      <c r="A48" t="inlineStr">
        <is>
          <t>Yantzaza (Agencia)</t>
        </is>
      </c>
      <c r="B48" t="inlineStr">
        <is>
          <t>PCH, RCL</t>
        </is>
      </c>
      <c r="C48" t="inlineStr">
        <is>
          <t>sábado</t>
        </is>
      </c>
      <c r="D48" s="30" t="n">
        <v>46116</v>
      </c>
      <c r="E48" s="31" t="n">
        <v>0.6840277777777778</v>
      </c>
      <c r="F48" s="31" t="n">
        <v>0.7673611111111112</v>
      </c>
      <c r="G48">
        <f>F48-E48</f>
        <v/>
      </c>
      <c r="H48" s="27" t="inlineStr">
        <is>
          <t>DAÑO REPORTADO POR CENTRO DE CONTROL, mediante (Mensaje de Whats App). Nos trasladamos de la agencia Yantzaza hasta la Y de Ungumiatza, informa sector sin servicio. En el Barrio, Ungumiatza, entre los postes 205671 y 205672, se cortan guaduas que se encuentran sobre la LBV. Además, se resetea el breaker del transf: 21916/ de 5 Kva, se reestablece el servici Nos trasladamos de Ungumiatza a la Agencia Yantzaza.</t>
        </is>
      </c>
      <c r="I48" t="inlineStr">
        <is>
          <t>REDES</t>
        </is>
      </c>
      <c r="J48" t="n">
        <v>174054</v>
      </c>
      <c r="K48" t="inlineStr">
        <is>
          <t>16, 17, 18</t>
        </is>
      </c>
      <c r="L48" t="n">
        <v>3</v>
      </c>
      <c r="M48" t="inlineStr">
        <is>
          <t>OT [22] Agencia Yantzaza 2026-04-04 (055) PCH.pdf</t>
        </is>
      </c>
    </row>
    <row r="49" ht="38.25" customHeight="1">
      <c r="A49" t="inlineStr">
        <is>
          <t>Yantzaza (Agencia)</t>
        </is>
      </c>
      <c r="B49" t="inlineStr">
        <is>
          <t>PCH, RCL</t>
        </is>
      </c>
      <c r="C49" t="inlineStr">
        <is>
          <t>domingo</t>
        </is>
      </c>
      <c r="D49" s="30" t="n">
        <v>46117</v>
      </c>
      <c r="E49" s="31" t="n">
        <v>0.3888888888888889</v>
      </c>
      <c r="F49" s="31" t="n">
        <v>0.7013888888888888</v>
      </c>
      <c r="G49">
        <f>F49-E49</f>
        <v/>
      </c>
      <c r="H49" s="27" t="inlineStr">
        <is>
          <t>DAÑO REPORTADO POR CENTRO DE CONTROL, mediante (Mensaje de Whats App). Nos trasladamos de la agencia Yantzaza hasta Chimbutza informa sector sin servicio. En el Barrio Chimbutza, estructura 62406, se encuentra fusible quemado a causa, gallinazo en la LMV,se retira gallinazo, Se repone tirafusible de 25A tipo K, estructura: 62399, se reestablece el servicio. DAÑO REPORTADO POR CENTRO DE CONTROL, mediante (Mensaje de Whats App). Nos trasladamos de Chinbutza hasta el Zarza informa sector sin servicio. Por motivo de los trabajos que está realizando la compañía, vía a Zarza,en Santa Lucía se espera hasta que den paso 12:00. horas En el Barrio el Zarza estructura 33972, se encuentra fusible quemado en derivación al blanco; se revisa y no se encuentra nada Se repone tirafusible de 15A tipo T, se reestablece el servicio. DAÑO REPORTADO POR CENTRO DE CONTROL: En el Zarza, estructura 33963, medidor 1000024546, se encuentra tubo doblado por bolquete, y acometida en mal estado. El cliente ya ha tenido puesto tubo, se repone 34M de acometida 3x6, y se reubica el medidor en la columna, se normaliza el servicio. Nos trasladamos del Zarza a Yantzaza. DAÑO REPORTADO POR CENTRO DE CONTROL, en Yantzaza, calle Jorge Mosquera,medidores 216351/18-240295 y 18-240296, se encuentran sin servicio, estructura 273878, Se encuentra en la caja de distribución conexión sulfatada, se cambia de conexión, se normaliza el servicio, se retorna a la Agencia Yantzaza. SE LABORA: PCH: RCL: de 09:00 a 16:50</t>
        </is>
      </c>
      <c r="I49" t="inlineStr">
        <is>
          <t>REDES, ACOMETIDAS, ?</t>
        </is>
      </c>
      <c r="J49" t="n">
        <v>174076</v>
      </c>
      <c r="K49" t="inlineStr">
        <is>
          <t>2, 3, 4, 6, 7, 9, 10</t>
        </is>
      </c>
      <c r="L49" t="n">
        <v>7</v>
      </c>
      <c r="M49" t="inlineStr">
        <is>
          <t>OT [22] Agencia Yantzaza 2026-04-05 (055) PCH.pdf</t>
        </is>
      </c>
    </row>
    <row r="50">
      <c r="A50" t="inlineStr">
        <is>
          <t>Yantzaza (Agencia)</t>
        </is>
      </c>
      <c r="B50" t="inlineStr">
        <is>
          <t>PCH, RCL</t>
        </is>
      </c>
      <c r="C50" t="inlineStr">
        <is>
          <t>domingo</t>
        </is>
      </c>
      <c r="D50" s="30" t="n">
        <v>46117</v>
      </c>
      <c r="E50" s="31" t="n">
        <v>0.7986111111111112</v>
      </c>
      <c r="F50" s="31" t="n">
        <v>0.9027777777777778</v>
      </c>
      <c r="G50">
        <f>F50-E50</f>
        <v/>
      </c>
      <c r="H50" t="inlineStr">
        <is>
          <t>DAÑO REPORTADO POR CENTRO DE CONTROL, mediante (Mensaje de Whats App). Nos trasladamos de la agencia Yantzaza hasta los Almendros informa sector sin servicio. En los Almendros, estructura 31864 transf. 12402 de 5Kva, se encuentra abierto, se revisa la LBV: no se encuentra novedad, se resetea breaker del transf. Se reestablece el servicio. Nos trasladamos de los Almendros a la Agencia Yantzaza.</t>
        </is>
      </c>
      <c r="I50" t="inlineStr">
        <is>
          <t>REDES</t>
        </is>
      </c>
      <c r="J50" t="n">
        <v>174076</v>
      </c>
      <c r="K50" t="inlineStr">
        <is>
          <t>14, 15, 16</t>
        </is>
      </c>
      <c r="L50" t="n">
        <v>3</v>
      </c>
      <c r="M50" t="inlineStr">
        <is>
          <t>OT [22] Agencia Yantzaza 2026-04-05 (055) PCH.pdf</t>
        </is>
      </c>
    </row>
    <row r="51">
      <c r="A51" t="inlineStr">
        <is>
          <t>Gualaquiza (Agencia)</t>
        </is>
      </c>
      <c r="B51" t="inlineStr">
        <is>
          <t>CB, GC</t>
        </is>
      </c>
      <c r="C51" t="inlineStr">
        <is>
          <t>jueves</t>
        </is>
      </c>
      <c r="D51" s="30" t="n">
        <v>46114</v>
      </c>
      <c r="E51" s="31" t="n">
        <v>0.8034722222222223</v>
      </c>
      <c r="F51" s="31" t="n">
        <v>0.8652777777777778</v>
      </c>
      <c r="G51">
        <f>F51-E51</f>
        <v/>
      </c>
      <c r="H51" t="inlineStr">
        <is>
          <t>Traslado Guayusal. Guayusal, reivision y limpieza LBT estructura 219763, energizacion transf 23459 de 10kva, estructura 255869, reestablece servicio, reclamo Centro de Control. Traslado Gualaquiza.</t>
        </is>
      </c>
      <c r="I51" t="inlineStr">
        <is>
          <t>REDES</t>
        </is>
      </c>
      <c r="J51" t="n">
        <v>173960</v>
      </c>
      <c r="K51" t="inlineStr">
        <is>
          <t>16, 17, 18</t>
        </is>
      </c>
      <c r="L51" t="n">
        <v>3</v>
      </c>
      <c r="M51" t="inlineStr">
        <is>
          <t>OT [24] Agencia Gualaquiza 2026-04-02 (061) CB.pdf</t>
        </is>
      </c>
    </row>
    <row r="52">
      <c r="A52" t="inlineStr">
        <is>
          <t>Gualaquiza (Agencia)</t>
        </is>
      </c>
      <c r="B52" t="inlineStr">
        <is>
          <t>CB, GC</t>
        </is>
      </c>
      <c r="C52" t="inlineStr">
        <is>
          <t>viernes</t>
        </is>
      </c>
      <c r="D52" s="30" t="n">
        <v>46115</v>
      </c>
      <c r="E52" s="31" t="n">
        <v>0.3701388888888889</v>
      </c>
      <c r="F52" s="31" t="n">
        <v>0.5520833333333334</v>
      </c>
      <c r="G52">
        <f>F52-E52</f>
        <v/>
      </c>
      <c r="H52" t="inlineStr">
        <is>
          <t>Gualaquiza, recepcion reclamo Centro Control, elaboracion Orden Trabajo, traslado Naichap. Naichap, estructura 037299, revision y restitucion medidor 194238 por 18-258039, cambio Dx6 por 62mt Tx6, por borneras quemadas, reclamo Centro Control. Traslado Aguacate, reclamo Centro Control. Aguacate, estructura 127921, revision y restitucion medidor 194324 por 18-258040, cambio Dx6 por 32mt Tx6, por borneras quemadas, reclamo Centro Control. Traslado Gualaquiza.</t>
        </is>
      </c>
      <c r="I52" t="inlineStr">
        <is>
          <t xml:space="preserve"> MEDIDORES</t>
        </is>
      </c>
      <c r="J52" t="n">
        <v>174080</v>
      </c>
      <c r="K52" t="inlineStr">
        <is>
          <t>1, 2, 3, 4, 5</t>
        </is>
      </c>
      <c r="L52" t="n">
        <v>5</v>
      </c>
      <c r="M52" t="inlineStr">
        <is>
          <t>OT [24] Agencia Gualaquiza 2026-04-03 (061) CB.pdf</t>
        </is>
      </c>
    </row>
    <row r="53">
      <c r="A53" t="inlineStr">
        <is>
          <t>Gualaquiza (Agencia)</t>
        </is>
      </c>
      <c r="B53" t="inlineStr">
        <is>
          <t>CB, GC</t>
        </is>
      </c>
      <c r="C53" t="inlineStr">
        <is>
          <t>viernes</t>
        </is>
      </c>
      <c r="D53" s="30" t="n">
        <v>46115</v>
      </c>
      <c r="E53" s="31" t="n">
        <v>0.7090277777777778</v>
      </c>
      <c r="F53" s="31" t="n">
        <v>0.7951388888888888</v>
      </c>
      <c r="G53">
        <f>F53-E53</f>
        <v/>
      </c>
      <c r="H53" t="inlineStr">
        <is>
          <t>Traslado Flor del Bosque, reclamo Centro Control. Flor del Bosque, estructura 273993, revision y cambio fusible 1,6Amp SR del transf 26378 25kva (privado), sin novedad alguna, reestable servicio. Traslado Pumpuis, reclamo Centro Control. Pumpuis, revision y limpiza LBT estructura 214159 214161, energizacion transf 22407 de 15kva, reestablece servicio. Traslado Gualaquiza.</t>
        </is>
      </c>
      <c r="I53" t="inlineStr">
        <is>
          <t>REDES</t>
        </is>
      </c>
      <c r="J53" t="n">
        <v>174080</v>
      </c>
      <c r="K53" t="inlineStr">
        <is>
          <t>9, 10, 11, 12, 13</t>
        </is>
      </c>
      <c r="L53" t="n">
        <v>5</v>
      </c>
      <c r="M53" t="inlineStr">
        <is>
          <t>OT [24] Agencia Gualaquiza 2026-04-03 (061) CB.pdf</t>
        </is>
      </c>
    </row>
    <row r="54">
      <c r="A54" t="inlineStr">
        <is>
          <t>Gualaquiza (Agencia)</t>
        </is>
      </c>
      <c r="B54" t="inlineStr">
        <is>
          <t>BUELE UYAGUARI CESAR CRISTIAN</t>
        </is>
      </c>
      <c r="C54" t="inlineStr">
        <is>
          <t>sábado</t>
        </is>
      </c>
      <c r="D54" s="30" t="n">
        <v>46116</v>
      </c>
      <c r="E54" s="31" t="n">
        <v>0.6777777777777778</v>
      </c>
      <c r="F54" s="31" t="n">
        <v>0.7666666666666667</v>
      </c>
      <c r="G54">
        <f>F54-E54</f>
        <v/>
      </c>
      <c r="H54" t="inlineStr">
        <is>
          <t>Gualaquiza, recepcion reclamo Centro Control, elaboracion Orden Trabajo, traslado Guayusal. Guayusal, revision LMT estructura 291765 a 128632 sectrores San Fco-Guayusal-Dolorosa, sin encontrar novedad alguan, estructura 291765 cambo fus 25Amp T, quemado cargas atmosfericas, reesatablece servicio. Traslado Gualaquiza.</t>
        </is>
      </c>
      <c r="I54" t="inlineStr">
        <is>
          <t>REDES</t>
        </is>
      </c>
      <c r="J54" t="n">
        <v>174083</v>
      </c>
      <c r="K54" t="inlineStr">
        <is>
          <t>1, 2, 3</t>
        </is>
      </c>
      <c r="L54" t="n">
        <v>3</v>
      </c>
      <c r="M54" t="inlineStr">
        <is>
          <t>OT [24] Agencia Gualaquiza 2026-04-04 (061) CB.pdf</t>
        </is>
      </c>
    </row>
    <row r="55">
      <c r="A55" t="inlineStr">
        <is>
          <t>Gualaquiza (Agencia)</t>
        </is>
      </c>
      <c r="B55" t="inlineStr">
        <is>
          <t>CB, GC</t>
        </is>
      </c>
      <c r="C55" t="inlineStr">
        <is>
          <t>domingo</t>
        </is>
      </c>
      <c r="D55" s="30" t="n">
        <v>46117</v>
      </c>
      <c r="E55" s="31" t="n">
        <v>0.3666666666666666</v>
      </c>
      <c r="F55" s="31" t="n">
        <v>0.4506944444444445</v>
      </c>
      <c r="G55">
        <f>F55-E55</f>
        <v/>
      </c>
      <c r="H55" t="inlineStr">
        <is>
          <t>Gualaquiza, recepcion reclamo Centro Control, elaboracion Orden Trabajo, traslado Chumpias. Chumpias, revision LMT estructura 028535 a 065848 sectrores Chumpias-Napurak-.Kunchaime, sin encontrar novedad alguna, estructura 028535 cambo fus 25Amp T, quemado cargas atmosfericas, reesatablece servicio. servicio. Traslado Gualaquiza.</t>
        </is>
      </c>
      <c r="I55" t="inlineStr">
        <is>
          <t>REDES</t>
        </is>
      </c>
      <c r="J55" t="n">
        <v>174084</v>
      </c>
      <c r="K55" t="inlineStr">
        <is>
          <t>1, 2, 3</t>
        </is>
      </c>
      <c r="L55" t="n">
        <v>3</v>
      </c>
      <c r="M55" t="inlineStr">
        <is>
          <t>OT [24] Agencia Gualaquiza 2026-04-05 (061) CB.pdf</t>
        </is>
      </c>
    </row>
    <row r="67" ht="25.5" customHeight="1">
      <c r="H67" s="25" t="n"/>
    </row>
    <row r="68" ht="38.25" customHeight="1">
      <c r="H68" s="25" t="n"/>
    </row>
    <row r="69" ht="38.25" customHeight="1">
      <c r="H69" s="25" t="n"/>
    </row>
    <row r="70" ht="38.25" customHeight="1">
      <c r="H70" s="25" t="n"/>
    </row>
    <row r="71">
      <c r="H71" s="24" t="n"/>
    </row>
    <row r="72" ht="25.5" customHeight="1">
      <c r="H72" s="25" t="n"/>
    </row>
    <row r="74" ht="63.75" customHeight="1">
      <c r="H74" s="25" t="n"/>
    </row>
    <row r="75" ht="25.5" customHeight="1">
      <c r="H75" s="25" t="n"/>
    </row>
    <row r="76">
      <c r="H76" s="24" t="n"/>
    </row>
    <row r="77">
      <c r="H77" s="24" t="n"/>
    </row>
    <row r="78">
      <c r="H78" s="24" t="n"/>
    </row>
    <row r="79" ht="25.5" customHeight="1">
      <c r="H79" s="25" t="n"/>
    </row>
    <row r="80">
      <c r="H80" s="24" t="n"/>
    </row>
    <row r="81">
      <c r="H81" s="24" t="n"/>
    </row>
    <row r="82">
      <c r="H82" s="26" t="n"/>
    </row>
    <row r="83">
      <c r="H83" s="26" t="n"/>
    </row>
    <row r="84">
      <c r="H84" s="24" t="n"/>
    </row>
    <row r="85">
      <c r="H85" s="24" t="n"/>
    </row>
    <row r="86">
      <c r="H86" s="25" t="n"/>
    </row>
    <row r="87">
      <c r="H87" s="24" t="n"/>
    </row>
    <row r="88">
      <c r="H88" s="24" t="n"/>
    </row>
    <row r="89" ht="25.5" customHeight="1">
      <c r="H89" s="25" t="n"/>
    </row>
    <row r="90">
      <c r="H90" s="24" t="n"/>
    </row>
    <row r="91" ht="25.5" customHeight="1">
      <c r="H91" s="25" t="n"/>
    </row>
    <row r="92">
      <c r="H92" s="24" t="n"/>
    </row>
    <row r="93" ht="25.5" customHeight="1">
      <c r="H93" s="25" t="n"/>
    </row>
    <row r="94">
      <c r="H94" s="24" t="n"/>
    </row>
    <row r="95">
      <c r="H95" s="26" t="n"/>
    </row>
    <row r="96" ht="25.5" customHeight="1">
      <c r="H96" s="27" t="n"/>
    </row>
    <row r="97">
      <c r="H97" s="27" t="n"/>
    </row>
    <row r="98">
      <c r="H98" s="26" t="n"/>
    </row>
    <row r="99">
      <c r="H99" s="27" t="n"/>
    </row>
    <row r="100">
      <c r="H100" s="26" t="n"/>
    </row>
    <row r="101" ht="25.5" customHeight="1">
      <c r="H101" s="27" t="n"/>
    </row>
    <row r="102">
      <c r="H102" s="27" t="n"/>
    </row>
    <row r="103">
      <c r="H103" s="27" t="n"/>
    </row>
    <row r="104" ht="25.5" customHeight="1">
      <c r="H104" s="25" t="n"/>
    </row>
    <row r="105">
      <c r="H105" s="24" t="n"/>
    </row>
    <row r="106">
      <c r="H106" s="24" t="n"/>
    </row>
    <row r="107">
      <c r="H107" s="24" t="n"/>
    </row>
    <row r="108" ht="63.75" customHeight="1">
      <c r="H108" s="25" t="n"/>
    </row>
    <row r="109" ht="38.25" customHeight="1">
      <c r="H109" s="25" t="n"/>
    </row>
    <row r="110">
      <c r="H110" s="24" t="n"/>
    </row>
    <row r="111">
      <c r="H111" s="24" t="n"/>
    </row>
    <row r="112" ht="25.5" customHeight="1">
      <c r="H112" s="25" t="n"/>
    </row>
    <row r="113">
      <c r="H113" s="24" t="n"/>
    </row>
    <row r="114" ht="25.5" customHeight="1">
      <c r="H114" s="25" t="n"/>
    </row>
    <row r="115">
      <c r="H115" s="24" t="n"/>
    </row>
    <row r="116">
      <c r="H116" s="25" t="n"/>
    </row>
    <row r="117" ht="25.5" customHeight="1">
      <c r="H117" s="25" t="n"/>
    </row>
    <row r="118">
      <c r="H118" s="24" t="n"/>
    </row>
    <row r="119">
      <c r="H119" s="25" t="n"/>
    </row>
    <row r="120" ht="25.5" customHeight="1">
      <c r="H120" s="27" t="n"/>
    </row>
    <row r="121" ht="25.5" customHeight="1">
      <c r="H121" s="27" t="n"/>
    </row>
    <row r="122">
      <c r="H122" s="27" t="n"/>
    </row>
    <row r="123">
      <c r="H123" s="24" t="n"/>
    </row>
    <row r="124">
      <c r="H124" s="25" t="n"/>
    </row>
    <row r="125" ht="25.5" customHeight="1">
      <c r="H125" s="25" t="n"/>
    </row>
    <row r="126" ht="25.5" customHeight="1">
      <c r="H126" s="25" t="n"/>
    </row>
    <row r="127" ht="25.5" customHeight="1">
      <c r="H127" s="25" t="n"/>
    </row>
    <row r="128">
      <c r="H128" s="24" t="n"/>
    </row>
    <row r="129" ht="24" customHeight="1">
      <c r="H129" s="24" t="n"/>
    </row>
    <row r="130" ht="12.75" customHeight="1">
      <c r="H130" s="24" t="n"/>
    </row>
    <row r="131" ht="12.75" customHeight="1">
      <c r="H131" s="25" t="n"/>
    </row>
    <row r="132" ht="34.5" customHeight="1">
      <c r="H132" s="24" t="n"/>
    </row>
    <row r="133" ht="23.25" customHeight="1">
      <c r="H133" s="24" t="n"/>
    </row>
    <row r="134" ht="31.5" customHeight="1">
      <c r="H134" s="25" t="n"/>
    </row>
    <row r="135" ht="34.5" customHeight="1">
      <c r="H135" s="25" t="n"/>
    </row>
    <row r="136" ht="12.75" customHeight="1">
      <c r="H136" s="24" t="n"/>
    </row>
    <row r="137" ht="67.5" customHeight="1">
      <c r="H137" s="25" t="n"/>
    </row>
    <row r="138" ht="30" customHeight="1">
      <c r="H138" s="25" t="n"/>
    </row>
    <row r="139" ht="23.25" customHeight="1">
      <c r="H139" s="24" t="n"/>
    </row>
    <row r="140" ht="12.75" customHeight="1">
      <c r="H140" s="24" t="n"/>
    </row>
    <row r="141" ht="12.75" customHeight="1"/>
    <row r="142" ht="12.75" customHeight="1">
      <c r="H142" s="25" t="n"/>
    </row>
    <row r="143">
      <c r="H143" s="25" t="n"/>
    </row>
    <row r="144" ht="23.25" customHeight="1">
      <c r="H144" s="24" t="n"/>
    </row>
    <row r="145" ht="25.5" customHeight="1">
      <c r="H145" s="25" t="n"/>
    </row>
    <row r="146" ht="25.5" customHeight="1">
      <c r="H146" s="25" t="n"/>
    </row>
    <row r="147" ht="23.25" customHeight="1">
      <c r="H147" s="24" t="n"/>
    </row>
    <row r="148" ht="25.5" customHeight="1">
      <c r="H148" s="25" t="n"/>
    </row>
    <row r="149">
      <c r="H149" s="24" t="n"/>
    </row>
    <row r="150">
      <c r="H150" s="24" t="n"/>
    </row>
    <row r="151" ht="23.25" customHeight="1">
      <c r="H151" s="27" t="n"/>
    </row>
    <row r="152" ht="23.25" customHeight="1">
      <c r="H152" s="27" t="n"/>
    </row>
    <row r="153" ht="12.75" customHeight="1">
      <c r="H153" s="27" t="n"/>
    </row>
    <row r="154" ht="12.75" customHeight="1">
      <c r="H154" s="27" t="n"/>
    </row>
    <row r="155" ht="12.75" customHeight="1">
      <c r="H155" s="27" t="n"/>
    </row>
    <row r="156" ht="12.75" customHeight="1">
      <c r="H156" s="24" t="n"/>
    </row>
    <row r="157" ht="12.75" customHeight="1">
      <c r="H157" s="24" t="n"/>
    </row>
    <row r="158" ht="24" customHeight="1">
      <c r="H158" s="25" t="n"/>
    </row>
    <row r="159" ht="23.25" customHeight="1">
      <c r="H159" s="24" t="n"/>
    </row>
    <row r="160" ht="12.75" customHeight="1">
      <c r="H160" s="25" t="n"/>
    </row>
    <row r="161" ht="12.75" customHeight="1">
      <c r="H161" s="24" t="n"/>
    </row>
    <row r="162" ht="12.75" customHeight="1">
      <c r="H162" s="24" t="n"/>
    </row>
    <row r="163" ht="51" customHeight="1">
      <c r="H163" s="25" t="n"/>
    </row>
    <row r="164" ht="23.25" customHeight="1">
      <c r="H164" s="25" t="n"/>
    </row>
    <row r="165" ht="34.5" customHeight="1">
      <c r="H165" s="24" t="n"/>
    </row>
    <row r="166" ht="21.75" customHeight="1">
      <c r="H166" s="24" t="n"/>
    </row>
    <row r="167">
      <c r="H167" s="24" t="n"/>
    </row>
    <row r="168" ht="23.25" customHeight="1">
      <c r="H168" s="27" t="n"/>
    </row>
    <row r="169" ht="25.5" customHeight="1">
      <c r="H169" s="27" t="n"/>
    </row>
    <row r="170" ht="12.75" customHeight="1">
      <c r="H170" s="26" t="n"/>
    </row>
    <row r="171" ht="25.5" customHeight="1">
      <c r="H171" s="27" t="n"/>
    </row>
    <row r="172" ht="25.5" customHeight="1">
      <c r="H172" s="25" t="n"/>
    </row>
    <row r="173" ht="12.75" customHeight="1">
      <c r="H173" s="24" t="n"/>
    </row>
    <row r="174">
      <c r="H174" s="26" t="n"/>
    </row>
    <row r="175" ht="12.75" customHeight="1">
      <c r="H175" s="26" t="n"/>
    </row>
    <row r="176" ht="12.75" customHeight="1">
      <c r="H176" s="28" t="n"/>
    </row>
    <row r="177">
      <c r="H177" s="25" t="n"/>
    </row>
    <row r="178" ht="12.75" customHeight="1">
      <c r="H178" s="24" t="n"/>
    </row>
    <row r="179" ht="12.75" customHeight="1">
      <c r="H179" s="24" t="n"/>
    </row>
    <row r="180" ht="12.75" customHeight="1">
      <c r="H180" s="25" t="n"/>
    </row>
  </sheetData>
  <autoFilter ref="A1:M180"/>
  <conditionalFormatting sqref="A2:M1048526">
    <cfRule type="expression" priority="9" dxfId="6">
      <formula>($A2&lt;&gt;$A3)</formula>
    </cfRule>
    <cfRule type="expression" priority="11" dxfId="5">
      <formula>($C2="sábado")</formula>
    </cfRule>
    <cfRule type="expression" priority="12" dxfId="4">
      <formula>($C2="domingo")</formula>
    </cfRule>
    <cfRule type="expression" priority="13" dxfId="2">
      <formula>($E2&lt;&gt;"") * (HOUR($E2)&lt;6) * ((HOUR($F2) + MINUTE($F2)/100) &gt; 8)</formula>
    </cfRule>
    <cfRule type="expression" priority="14" dxfId="2">
      <formula>($F2&lt;$E2)</formula>
    </cfRule>
    <cfRule type="expression" priority="16" dxfId="0">
      <formula>($E2&lt;&gt;"")*( HOUR($E2)&lt;6)</formula>
    </cfRule>
  </conditionalFormatting>
  <conditionalFormatting sqref="E1:E1048576">
    <cfRule type="expression" priority="18" dxfId="46">
      <formula>AND(HOUR($E1)&lt;17, HOUR($F1)&gt;17)</formula>
    </cfRule>
  </conditionalFormatting>
  <conditionalFormatting sqref="F1:F1048576">
    <cfRule type="expression" priority="17" dxfId="45">
      <formula>AND(HOUR($E1)&lt;8, (HOUR($F1)+(MINUTE($F1)/100))&gt;8)</formula>
    </cfRule>
  </conditionalFormatting>
  <conditionalFormatting sqref="A1:M1">
    <cfRule type="expression" priority="72" dxfId="6">
      <formula>($A1&lt;&gt;#REF!)</formula>
    </cfRule>
    <cfRule type="expression" priority="73" dxfId="5">
      <formula>($C1="sábado")</formula>
    </cfRule>
    <cfRule type="expression" priority="74" dxfId="4">
      <formula>($C1="domingo")</formula>
    </cfRule>
    <cfRule type="expression" priority="75" dxfId="2">
      <formula>($E1&lt;&gt;"") * (HOUR($E1)&lt;6) * ((HOUR($F1) + MINUTE($F1)/100) &gt; 8)</formula>
    </cfRule>
    <cfRule type="expression" priority="76" dxfId="2">
      <formula>($F1&lt;$E1)</formula>
    </cfRule>
    <cfRule type="expression" priority="78" dxfId="0">
      <formula>($E1&lt;&gt;"")*( HOUR($E1)&lt;6)</formula>
    </cfRule>
  </conditionalFormatting>
  <conditionalFormatting sqref="A1048559:M1048576">
    <cfRule type="expression" priority="123" dxfId="6">
      <formula>($A1048559&lt;&gt;$A24)</formula>
    </cfRule>
    <cfRule type="expression" priority="124" dxfId="5">
      <formula>($C1048559="sábado")</formula>
    </cfRule>
    <cfRule type="expression" priority="125" dxfId="4">
      <formula>($C1048559="domingo")</formula>
    </cfRule>
    <cfRule type="expression" priority="126" dxfId="2">
      <formula>($E1048559&lt;&gt;"") * (HOUR($E1048559)&lt;6) * ((HOUR($F1048559) + MINUTE($F1048559)/100) &gt; 8)</formula>
    </cfRule>
    <cfRule type="expression" priority="127" dxfId="2">
      <formula>($F1048559&lt;$E1048559)</formula>
    </cfRule>
    <cfRule type="expression" priority="129" dxfId="0">
      <formula>($E1048559&lt;&gt;"")*( HOUR($E1048559)&lt;6)</formula>
    </cfRule>
  </conditionalFormatting>
  <conditionalFormatting sqref="A1048527:M1048558">
    <cfRule type="expression" priority="174" dxfId="6">
      <formula>($A1048527&lt;&gt;$A1)</formula>
    </cfRule>
    <cfRule type="expression" priority="175" dxfId="5">
      <formula>($C1048527="sábado")</formula>
    </cfRule>
    <cfRule type="expression" priority="176" dxfId="4">
      <formula>($C1048527="domingo")</formula>
    </cfRule>
    <cfRule type="expression" priority="177" dxfId="2">
      <formula>($E1048527&lt;&gt;"") * (HOUR($E1048527)&lt;6) * ((HOUR($F1048527) + MINUTE($F1048527)/100) &gt; 8)</formula>
    </cfRule>
    <cfRule type="expression" priority="178" dxfId="2">
      <formula>($F1048527&lt;$E1048527)</formula>
    </cfRule>
    <cfRule type="expression" priority="180" dxfId="0">
      <formula>($E1048527&lt;&gt;"")*( HOUR($E1048527)&lt;6)</formula>
    </cfRule>
  </conditionalFormatting>
  <pageMargins left="0.7875" right="0.7875" top="1.05277777777778" bottom="1.05277777777778" header="0.7875" footer="0.7875"/>
  <pageSetup orientation="portrait" paperSize="9" horizontalDpi="300" verticalDpi="300"/>
  <headerFooter>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es-EC</dc:language>
  <dcterms:created xsi:type="dcterms:W3CDTF">2026-03-29T13:03:07Z</dcterms:created>
  <dcterms:modified xsi:type="dcterms:W3CDTF">2026-04-13T20:49:03Z</dcterms:modified>
  <cp:lastModifiedBy>Ernesto Vladimir Palacios Merino</cp:lastModifiedBy>
  <cp:revision>15</cp:revision>
</cp:coreProperties>
</file>