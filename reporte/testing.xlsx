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RAS_EXTRA" sheetId="1" state="visible" r:id="rId1"/>
    <sheet name="EP" sheetId="2" state="visible" r:id="rId2"/>
    <sheet name="FR" sheetId="3" state="visible" r:id="rId3"/>
    <sheet name="JCR" sheetId="4" state="visible" r:id="rId4"/>
    <sheet name="RS" sheetId="5" state="visible" r:id="rId5"/>
    <sheet name="LL" sheetId="6" state="visible" r:id="rId6"/>
    <sheet name="VZH" sheetId="7" state="visible" r:id="rId7"/>
    <sheet name="GJ" sheetId="8" state="visible" r:id="rId8"/>
    <sheet name="SO" sheetId="9" state="visible" r:id="rId9"/>
    <sheet name="LM" sheetId="10" state="visible" r:id="rId10"/>
    <sheet name="RY" sheetId="11" state="visible" r:id="rId11"/>
    <sheet name="JCH" sheetId="12" state="visible" r:id="rId12"/>
    <sheet name="MC" sheetId="13" state="visible" r:id="rId13"/>
    <sheet name="NL" sheetId="14" state="visible" r:id="rId14"/>
    <sheet name="WC" sheetId="15" state="visible" r:id="rId15"/>
    <sheet name="NR" sheetId="16" state="visible" r:id="rId16"/>
    <sheet name="SB" sheetId="17" state="visible" r:id="rId17"/>
    <sheet name="JLC" sheetId="18" state="visible" r:id="rId18"/>
    <sheet name="AA" sheetId="19" state="visible" r:id="rId19"/>
    <sheet name="GT" sheetId="20" state="visible" r:id="rId20"/>
    <sheet name="AO" sheetId="21" state="visible" r:id="rId21"/>
    <sheet name="LP" sheetId="22" state="visible" r:id="rId22"/>
    <sheet name="GLE" sheetId="23" state="visible" r:id="rId23"/>
    <sheet name="JA" sheetId="24" state="visible" r:id="rId24"/>
    <sheet name="MS" sheetId="25" state="visible" r:id="rId25"/>
    <sheet name="DG" sheetId="26" state="visible" r:id="rId26"/>
    <sheet name="JJ" sheetId="27" state="visible" r:id="rId27"/>
    <sheet name="CQ" sheetId="28" state="visible" r:id="rId28"/>
    <sheet name="AC" sheetId="29" state="visible" r:id="rId29"/>
    <sheet name="JL" sheetId="30" state="visible" r:id="rId30"/>
    <sheet name="HM" sheetId="31" state="visible" r:id="rId31"/>
    <sheet name="LV" sheetId="32" state="visible" r:id="rId32"/>
    <sheet name="AS" sheetId="33" state="visible" r:id="rId33"/>
    <sheet name="AD" sheetId="34" state="visible" r:id="rId34"/>
    <sheet name="FA" sheetId="35" state="visible" r:id="rId35"/>
    <sheet name="CLP" sheetId="36" state="visible" r:id="rId36"/>
    <sheet name="GC" sheetId="37" state="visible" r:id="rId37"/>
    <sheet name="FG" sheetId="38" state="visible" r:id="rId38"/>
    <sheet name="MA" sheetId="39" state="visible" r:id="rId39"/>
    <sheet name="PCH" sheetId="40" state="visible" r:id="rId40"/>
    <sheet name="RCL" sheetId="41" state="visible" r:id="rId41"/>
    <sheet name="CB" sheetId="42" state="visible" r:id="rId42"/>
  </sheets>
  <definedNames>
    <definedName name="AREA" hidden="0" function="0" vbProcedure="0">NA()</definedName>
    <definedName name="AREA_2000" hidden="0" function="0" vbProcedure="0">NA()</definedName>
    <definedName name="LISTAMAT" hidden="0" function="0" vbProcedure="0">NA()</definedName>
    <definedName name="Listamateriales" hidden="0" function="0" vbProcedure="0">NA()</definedName>
    <definedName name="_Fill" hidden="0" function="0" vbProcedure="0">NA()</definedName>
    <definedName name="_Key1" hidden="0" function="0" vbProcedure="0">NA()</definedName>
    <definedName name="_Order1" hidden="0" function="0" vbProcedure="0">255</definedName>
    <definedName name="_Sort" hidden="0" function="0" vbProcedure="0">NA()</definedName>
    <definedName name="_xlfn_IFERROR" hidden="0" function="0" vbProcedure="0">#REF!</definedName>
    <definedName name="_xlfn__FV" hidden="0" function="0" vbProcedure="0">#REF!</definedName>
    <definedName name="Imprimir_títulos_IM" localSheetId="0" hidden="0" function="0" vbProcedure="0">NA()</definedName>
    <definedName name="Imprimir_área_IM" localSheetId="0" hidden="0" function="0" vbProcedure="0">NA()</definedName>
    <definedName name="_Regression_Int" localSheetId="0" hidden="0" function="0" vbProcedure="0">1</definedName>
    <definedName name="_xlnm.Print_Area" localSheetId="0">'HORAS_EXTRA'!$A$1:$J$36</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h:mm;@"/>
    <numFmt numFmtId="165" formatCode="[$-C0A]d/mmm\ yyyy;@"/>
  </numFmts>
  <fonts count="21">
    <font>
      <name val="Courier New"/>
      <charset val="134"/>
      <family val="0"/>
      <sz val="12"/>
    </font>
    <font>
      <name val="Arial"/>
      <family val="0"/>
      <sz val="10"/>
    </font>
    <font>
      <name val="Arial"/>
      <family val="0"/>
      <sz val="10"/>
    </font>
    <font>
      <name val="Arial"/>
      <family val="0"/>
      <sz val="10"/>
    </font>
    <font>
      <name val="Courier New"/>
      <charset val="134"/>
      <family val="0"/>
      <color rgb="FF000000"/>
      <sz val="1"/>
    </font>
    <font>
      <name val="Courier New"/>
      <charset val="134"/>
      <family val="0"/>
      <i val="1"/>
      <color rgb="FF000000"/>
      <sz val="1"/>
    </font>
    <font>
      <name val="Arial"/>
      <charset val="134"/>
      <family val="0"/>
      <sz val="10"/>
    </font>
    <font>
      <name val="Franklin Gothic Book"/>
      <charset val="1"/>
      <family val="2"/>
      <b val="1"/>
      <sz val="12"/>
    </font>
    <font>
      <name val="Franklin Gothic Book"/>
      <charset val="1"/>
      <family val="2"/>
      <sz val="12"/>
    </font>
    <font>
      <name val="Calibri"/>
      <charset val="1"/>
      <family val="2"/>
      <b val="1"/>
      <color rgb="FF000000"/>
      <sz val="12"/>
    </font>
    <font>
      <name val="Calibri"/>
      <charset val="1"/>
      <family val="2"/>
      <sz val="12"/>
    </font>
    <font>
      <name val="Calibri"/>
      <charset val="1"/>
      <family val="2"/>
      <b val="1"/>
      <sz val="18"/>
    </font>
    <font>
      <name val="Calibri"/>
      <charset val="1"/>
      <family val="2"/>
      <b val="1"/>
      <color rgb="FF000000"/>
      <sz val="18"/>
    </font>
    <font>
      <name val="Calibri"/>
      <charset val="1"/>
      <family val="2"/>
      <b val="1"/>
      <sz val="12"/>
    </font>
    <font>
      <name val="Calibri"/>
      <charset val="1"/>
      <family val="2"/>
      <b val="1"/>
      <sz val="21"/>
    </font>
    <font>
      <name val="Calibri"/>
      <charset val="1"/>
      <family val="2"/>
      <color rgb="FF000000"/>
      <sz val="12"/>
    </font>
    <font>
      <name val="Times New Roman"/>
      <charset val="134"/>
      <family val="0"/>
      <b val="1"/>
      <sz val="21"/>
    </font>
    <font>
      <name val="Calibri"/>
      <charset val="1"/>
      <family val="2"/>
      <sz val="10"/>
    </font>
    <font>
      <name val="Aptos Display"/>
      <charset val="134"/>
      <family val="0"/>
      <b val="1"/>
      <sz val="12"/>
    </font>
    <font>
      <name val="Calibri"/>
      <charset val="1"/>
      <family val="2"/>
      <sz val="14"/>
    </font>
    <font>
      <name val="Aptos Display"/>
      <charset val="1"/>
      <family val="2"/>
      <sz val="12"/>
    </font>
  </fonts>
  <fills count="3">
    <fill>
      <patternFill/>
    </fill>
    <fill>
      <patternFill patternType="gray125"/>
    </fill>
    <fill>
      <patternFill patternType="solid">
        <fgColor rgb="FF666699"/>
        <bgColor rgb="FF808080"/>
      </patternFill>
    </fill>
  </fills>
  <borders count="17">
    <border>
      <left/>
      <right/>
      <top/>
      <bottom/>
      <diagonal/>
    </border>
    <border>
      <left style="thin"/>
      <right style="thin">
        <color rgb="FF3465A4"/>
      </right>
      <top style="thin"/>
      <bottom/>
      <diagonal/>
    </border>
    <border>
      <left/>
      <right style="thin">
        <color rgb="FF3465A4"/>
      </right>
      <top style="thin"/>
      <bottom/>
      <diagonal/>
    </border>
    <border>
      <left/>
      <right/>
      <top style="thin"/>
      <bottom/>
      <diagonal/>
    </border>
    <border>
      <left/>
      <right style="thin"/>
      <top style="thin"/>
      <bottom/>
      <diagonal/>
    </border>
    <border>
      <left style="thin"/>
      <right/>
      <top style="hair">
        <color rgb="FF3465A4"/>
      </top>
      <bottom style="hair">
        <color rgb="FF3465A4"/>
      </bottom>
      <diagonal/>
    </border>
    <border>
      <left/>
      <right style="thin">
        <color rgb="FF3465A4"/>
      </right>
      <top/>
      <bottom style="hair">
        <color rgb="FF3465A4"/>
      </bottom>
      <diagonal/>
    </border>
    <border>
      <left/>
      <right/>
      <top/>
      <bottom style="hair">
        <color rgb="FF3465A4"/>
      </bottom>
      <diagonal/>
    </border>
    <border>
      <left style="thin">
        <color rgb="FF3465A4"/>
      </left>
      <right style="thin"/>
      <top style="thin">
        <color rgb="FF3465A4"/>
      </top>
      <bottom style="hair">
        <color rgb="FF3465A4"/>
      </bottom>
      <diagonal/>
    </border>
    <border>
      <left/>
      <right style="thin">
        <color rgb="FF3465A4"/>
      </right>
      <top style="hair">
        <color rgb="FF3465A4"/>
      </top>
      <bottom style="hair">
        <color rgb="FF3465A4"/>
      </bottom>
      <diagonal/>
    </border>
    <border>
      <left/>
      <right/>
      <top style="hair">
        <color rgb="FF3465A4"/>
      </top>
      <bottom style="hair">
        <color rgb="FF3465A4"/>
      </bottom>
      <diagonal/>
    </border>
    <border>
      <left style="thin">
        <color rgb="FF3465A4"/>
      </left>
      <right style="thin"/>
      <top style="hair">
        <color rgb="FF3465A4"/>
      </top>
      <bottom style="hair">
        <color rgb="FF3465A4"/>
      </bottom>
      <diagonal/>
    </border>
    <border>
      <left/>
      <right/>
      <top style="thin">
        <color rgb="FF3465A4"/>
      </top>
      <bottom style="thin">
        <color rgb="FF3465A4"/>
      </bottom>
      <diagonal/>
    </border>
    <border>
      <left style="thin"/>
      <right/>
      <top style="hair">
        <color rgb="FF3465A4"/>
      </top>
      <bottom style="thin"/>
      <diagonal/>
    </border>
    <border>
      <left/>
      <right style="thin">
        <color rgb="FF3465A4"/>
      </right>
      <top/>
      <bottom style="thin"/>
      <diagonal/>
    </border>
    <border>
      <left/>
      <right/>
      <top/>
      <bottom style="thin"/>
      <diagonal/>
    </border>
    <border>
      <left style="thin">
        <color rgb="FF3465A4"/>
      </left>
      <right style="thin"/>
      <top/>
      <bottom style="thin"/>
      <diagonal/>
    </border>
  </borders>
  <cellStyleXfs count="14">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pplyProtection="1">
      <alignment horizontal="general" vertical="bottom"/>
      <protection locked="0" hidden="0"/>
    </xf>
    <xf numFmtId="0" fontId="4" fillId="0" borderId="0" applyAlignment="1" applyProtection="1">
      <alignment horizontal="general" vertical="bottom"/>
      <protection locked="0" hidden="0"/>
    </xf>
    <xf numFmtId="0" fontId="5" fillId="0" borderId="0" applyAlignment="1" applyProtection="1">
      <alignment horizontal="general" vertical="bottom"/>
      <protection locked="0" hidden="0"/>
    </xf>
    <xf numFmtId="0" fontId="4" fillId="0" borderId="0" applyAlignment="1" applyProtection="1">
      <alignment horizontal="general" vertical="bottom"/>
      <protection locked="0" hidden="0"/>
    </xf>
    <xf numFmtId="0" fontId="4" fillId="0" borderId="0" applyAlignment="1" applyProtection="1">
      <alignment horizontal="general" vertical="bottom"/>
      <protection locked="0" hidden="0"/>
    </xf>
    <xf numFmtId="0" fontId="4" fillId="0" borderId="0" applyAlignment="1" applyProtection="1">
      <alignment horizontal="general" vertical="bottom"/>
      <protection locked="0" hidden="0"/>
    </xf>
    <xf numFmtId="0" fontId="5" fillId="0" borderId="0" applyAlignment="1" applyProtection="1">
      <alignment horizontal="general" vertical="bottom"/>
      <protection locked="0" hidden="0"/>
    </xf>
    <xf numFmtId="0" fontId="6" fillId="0" borderId="0" applyAlignment="1">
      <alignment horizontal="general" vertical="bottom"/>
    </xf>
  </cellStyleXfs>
  <cellXfs count="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7" fillId="0" borderId="0" applyAlignment="1" pivotButton="0" quotePrefix="0" xfId="0">
      <alignment horizontal="center" vertical="top" wrapText="1"/>
    </xf>
    <xf numFmtId="0" fontId="9" fillId="0" borderId="0" applyAlignment="1" pivotButton="0" quotePrefix="0" xfId="0">
      <alignment horizontal="general" vertical="center"/>
    </xf>
    <xf numFmtId="0" fontId="10" fillId="0" borderId="0" applyAlignment="1" pivotButton="0" quotePrefix="0" xfId="0">
      <alignment horizontal="general" vertical="bottom"/>
    </xf>
    <xf numFmtId="0" fontId="10" fillId="0" borderId="0" applyAlignment="1" pivotButton="0" quotePrefix="0" xfId="0">
      <alignment horizontal="general" vertical="center"/>
    </xf>
    <xf numFmtId="0" fontId="10" fillId="0" borderId="0" applyAlignment="1" pivotButton="0" quotePrefix="0" xfId="0">
      <alignment horizontal="right" vertical="center"/>
    </xf>
    <xf numFmtId="2" fontId="11" fillId="0" borderId="0" applyAlignment="1" pivotButton="0" quotePrefix="0" xfId="0">
      <alignment horizontal="center" vertical="bottom"/>
    </xf>
    <xf numFmtId="0" fontId="12" fillId="0" borderId="0" applyAlignment="1" pivotButton="0" quotePrefix="0" xfId="0">
      <alignment horizontal="left" vertical="bottom"/>
    </xf>
    <xf numFmtId="0" fontId="13" fillId="0" borderId="0" applyAlignment="1" applyProtection="1" pivotButton="0" quotePrefix="0" xfId="0">
      <alignment horizontal="general" vertical="center"/>
      <protection locked="1" hidden="1"/>
    </xf>
    <xf numFmtId="0" fontId="14" fillId="0" borderId="0" applyAlignment="1" pivotButton="0" quotePrefix="0" xfId="0">
      <alignment horizontal="general" vertical="bottom"/>
    </xf>
    <xf numFmtId="2" fontId="10" fillId="0" borderId="0" applyAlignment="1" pivotButton="0" quotePrefix="0" xfId="0">
      <alignment horizontal="center" vertical="bottom"/>
    </xf>
    <xf numFmtId="0" fontId="15" fillId="0" borderId="0" applyAlignment="1" pivotButton="0" quotePrefix="0" xfId="0">
      <alignment horizontal="left" vertical="center"/>
    </xf>
    <xf numFmtId="0" fontId="16" fillId="0" borderId="0" applyAlignment="1" pivotButton="0" quotePrefix="0" xfId="0">
      <alignment horizontal="general" vertical="bottom"/>
    </xf>
    <xf numFmtId="0" fontId="13" fillId="0" borderId="0" applyAlignment="1" applyProtection="1" pivotButton="0" quotePrefix="0" xfId="0">
      <alignment horizontal="left" vertical="top"/>
      <protection locked="1" hidden="1"/>
    </xf>
    <xf numFmtId="0" fontId="17" fillId="0" borderId="0" applyAlignment="1" pivotButton="0" quotePrefix="0" xfId="0">
      <alignment horizontal="general" vertical="top"/>
    </xf>
    <xf numFmtId="0" fontId="10" fillId="0" borderId="0" applyAlignment="1" pivotButton="0" quotePrefix="0" xfId="0">
      <alignment horizontal="right" vertical="top"/>
    </xf>
    <xf numFmtId="0" fontId="17" fillId="0" borderId="0" applyAlignment="1" pivotButton="0" quotePrefix="0" xfId="0">
      <alignment horizontal="center" vertical="top"/>
    </xf>
    <xf numFmtId="0" fontId="9" fillId="0" borderId="0" applyAlignment="1" pivotButton="0" quotePrefix="0" xfId="0">
      <alignment horizontal="right" vertical="top"/>
    </xf>
    <xf numFmtId="0" fontId="6" fillId="0" borderId="0" applyAlignment="1" pivotButton="0" quotePrefix="0" xfId="0">
      <alignment horizontal="general" vertical="top"/>
    </xf>
    <xf numFmtId="0" fontId="0" fillId="0" borderId="0" applyAlignment="1" pivotButton="0" quotePrefix="0" xfId="0">
      <alignment horizontal="general" vertical="top"/>
    </xf>
    <xf numFmtId="0" fontId="13" fillId="2" borderId="1" applyAlignment="1" pivotButton="0" quotePrefix="0" xfId="0">
      <alignment horizontal="center" vertical="bottom"/>
    </xf>
    <xf numFmtId="0" fontId="13" fillId="2" borderId="2" applyAlignment="1" pivotButton="0" quotePrefix="0" xfId="0">
      <alignment horizontal="center" vertical="bottom"/>
    </xf>
    <xf numFmtId="0" fontId="13" fillId="2" borderId="3" applyAlignment="1" pivotButton="0" quotePrefix="0" xfId="0">
      <alignment horizontal="center" vertical="bottom"/>
    </xf>
    <xf numFmtId="0" fontId="13" fillId="2" borderId="4" applyAlignment="1" pivotButton="0" quotePrefix="0" xfId="0">
      <alignment horizontal="center" vertical="bottom"/>
    </xf>
    <xf numFmtId="0" fontId="18" fillId="0" borderId="0" applyAlignment="1" pivotButton="0" quotePrefix="0" xfId="0">
      <alignment horizontal="center" vertical="bottom"/>
    </xf>
    <xf numFmtId="164" fontId="19" fillId="0" borderId="5" applyAlignment="1" pivotButton="0" quotePrefix="0" xfId="0">
      <alignment horizontal="center" vertical="center"/>
    </xf>
    <xf numFmtId="165" fontId="10" fillId="0" borderId="6" applyAlignment="1" pivotButton="0" quotePrefix="0" xfId="0">
      <alignment horizontal="right" vertical="center"/>
    </xf>
    <xf numFmtId="164" fontId="10" fillId="0" borderId="7" applyAlignment="1" pivotButton="0" quotePrefix="0" xfId="0">
      <alignment horizontal="center" vertical="center"/>
    </xf>
    <xf numFmtId="164" fontId="10" fillId="0" borderId="6" applyAlignment="1" pivotButton="0" quotePrefix="0" xfId="0">
      <alignment horizontal="center" vertical="center"/>
    </xf>
    <xf numFmtId="0" fontId="17" fillId="0" borderId="8" applyAlignment="1" pivotButton="0" quotePrefix="0" xfId="0">
      <alignment horizontal="left" vertical="center" wrapText="1"/>
    </xf>
    <xf numFmtId="165" fontId="10" fillId="0" borderId="9" applyAlignment="1" pivotButton="0" quotePrefix="0" xfId="0">
      <alignment horizontal="right" vertical="center"/>
    </xf>
    <xf numFmtId="164" fontId="10" fillId="0" borderId="10" applyAlignment="1" pivotButton="0" quotePrefix="0" xfId="0">
      <alignment horizontal="center" vertical="center"/>
    </xf>
    <xf numFmtId="164" fontId="10" fillId="0" borderId="9" applyAlignment="1" pivotButton="0" quotePrefix="0" xfId="0">
      <alignment horizontal="center" vertical="center"/>
    </xf>
    <xf numFmtId="0" fontId="17" fillId="0" borderId="11" applyAlignment="1" pivotButton="0" quotePrefix="0" xfId="0">
      <alignment horizontal="left" vertical="center" wrapText="1"/>
    </xf>
    <xf numFmtId="164" fontId="10" fillId="0" borderId="12" applyAlignment="1" pivotButton="0" quotePrefix="0" xfId="0">
      <alignment horizontal="center" vertical="center"/>
    </xf>
    <xf numFmtId="164" fontId="19" fillId="0" borderId="13" applyAlignment="1" pivotButton="0" quotePrefix="0" xfId="0">
      <alignment horizontal="center" vertical="center"/>
    </xf>
    <xf numFmtId="165" fontId="10" fillId="0" borderId="14" applyAlignment="1" pivotButton="0" quotePrefix="0" xfId="0">
      <alignment horizontal="right" vertical="center"/>
    </xf>
    <xf numFmtId="164" fontId="10" fillId="0" borderId="15" applyAlignment="1" pivotButton="0" quotePrefix="0" xfId="0">
      <alignment horizontal="center" vertical="center"/>
    </xf>
    <xf numFmtId="164" fontId="10" fillId="0" borderId="14" applyAlignment="1" pivotButton="0" quotePrefix="0" xfId="0">
      <alignment horizontal="center" vertical="center"/>
    </xf>
    <xf numFmtId="0" fontId="17" fillId="0" borderId="16" applyAlignment="1" pivotButton="0" quotePrefix="0" xfId="0">
      <alignment horizontal="left" vertical="center" wrapText="1"/>
    </xf>
    <xf numFmtId="0" fontId="20" fillId="0" borderId="0" applyAlignment="1" pivotButton="0" quotePrefix="0" xfId="0">
      <alignment horizontal="center" vertical="center"/>
    </xf>
    <xf numFmtId="0" fontId="20" fillId="0" borderId="0" applyAlignment="1" pivotButton="0" quotePrefix="0" xfId="0">
      <alignment horizontal="general" vertical="bottom"/>
    </xf>
    <xf numFmtId="0" fontId="2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pivotButton="0" quotePrefix="0" xfId="0"/>
    <xf numFmtId="0" fontId="7" fillId="0" borderId="0" applyAlignment="1" pivotButton="0" quotePrefix="0" xfId="0">
      <alignment horizontal="center" vertical="top" wrapText="1"/>
    </xf>
    <xf numFmtId="0" fontId="9" fillId="0" borderId="0" applyAlignment="1" pivotButton="0" quotePrefix="0" xfId="0">
      <alignment horizontal="general" vertical="center"/>
    </xf>
    <xf numFmtId="0" fontId="10" fillId="0" borderId="0" applyAlignment="1" pivotButton="0" quotePrefix="0" xfId="0">
      <alignment horizontal="general" vertical="bottom"/>
    </xf>
    <xf numFmtId="0" fontId="10" fillId="0" borderId="0" applyAlignment="1" pivotButton="0" quotePrefix="0" xfId="0">
      <alignment horizontal="general" vertical="center"/>
    </xf>
    <xf numFmtId="0" fontId="10" fillId="0" borderId="0" applyAlignment="1" pivotButton="0" quotePrefix="0" xfId="0">
      <alignment horizontal="right" vertical="center"/>
    </xf>
    <xf numFmtId="2" fontId="11" fillId="0" borderId="0" applyAlignment="1" pivotButton="0" quotePrefix="0" xfId="0">
      <alignment horizontal="center" vertical="bottom"/>
    </xf>
    <xf numFmtId="0" fontId="12" fillId="0" borderId="0" applyAlignment="1" pivotButton="0" quotePrefix="0" xfId="0">
      <alignment horizontal="left" vertical="bottom"/>
    </xf>
    <xf numFmtId="0" fontId="13" fillId="0" borderId="0" applyAlignment="1" applyProtection="1" pivotButton="0" quotePrefix="0" xfId="0">
      <alignment horizontal="general" vertical="center"/>
      <protection locked="1" hidden="1"/>
    </xf>
    <xf numFmtId="0" fontId="14" fillId="0" borderId="0" applyAlignment="1" pivotButton="0" quotePrefix="0" xfId="0">
      <alignment horizontal="general" vertical="bottom"/>
    </xf>
    <xf numFmtId="2" fontId="10" fillId="0" borderId="0" applyAlignment="1" pivotButton="0" quotePrefix="0" xfId="0">
      <alignment horizontal="center" vertical="bottom"/>
    </xf>
    <xf numFmtId="0" fontId="15" fillId="0" borderId="0" applyAlignment="1" pivotButton="0" quotePrefix="0" xfId="0">
      <alignment horizontal="left" vertical="center"/>
    </xf>
    <xf numFmtId="0" fontId="16" fillId="0" borderId="0" applyAlignment="1" pivotButton="0" quotePrefix="0" xfId="0">
      <alignment horizontal="general" vertical="bottom"/>
    </xf>
    <xf numFmtId="0" fontId="0" fillId="0" borderId="0" applyAlignment="1" pivotButton="0" quotePrefix="0" xfId="0">
      <alignment horizontal="general" vertical="top"/>
    </xf>
    <xf numFmtId="0" fontId="13" fillId="0" borderId="0" applyAlignment="1" applyProtection="1" pivotButton="0" quotePrefix="0" xfId="0">
      <alignment horizontal="left" vertical="top"/>
      <protection locked="1" hidden="1"/>
    </xf>
    <xf numFmtId="0" fontId="17" fillId="0" borderId="0" applyAlignment="1" pivotButton="0" quotePrefix="0" xfId="0">
      <alignment horizontal="general" vertical="top"/>
    </xf>
    <xf numFmtId="0" fontId="10" fillId="0" borderId="0" applyAlignment="1" pivotButton="0" quotePrefix="0" xfId="0">
      <alignment horizontal="right" vertical="top"/>
    </xf>
    <xf numFmtId="0" fontId="17" fillId="0" borderId="0" applyAlignment="1" pivotButton="0" quotePrefix="0" xfId="0">
      <alignment horizontal="center" vertical="top"/>
    </xf>
    <xf numFmtId="0" fontId="9" fillId="0" borderId="0" applyAlignment="1" pivotButton="0" quotePrefix="0" xfId="0">
      <alignment horizontal="right" vertical="top"/>
    </xf>
    <xf numFmtId="0" fontId="6" fillId="0" borderId="0" applyAlignment="1" pivotButton="0" quotePrefix="0" xfId="0">
      <alignment horizontal="general" vertical="top"/>
    </xf>
    <xf numFmtId="0" fontId="13" fillId="2" borderId="1" applyAlignment="1" pivotButton="0" quotePrefix="0" xfId="0">
      <alignment horizontal="center" vertical="bottom"/>
    </xf>
    <xf numFmtId="0" fontId="13" fillId="2" borderId="2" applyAlignment="1" pivotButton="0" quotePrefix="0" xfId="0">
      <alignment horizontal="center" vertical="bottom"/>
    </xf>
    <xf numFmtId="0" fontId="13" fillId="2" borderId="3" applyAlignment="1" pivotButton="0" quotePrefix="0" xfId="0">
      <alignment horizontal="center" vertical="bottom"/>
    </xf>
    <xf numFmtId="0" fontId="13" fillId="2" borderId="4" applyAlignment="1" pivotButton="0" quotePrefix="0" xfId="0">
      <alignment horizontal="center" vertical="bottom"/>
    </xf>
    <xf numFmtId="0" fontId="18" fillId="0" borderId="0" applyAlignment="1" pivotButton="0" quotePrefix="0" xfId="0">
      <alignment horizontal="center" vertical="bottom"/>
    </xf>
    <xf numFmtId="164" fontId="19" fillId="0" borderId="5" applyAlignment="1" pivotButton="0" quotePrefix="0" xfId="0">
      <alignment horizontal="center" vertical="center"/>
    </xf>
    <xf numFmtId="165" fontId="10" fillId="0" borderId="6" applyAlignment="1" pivotButton="0" quotePrefix="0" xfId="0">
      <alignment horizontal="right" vertical="center"/>
    </xf>
    <xf numFmtId="164" fontId="10" fillId="0" borderId="7" applyAlignment="1" pivotButton="0" quotePrefix="0" xfId="0">
      <alignment horizontal="center" vertical="center"/>
    </xf>
    <xf numFmtId="164" fontId="10" fillId="0" borderId="6" applyAlignment="1" pivotButton="0" quotePrefix="0" xfId="0">
      <alignment horizontal="center" vertical="center"/>
    </xf>
    <xf numFmtId="0" fontId="17" fillId="0" borderId="8" applyAlignment="1" pivotButton="0" quotePrefix="0" xfId="0">
      <alignment horizontal="left" vertical="center" wrapText="1"/>
    </xf>
    <xf numFmtId="165" fontId="10" fillId="0" borderId="9" applyAlignment="1" pivotButton="0" quotePrefix="0" xfId="0">
      <alignment horizontal="right" vertical="center"/>
    </xf>
    <xf numFmtId="164" fontId="10" fillId="0" borderId="10" applyAlignment="1" pivotButton="0" quotePrefix="0" xfId="0">
      <alignment horizontal="center" vertical="center"/>
    </xf>
    <xf numFmtId="164" fontId="10" fillId="0" borderId="9" applyAlignment="1" pivotButton="0" quotePrefix="0" xfId="0">
      <alignment horizontal="center" vertical="center"/>
    </xf>
    <xf numFmtId="0" fontId="17" fillId="0" borderId="11" applyAlignment="1" pivotButton="0" quotePrefix="0" xfId="0">
      <alignment horizontal="left" vertical="center" wrapText="1"/>
    </xf>
    <xf numFmtId="164" fontId="10" fillId="0" borderId="12" applyAlignment="1" pivotButton="0" quotePrefix="0" xfId="0">
      <alignment horizontal="center" vertical="center"/>
    </xf>
    <xf numFmtId="164" fontId="19" fillId="0" borderId="13" applyAlignment="1" pivotButton="0" quotePrefix="0" xfId="0">
      <alignment horizontal="center" vertical="center"/>
    </xf>
    <xf numFmtId="165" fontId="10" fillId="0" borderId="14" applyAlignment="1" pivotButton="0" quotePrefix="0" xfId="0">
      <alignment horizontal="right" vertical="center"/>
    </xf>
    <xf numFmtId="164" fontId="10" fillId="0" borderId="15" applyAlignment="1" pivotButton="0" quotePrefix="0" xfId="0">
      <alignment horizontal="center" vertical="center"/>
    </xf>
    <xf numFmtId="164" fontId="10" fillId="0" borderId="14" applyAlignment="1" pivotButton="0" quotePrefix="0" xfId="0">
      <alignment horizontal="center" vertical="center"/>
    </xf>
    <xf numFmtId="0" fontId="17" fillId="0" borderId="16" applyAlignment="1" pivotButton="0" quotePrefix="0" xfId="0">
      <alignment horizontal="left" vertical="center" wrapText="1"/>
    </xf>
    <xf numFmtId="0" fontId="20" fillId="0" borderId="0" applyAlignment="1" pivotButton="0" quotePrefix="0" xfId="0">
      <alignment horizontal="center" vertical="center"/>
    </xf>
    <xf numFmtId="0" fontId="20" fillId="0" borderId="0" applyAlignment="1" pivotButton="0" quotePrefix="0" xfId="0">
      <alignment horizontal="general" vertical="bottom"/>
    </xf>
    <xf numFmtId="0" fontId="20" fillId="0" borderId="0" applyAlignment="1" pivotButton="0" quotePrefix="0" xfId="0">
      <alignment horizontal="center" vertical="bottom"/>
    </xf>
  </cellXfs>
  <cellStyles count="14">
    <cellStyle name="Normal" xfId="0" builtinId="0"/>
    <cellStyle name="Comma" xfId="1" builtinId="3"/>
    <cellStyle name="Comma [0]" xfId="2" builtinId="6"/>
    <cellStyle name="Currency" xfId="3" builtinId="4"/>
    <cellStyle name="Currency [0]" xfId="4" builtinId="7"/>
    <cellStyle name="Percent" xfId="5" builtinId="5"/>
    <cellStyle name="F2" xfId="6"/>
    <cellStyle name="F3" xfId="7"/>
    <cellStyle name="F4" xfId="8"/>
    <cellStyle name="F5" xfId="9"/>
    <cellStyle name="F6" xfId="10"/>
    <cellStyle name="F7" xfId="11"/>
    <cellStyle name="F8" xfId="12"/>
    <cellStyle name="Normal 2" xfId="13"/>
  </cellStyles>
  <dxfs count="2">
    <dxf>
      <font>
        <color rgb="00FFFFFF"/>
      </font>
      <fill>
        <patternFill>
          <bgColor rgb="FF8D8DB3"/>
        </patternFill>
      </fill>
    </dxf>
    <dxf>
      <font>
        <b val="1"/>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465A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2</col>
      <colOff>111240</colOff>
      <row>0</row>
      <rowOff>1056240</rowOff>
    </to>
    <pic>
      <nvPicPr>
        <cNvPr id="1" name="Imagen 2"/>
        <cNvPicPr/>
      </nvPicPr>
      <blipFill>
        <a:blip r:embed="rId1"/>
        <a:stretch>
          <a:fillRect/>
        </a:stretch>
      </blipFill>
      <spPr>
        <a:xfrm>
          <a:off x="0" y="0"/>
          <a:ext cx="2040480" cy="1056240"/>
        </a:xfrm>
        <a:prstGeom prst="rect">
          <avLst/>
        </a:prstGeom>
        <a:noFill/>
        <a:ln w="0">
          <a:noFill/>
          <a:prstDash val="solid"/>
        </a:ln>
      </spPr>
    </pic>
    <clientData/>
  </twoCellAnchor>
  <twoCellAnchor editAs="oneCell">
    <from>
      <col>9</col>
      <colOff>3720240</colOff>
      <row>0</row>
      <rowOff>21960</rowOff>
    </from>
    <to>
      <col>9</col>
      <colOff>7872120</colOff>
      <row>0</row>
      <rowOff>401760</rowOff>
    </to>
    <pic>
      <nvPicPr>
        <cNvPr id="2" name="Imagen 4"/>
        <cNvPicPr/>
      </nvPicPr>
      <blipFill>
        <a:blip r:embed="rId2"/>
        <a:stretch>
          <a:fillRect/>
        </a:stretch>
      </blipFill>
      <spPr>
        <a:xfrm>
          <a:off x="10395360" y="21960"/>
          <a:ext cx="4151880" cy="379800"/>
        </a:xfrm>
        <a:prstGeom prst="rect">
          <avLst/>
        </a:prstGeom>
        <a:noFill/>
        <a:ln w="0">
          <a:noFill/>
          <a:prstDash val="solid"/>
        </a:ln>
      </spPr>
    </pic>
    <clientData/>
  </twoCellAnchor>
</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N37"/>
  <sheetViews>
    <sheetView showFormulas="0" showGridLines="0" showRowColHeaders="1" showZeros="1" rightToLeft="0" tabSelected="1" showOutlineSymbols="1" defaultGridColor="1" view="normal" topLeftCell="D6" colorId="64" zoomScale="90" zoomScaleNormal="90" zoomScalePageLayoutView="100" workbookViewId="0">
      <selection pane="topLeft" activeCell="F18" activeCellId="0" sqref="F18"/>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HOJA DE PRUEBA</t>
        </is>
      </c>
      <c r="I2" s="53">
        <f>SUM(K6:K36)</f>
        <v/>
      </c>
      <c r="J2" s="54" t="inlineStr">
        <is>
          <t>TOTAL</t>
        </is>
      </c>
    </row>
    <row r="3" ht="18.75" customHeight="1" s="47">
      <c r="A3" s="55" t="inlineStr">
        <is>
          <t>Cuadrilla o Agencia:</t>
        </is>
      </c>
      <c r="B3" s="55" t="n"/>
      <c r="C3" s="55" t="n"/>
      <c r="D3" s="55" t="n"/>
      <c r="E3" s="56" t="n"/>
      <c r="F3" s="56" t="n"/>
      <c r="G3" s="56" t="n"/>
      <c r="H3" s="52" t="inlineStr">
        <is>
          <t>AGENCIA GUALAQUIZA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c r="D6" s="75" t="n"/>
      <c r="E6" s="74" t="n"/>
      <c r="F6" s="75" t="n"/>
      <c r="G6" s="74" t="n"/>
      <c r="H6" s="75" t="n"/>
      <c r="I6" s="74" t="n">
        <v>0</v>
      </c>
      <c r="J6" s="76" t="n"/>
    </row>
    <row r="7" ht="17.35" customHeight="1" s="47">
      <c r="A7" s="72">
        <f>IF(B7&gt;0,PROPER(TEXT(B7,"dddd")),"")</f>
        <v/>
      </c>
      <c r="B7" s="77" t="n">
        <v>46114</v>
      </c>
      <c r="C7" s="78" t="n">
        <v>0.8034722222222223</v>
      </c>
      <c r="D7" s="79" t="n">
        <v>0.8652777777777778</v>
      </c>
      <c r="E7" s="78" t="n"/>
      <c r="F7" s="79" t="n"/>
      <c r="G7" s="78" t="n"/>
      <c r="H7" s="79" t="n"/>
      <c r="I7" s="78" t="n">
        <v>0.06180555555555556</v>
      </c>
      <c r="J7" s="80" t="inlineStr">
        <is>
          <t>OT # 173960. Guayusal, reivision y limpieza RBV rehabilitacion de trafo # 23459.</t>
        </is>
      </c>
    </row>
    <row r="8" ht="17.35" customHeight="1" s="47">
      <c r="A8" s="72">
        <f>IF(B8&gt;0,PROPER(TEXT(B8,"dddd")),"")</f>
        <v/>
      </c>
      <c r="B8" s="77" t="n">
        <v>46115</v>
      </c>
      <c r="C8" s="78" t="n">
        <v>0.3701388888888889</v>
      </c>
      <c r="D8" s="79" t="n">
        <v>0.5520833333333334</v>
      </c>
      <c r="E8" s="78" t="n">
        <v>0.7090277777777778</v>
      </c>
      <c r="F8" s="79" t="n">
        <v>0.7951388888888888</v>
      </c>
      <c r="G8" s="78" t="n"/>
      <c r="H8" s="79" t="n"/>
      <c r="I8" s="78" t="n">
        <v>0.2680555555555555</v>
      </c>
      <c r="J8" s="80" t="inlineStr">
        <is>
          <t>OT # 174080. FESTIVO. Naichap, restitución M# 194238 por 18-258039. Aguacate, restitución M# 194324 por 18-258040.</t>
        </is>
      </c>
    </row>
    <row r="9" ht="17.35" customHeight="1" s="47">
      <c r="A9" s="72">
        <f>IF(B9&gt;0,PROPER(TEXT(B9,"dddd")),"")</f>
        <v/>
      </c>
      <c r="B9" s="77" t="n">
        <v>46116</v>
      </c>
      <c r="C9" s="78" t="n">
        <v>0.6777777777777778</v>
      </c>
      <c r="D9" s="79" t="n">
        <v>0.7666666666666667</v>
      </c>
      <c r="E9" s="78" t="n"/>
      <c r="F9" s="79" t="n"/>
      <c r="G9" s="78" t="n"/>
      <c r="H9" s="79" t="n"/>
      <c r="I9" s="78" t="n">
        <v>0.08888888888888889</v>
      </c>
      <c r="J9" s="80" t="inlineStr">
        <is>
          <t>OT # 174083. Guayusal, Est 291765 cambio tirafusible 25A-T</t>
        </is>
      </c>
    </row>
    <row r="10" ht="17.35" customHeight="1" s="47">
      <c r="A10" s="72">
        <f>IF(B10&gt;0,PROPER(TEXT(B10,"dddd")),"")</f>
        <v/>
      </c>
      <c r="B10" s="77" t="n">
        <v>46117</v>
      </c>
      <c r="C10" s="78" t="n">
        <v>0.3666666666666666</v>
      </c>
      <c r="D10" s="79" t="n">
        <v>0.4506944444444445</v>
      </c>
      <c r="E10" s="78" t="n"/>
      <c r="F10" s="79" t="n"/>
      <c r="G10" s="78" t="n"/>
      <c r="H10" s="79" t="n"/>
      <c r="I10" s="78" t="n">
        <v>0.08402777777777778</v>
      </c>
      <c r="J10" s="80" t="inlineStr">
        <is>
          <t>OT # 174084. Chumpias, Est 028535 cambio tirafusible 25A-T</t>
        </is>
      </c>
    </row>
    <row r="11" ht="17.35" customHeight="1" s="47">
      <c r="A11" s="72">
        <f>IF(B11&gt;0,PROPER(TEXT(B11,"dddd")),"")</f>
        <v/>
      </c>
      <c r="B11" s="77" t="n">
        <v>46118</v>
      </c>
      <c r="C11" s="78" t="n">
        <v>0.7986111111111112</v>
      </c>
      <c r="D11" s="79" t="n">
        <v>0.8854166666666666</v>
      </c>
      <c r="E11" s="78" t="n"/>
      <c r="F11" s="79" t="n"/>
      <c r="G11" s="78" t="n"/>
      <c r="H11" s="79" t="n"/>
      <c r="I11" s="78" t="n">
        <v>0.08680555555555555</v>
      </c>
      <c r="J11" s="80" t="inlineStr">
        <is>
          <t>OT # 174310. La Pradera, se arregla acometida M# 240908, se rehabilita trafo # 20916</t>
        </is>
      </c>
    </row>
    <row r="12" ht="17.35" customHeight="1" s="47">
      <c r="A12" s="72">
        <f>IF(B12&gt;0,PROPER(TEXT(B12,"dddd")),"")</f>
        <v/>
      </c>
      <c r="B12" s="77" t="n">
        <v>46119</v>
      </c>
      <c r="C12" s="78" t="n">
        <v>0.75</v>
      </c>
      <c r="D12" s="79" t="n">
        <v>0.8472222222222222</v>
      </c>
      <c r="E12" s="78" t="n"/>
      <c r="F12" s="79" t="n"/>
      <c r="G12" s="78" t="n"/>
      <c r="H12" s="79" t="n"/>
      <c r="I12" s="81" t="n">
        <v>0.09722222222222222</v>
      </c>
      <c r="J12" s="80" t="inlineStr">
        <is>
          <t>OT # 174313. Shiramentza, Est 22357 cambi0 tirafusible de 1.3A-SR</t>
        </is>
      </c>
    </row>
    <row r="13" ht="17.35" customHeight="1" s="47">
      <c r="A13" s="72">
        <f>IF(B13&gt;0,PROPER(TEXT(B13,"dddd")),"")</f>
        <v/>
      </c>
      <c r="B13" s="77" t="n">
        <v>46120</v>
      </c>
      <c r="C13" s="78" t="n"/>
      <c r="D13" s="79" t="n"/>
      <c r="E13" s="78" t="n"/>
      <c r="F13" s="79" t="n"/>
      <c r="G13" s="78" t="n"/>
      <c r="H13" s="79" t="n"/>
      <c r="I13" s="78" t="n">
        <v>0</v>
      </c>
      <c r="J13" s="80" t="n"/>
    </row>
    <row r="14" ht="17.35" customHeight="1" s="47">
      <c r="A14" s="72">
        <f>IF(B14&gt;0,PROPER(TEXT(B14,"dddd")),"")</f>
        <v/>
      </c>
      <c r="B14" s="77" t="n">
        <v>46121</v>
      </c>
      <c r="C14" s="78" t="n"/>
      <c r="D14" s="79" t="n"/>
      <c r="E14" s="78" t="n"/>
      <c r="F14" s="79" t="n"/>
      <c r="G14" s="78" t="n"/>
      <c r="H14" s="79" t="n"/>
      <c r="I14" s="78" t="n">
        <v>0</v>
      </c>
      <c r="J14" s="80" t="n"/>
    </row>
    <row r="15" ht="17.35" customHeight="1" s="47">
      <c r="A15" s="72">
        <f>IF(B15&gt;0,PROPER(TEXT(B15,"dddd")),"")</f>
        <v/>
      </c>
      <c r="B15" s="77" t="n">
        <v>46122</v>
      </c>
      <c r="C15" s="78" t="n">
        <v>0.7270833333333333</v>
      </c>
      <c r="D15" s="79" t="n">
        <v>0.8173611111111111</v>
      </c>
      <c r="E15" s="78" t="n"/>
      <c r="F15" s="79" t="n"/>
      <c r="G15" s="78" t="n"/>
      <c r="H15" s="79" t="n"/>
      <c r="I15" s="78" t="n">
        <v>0.09027777777777778</v>
      </c>
      <c r="J15" s="80" t="inlineStr">
        <is>
          <t>OT # 174486.Tutus, Est 91980 cambio de tirafusible 12A-T</t>
        </is>
      </c>
    </row>
    <row r="16" ht="17.35" customHeight="1" s="47">
      <c r="A16" s="72">
        <f>IF(B16&gt;0,PROPER(TEXT(B16,"dddd")),"")</f>
        <v/>
      </c>
      <c r="B16" s="77" t="n">
        <v>46123</v>
      </c>
      <c r="C16" s="78" t="n"/>
      <c r="D16" s="79" t="n"/>
      <c r="E16" s="78" t="n"/>
      <c r="F16" s="79" t="n"/>
      <c r="G16" s="78" t="n"/>
      <c r="H16" s="79" t="n"/>
      <c r="I16" s="78" t="n">
        <v>0</v>
      </c>
      <c r="J16" s="80" t="n"/>
    </row>
    <row r="17" ht="17.35" customHeight="1" s="47">
      <c r="A17" s="72">
        <f>IF(B17&gt;0,PROPER(TEXT(B17,"dddd")),"")</f>
        <v/>
      </c>
      <c r="B17" s="77" t="n">
        <v>46124</v>
      </c>
      <c r="C17" s="78" t="n"/>
      <c r="D17" s="79" t="n"/>
      <c r="E17" s="78" t="n"/>
      <c r="F17" s="79" t="n"/>
      <c r="G17" s="78" t="n"/>
      <c r="H17" s="79" t="n"/>
      <c r="I17" s="78" t="n">
        <v>0</v>
      </c>
      <c r="J17" s="80" t="n"/>
    </row>
    <row r="18" ht="17.35" customHeight="1" s="47">
      <c r="A18" s="72">
        <f>IF(B18&gt;0,PROPER(TEXT(B18,"dddd")),"")</f>
        <v/>
      </c>
      <c r="B18" s="77" t="n">
        <v>46125</v>
      </c>
      <c r="C18" s="78" t="n"/>
      <c r="D18" s="79" t="n"/>
      <c r="E18" s="78" t="n"/>
      <c r="F18" s="79" t="n"/>
      <c r="G18" s="78" t="n"/>
      <c r="H18" s="79" t="n"/>
      <c r="I18" s="78">
        <f>SUM(C18:H18)</f>
        <v/>
      </c>
      <c r="J18" s="80" t="n"/>
    </row>
    <row r="19" ht="17.35" customHeight="1" s="47">
      <c r="A19" s="72">
        <f>IF(B19&gt;0,PROPER(TEXT(B19,"dddd")),"")</f>
        <v/>
      </c>
      <c r="B19" s="77" t="n">
        <v>46126</v>
      </c>
      <c r="C19" s="78" t="n"/>
      <c r="D19" s="79" t="n"/>
      <c r="E19" s="78" t="n"/>
      <c r="F19" s="79" t="n"/>
      <c r="G19" s="78" t="n"/>
      <c r="H19" s="79" t="n"/>
      <c r="I19" s="78">
        <f>SUM(C19:H19)</f>
        <v/>
      </c>
      <c r="J19" s="80" t="n"/>
    </row>
    <row r="20" ht="17.35" customHeight="1" s="47">
      <c r="A20" s="72">
        <f>IF(B20&gt;0,PROPER(TEXT(B20,"dddd")),"")</f>
        <v/>
      </c>
      <c r="B20" s="77" t="n">
        <v>46127</v>
      </c>
      <c r="C20" s="78" t="n"/>
      <c r="D20" s="79" t="n"/>
      <c r="E20" s="78" t="n"/>
      <c r="F20" s="79" t="n"/>
      <c r="G20" s="78" t="n"/>
      <c r="H20" s="79" t="n"/>
      <c r="I20" s="78">
        <f>SUM(C20:H20)</f>
        <v/>
      </c>
      <c r="J20" s="80" t="n"/>
    </row>
    <row r="21" ht="17.35" customHeight="1" s="47">
      <c r="A21" s="72">
        <f>IF(B21&gt;0,PROPER(TEXT(B21,"dddd")),"")</f>
        <v/>
      </c>
      <c r="B21" s="77" t="n">
        <v>46128</v>
      </c>
      <c r="C21" s="78" t="n"/>
      <c r="D21" s="79" t="n"/>
      <c r="E21" s="78" t="n"/>
      <c r="F21" s="79" t="n"/>
      <c r="G21" s="78" t="n"/>
      <c r="H21" s="79" t="n"/>
      <c r="I21" s="78">
        <f>SUM(C21:H21)</f>
        <v/>
      </c>
      <c r="J21" s="80" t="n"/>
    </row>
    <row r="22" ht="17.35" customHeight="1" s="47">
      <c r="A22" s="72">
        <f>IF(B22&gt;0,PROPER(TEXT(B22,"dddd")),"")</f>
        <v/>
      </c>
      <c r="B22" s="77" t="n">
        <v>46129</v>
      </c>
      <c r="C22" s="78" t="n"/>
      <c r="D22" s="79" t="n"/>
      <c r="E22" s="78" t="n"/>
      <c r="F22" s="79" t="n"/>
      <c r="G22" s="78" t="n"/>
      <c r="H22" s="79" t="n"/>
      <c r="I22" s="78">
        <f>SUM(C22:H22)</f>
        <v/>
      </c>
      <c r="J22" s="80" t="n"/>
    </row>
    <row r="23" ht="17.35" customHeight="1" s="47">
      <c r="A23" s="72">
        <f>IF(B23&gt;0,PROPER(TEXT(B23,"dddd")),"")</f>
        <v/>
      </c>
      <c r="B23" s="77" t="n">
        <v>46130</v>
      </c>
      <c r="C23" s="78" t="n"/>
      <c r="D23" s="79" t="n"/>
      <c r="E23" s="78" t="n"/>
      <c r="F23" s="79" t="n"/>
      <c r="G23" s="78" t="n"/>
      <c r="H23" s="79" t="n"/>
      <c r="I23" s="78">
        <f>SUM(C23:H23)</f>
        <v/>
      </c>
      <c r="J23" s="80" t="n"/>
    </row>
    <row r="24" ht="17.35" customHeight="1" s="47">
      <c r="A24" s="72">
        <f>IF(B24&gt;0,PROPER(TEXT(B24,"dddd")),"")</f>
        <v/>
      </c>
      <c r="B24" s="77" t="n">
        <v>46131</v>
      </c>
      <c r="C24" s="78" t="n"/>
      <c r="D24" s="79" t="n"/>
      <c r="E24" s="78" t="n"/>
      <c r="F24" s="79" t="n"/>
      <c r="G24" s="78" t="n"/>
      <c r="H24" s="79" t="n"/>
      <c r="I24" s="78">
        <f>SUM(C24:H24)</f>
        <v/>
      </c>
      <c r="J24" s="80" t="n"/>
    </row>
    <row r="25" ht="17.35" customHeight="1" s="47">
      <c r="A25" s="72">
        <f>IF(B25&gt;0,PROPER(TEXT(B25,"dddd")),"")</f>
        <v/>
      </c>
      <c r="B25" s="77" t="n">
        <v>46132</v>
      </c>
      <c r="C25" s="78" t="n"/>
      <c r="D25" s="79" t="n"/>
      <c r="E25" s="78" t="n"/>
      <c r="F25" s="79" t="n"/>
      <c r="G25" s="78" t="n"/>
      <c r="H25" s="79" t="n"/>
      <c r="I25" s="78">
        <f>SUM(C25:H25)</f>
        <v/>
      </c>
      <c r="J25" s="80" t="n"/>
    </row>
    <row r="26" ht="17.35" customHeight="1" s="47">
      <c r="A26" s="72">
        <f>IF(B26&gt;0,PROPER(TEXT(B26,"dddd")),"")</f>
        <v/>
      </c>
      <c r="B26" s="77" t="n">
        <v>46133</v>
      </c>
      <c r="C26" s="78" t="n"/>
      <c r="D26" s="79" t="n"/>
      <c r="E26" s="78" t="n"/>
      <c r="F26" s="79" t="n"/>
      <c r="G26" s="78" t="n"/>
      <c r="H26" s="79" t="n"/>
      <c r="I26" s="78">
        <f>SUM(C26:H26)</f>
        <v/>
      </c>
      <c r="J26" s="80" t="n"/>
    </row>
    <row r="27" ht="17.35" customHeight="1" s="47">
      <c r="A27" s="72">
        <f>IF(B27&gt;0,PROPER(TEXT(B27,"dddd")),"")</f>
        <v/>
      </c>
      <c r="B27" s="77" t="n">
        <v>46134</v>
      </c>
      <c r="C27" s="78" t="n"/>
      <c r="D27" s="79" t="n"/>
      <c r="E27" s="78" t="n"/>
      <c r="F27" s="79" t="n"/>
      <c r="G27" s="78" t="n"/>
      <c r="H27" s="79" t="n"/>
      <c r="I27" s="78">
        <f>SUM(C27:H27)</f>
        <v/>
      </c>
      <c r="J27" s="80" t="n"/>
    </row>
    <row r="28" ht="17.35" customHeight="1" s="47">
      <c r="A28" s="72">
        <f>IF(B28&gt;0,PROPER(TEXT(B28,"dddd")),"")</f>
        <v/>
      </c>
      <c r="B28" s="77" t="n">
        <v>46135</v>
      </c>
      <c r="C28" s="78" t="n"/>
      <c r="D28" s="79" t="n"/>
      <c r="E28" s="78" t="n"/>
      <c r="F28" s="79" t="n"/>
      <c r="G28" s="78" t="n"/>
      <c r="H28" s="79" t="n"/>
      <c r="I28" s="78">
        <f>SUM(C28:H28)</f>
        <v/>
      </c>
      <c r="J28" s="80" t="n"/>
    </row>
    <row r="29" ht="17.35" customHeight="1" s="47">
      <c r="A29" s="72">
        <f>IF(B29&gt;0,PROPER(TEXT(B29,"dddd")),"")</f>
        <v/>
      </c>
      <c r="B29" s="77" t="n">
        <v>46136</v>
      </c>
      <c r="C29" s="78" t="n"/>
      <c r="D29" s="79" t="n"/>
      <c r="E29" s="78" t="n"/>
      <c r="F29" s="79" t="n"/>
      <c r="G29" s="78" t="n"/>
      <c r="H29" s="79" t="n"/>
      <c r="I29" s="78">
        <f>SUM(C29:H29)</f>
        <v/>
      </c>
      <c r="J29" s="80" t="n"/>
    </row>
    <row r="30" ht="17.35" customHeight="1" s="47">
      <c r="A30" s="72">
        <f>IF(B30&gt;0,PROPER(TEXT(B30,"dddd")),"")</f>
        <v/>
      </c>
      <c r="B30" s="77" t="n">
        <v>46137</v>
      </c>
      <c r="C30" s="78" t="n"/>
      <c r="D30" s="79" t="n"/>
      <c r="E30" s="78" t="n"/>
      <c r="F30" s="79" t="n"/>
      <c r="G30" s="78" t="n"/>
      <c r="H30" s="79" t="n"/>
      <c r="I30" s="78">
        <f>SUM(C30:H30)</f>
        <v/>
      </c>
      <c r="J30" s="80" t="n"/>
    </row>
    <row r="31" ht="17.35" customHeight="1" s="47">
      <c r="A31" s="72">
        <f>IF(B31&gt;0,PROPER(TEXT(B31,"dddd")),"")</f>
        <v/>
      </c>
      <c r="B31" s="77" t="n">
        <v>46138</v>
      </c>
      <c r="C31" s="78" t="n"/>
      <c r="D31" s="79" t="n"/>
      <c r="E31" s="78" t="n"/>
      <c r="F31" s="79" t="n"/>
      <c r="G31" s="78" t="n"/>
      <c r="H31" s="79" t="n"/>
      <c r="I31" s="78">
        <f>SUM(C31:H31)</f>
        <v/>
      </c>
      <c r="J31" s="80" t="n"/>
    </row>
    <row r="32" ht="17.35" customHeight="1" s="47">
      <c r="A32" s="72">
        <f>IF(B32&gt;0,PROPER(TEXT(B32,"dddd")),"")</f>
        <v/>
      </c>
      <c r="B32" s="77" t="n">
        <v>46139</v>
      </c>
      <c r="C32" s="78" t="n"/>
      <c r="D32" s="79" t="n"/>
      <c r="E32" s="78" t="n"/>
      <c r="F32" s="79" t="n"/>
      <c r="G32" s="78" t="n"/>
      <c r="H32" s="79" t="n"/>
      <c r="I32" s="78">
        <f>SUM(C32:H32)</f>
        <v/>
      </c>
      <c r="J32" s="80" t="n"/>
    </row>
    <row r="33" ht="17.35" customHeight="1" s="47">
      <c r="A33" s="72">
        <f>IF(B33&gt;0,PROPER(TEXT(B33,"dddd")),"")</f>
        <v/>
      </c>
      <c r="B33" s="77" t="n">
        <v>46140</v>
      </c>
      <c r="C33" s="78" t="n"/>
      <c r="D33" s="79" t="n"/>
      <c r="E33" s="78" t="n"/>
      <c r="F33" s="79" t="n"/>
      <c r="G33" s="78" t="n"/>
      <c r="H33" s="79" t="n"/>
      <c r="I33" s="78">
        <f>SUM(C33:H33)</f>
        <v/>
      </c>
      <c r="J33" s="80" t="n"/>
    </row>
    <row r="34" ht="17.35" customHeight="1" s="47">
      <c r="A34" s="72">
        <f>IF(B34&gt;0,PROPER(TEXT(B34,"dddd")),"")</f>
        <v/>
      </c>
      <c r="B34" s="77" t="n">
        <v>46141</v>
      </c>
      <c r="C34" s="78" t="n"/>
      <c r="D34" s="79" t="n"/>
      <c r="E34" s="78" t="n"/>
      <c r="F34" s="79" t="n"/>
      <c r="G34" s="78" t="n"/>
      <c r="H34" s="79" t="n"/>
      <c r="I34" s="78">
        <f>SUM(C34:H34)</f>
        <v/>
      </c>
      <c r="J34" s="80" t="n"/>
    </row>
    <row r="35" ht="17.35" customHeight="1" s="47">
      <c r="A35" s="72">
        <f>IF(B35&gt;0,PROPER(TEXT(B35,"dddd")),"")</f>
        <v/>
      </c>
      <c r="B35" s="77" t="n">
        <v>46142</v>
      </c>
      <c r="C35" s="78" t="n"/>
      <c r="D35" s="79" t="n"/>
      <c r="E35" s="78" t="n"/>
      <c r="F35" s="79" t="n"/>
      <c r="G35" s="78" t="n"/>
      <c r="H35" s="79" t="n"/>
      <c r="I35" s="78">
        <f>SUM(C35:H35)</f>
        <v/>
      </c>
      <c r="J35" s="80" t="n"/>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printOptions horizontalCentered="1" verticalCentered="0" headings="0" gridLines="0" gridLinesSet="1"/>
  <pageMargins left="0.275694444444444" right="0.275694444444444" top="0.236111111111111" bottom="0.619444444444445" header="0.511811023622047" footer="0.236111111111111"/>
  <pageSetup orientation="landscape" paperSize="9" scale="65" fitToHeight="1" fitToWidth="1" pageOrder="downThenOver" blackAndWhite="0" draft="0" horizontalDpi="300" verticalDpi="300" copies="1"/>
  <headerFooter differentOddEven="0" differentFirst="0">
    <oddHeader/>
    <oddFooter>&amp;RPágina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PALACIOS MERINO ERNESTO VLADIMIR</t>
        </is>
      </c>
      <c r="I2" s="53">
        <f>SUM(K6:K36)</f>
        <v/>
      </c>
      <c r="J2" s="54" t="inlineStr">
        <is>
          <t>TOTAL</t>
        </is>
      </c>
    </row>
    <row r="3" ht="18.75" customHeight="1" s="47">
      <c r="A3" s="55" t="inlineStr">
        <is>
          <t>Cuadrilla o Agencia:</t>
        </is>
      </c>
      <c r="B3" s="55" t="n"/>
      <c r="C3" s="55" t="n"/>
      <c r="D3" s="55" t="n"/>
      <c r="E3" s="56" t="n"/>
      <c r="F3" s="56" t="n"/>
      <c r="G3" s="56" t="n"/>
      <c r="H3" s="52" t="inlineStr">
        <is>
          <t>Jefe Zonal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0.7083333333333334</v>
      </c>
      <c r="D29" s="79" t="n">
        <v>0.7826388888888889</v>
      </c>
      <c r="E29" s="78" t="n">
        <v/>
      </c>
      <c r="F29" s="79" t="n">
        <v/>
      </c>
      <c r="G29" s="78" t="n">
        <v/>
      </c>
      <c r="H29" s="79" t="n">
        <v/>
      </c>
      <c r="I29" s="78">
        <f>SUM(D29-C29, F29-E29, H29-G29)</f>
        <v/>
      </c>
      <c r="J29" s="80" t="inlineStr">
        <is>
          <t>OT # 175603. Chuchumbletza, apoyo a Grupo de Línea Energizada en cambio de secuencia de fases AP Bomboiza; medición y pruebas para comprobar secuencia de fases, se normaliza la topologia de la red.</t>
        </is>
      </c>
      <c r="K29">
        <f>SUM((D29-C29)*1.5*24)</f>
        <v/>
      </c>
    </row>
    <row r="30" ht="17.35" customHeight="1" s="47">
      <c r="A30" s="72">
        <f>IF(B30&gt;0,PROPER(TEXT(B30,"dddd")),"")</f>
        <v/>
      </c>
      <c r="B30" s="77" t="n">
        <v>46137</v>
      </c>
      <c r="C30" s="78" t="n">
        <v>0.2916666666666667</v>
      </c>
      <c r="D30" s="79" t="n">
        <v>0.5416666666666666</v>
      </c>
      <c r="E30" s="78" t="n">
        <v>0.5833333333333334</v>
      </c>
      <c r="F30" s="79" t="n">
        <v>0.75</v>
      </c>
      <c r="G30" s="78" t="n">
        <v/>
      </c>
      <c r="H30" s="79" t="n">
        <v/>
      </c>
      <c r="I30" s="78">
        <f>SUM(D30-C30, F30-E30, H30-G30)</f>
        <v/>
      </c>
      <c r="J30" s="80" t="inlineStr">
        <is>
          <t>OT # 175605. Tunduli, se coordina con personal de SEDEMI paso de cuerda manila en Torres de 69 kV; Se coordina maniobras con el Centro de Control.</t>
        </is>
      </c>
      <c r="K30">
        <f>SUM((D30-C30)*2.0*24,(F30-E30)*2.0*24)</f>
        <v/>
      </c>
    </row>
    <row r="31" ht="17.35" customHeight="1" s="47">
      <c r="A31" s="72">
        <f>IF(B31&gt;0,PROPER(TEXT(B31,"dddd")),"")</f>
        <v/>
      </c>
      <c r="B31" s="77" t="n">
        <v>46138</v>
      </c>
      <c r="C31" s="78" t="n">
        <v>0.2916666666666667</v>
      </c>
      <c r="D31" s="79" t="n">
        <v>0.5416666666666666</v>
      </c>
      <c r="E31" s="78" t="n">
        <v>0.5833333333333334</v>
      </c>
      <c r="F31" s="79" t="n">
        <v>0.7083333333333334</v>
      </c>
      <c r="G31" s="78" t="n">
        <v>0.75</v>
      </c>
      <c r="H31" s="79" t="n">
        <v>0.8645833333333334</v>
      </c>
      <c r="I31" s="78">
        <f>SUM(D31-C31, F31-E31, H31-G31)</f>
        <v/>
      </c>
      <c r="J31" s="80" t="inlineStr">
        <is>
          <t>OT # 175610. Tunduli, se coordina con personal de SEDEMI paso de cuerda manila en Torres de 69 kV; Se coordina maniobras con el Centro de Control.</t>
        </is>
      </c>
      <c r="K31">
        <f>SUM((D31-C31)*2.0*24,(F31-E31)*2.0*24,(H31-G31)*2.0*24)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RIOS RIOS FRANCISCO FERNANDO</t>
        </is>
      </c>
      <c r="I2" s="53">
        <f>SUM(K6:K36)</f>
        <v/>
      </c>
      <c r="J2" s="54" t="inlineStr">
        <is>
          <t>TOTAL</t>
        </is>
      </c>
    </row>
    <row r="3" ht="18.75" customHeight="1" s="47">
      <c r="A3" s="55" t="inlineStr">
        <is>
          <t>Cuadrilla o Agencia:</t>
        </is>
      </c>
      <c r="B3" s="55" t="n"/>
      <c r="C3" s="55" t="n"/>
      <c r="D3" s="55" t="n"/>
      <c r="E3" s="56" t="n"/>
      <c r="F3" s="56" t="n"/>
      <c r="G3" s="56" t="n"/>
      <c r="H3" s="52" t="inlineStr">
        <is>
          <t>Cuadrilla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0.9381944444444444</v>
      </c>
      <c r="D6" s="75" t="n">
        <v>0.98125</v>
      </c>
      <c r="E6" s="74" t="n">
        <v/>
      </c>
      <c r="F6" s="75" t="n">
        <v/>
      </c>
      <c r="G6" s="74" t="n">
        <v/>
      </c>
      <c r="H6" s="75" t="n">
        <v/>
      </c>
      <c r="I6" s="74">
        <f>SUM(D6-C6, F6-E6, H6-G6)</f>
        <v/>
      </c>
      <c r="J6" s="76" t="inlineStr">
        <is>
          <t>OT # 173886. La Península, se aísla transformadores privados en mal estado, Est 70356, cambio de fusible de 8A-T, se normaliza el servicio al trafo # 16926 de 25KVA.</t>
        </is>
      </c>
      <c r="K6">
        <f>SUM((D6-C6)*1.5*24)</f>
        <v/>
      </c>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0.3840277777777778</v>
      </c>
      <c r="D8" s="79" t="n">
        <v>0.5368055555555555</v>
      </c>
      <c r="E8" s="78" t="n">
        <v>0.6513888888888889</v>
      </c>
      <c r="F8" s="79" t="n">
        <v>0.7534722222222222</v>
      </c>
      <c r="G8" s="78" t="n">
        <v/>
      </c>
      <c r="H8" s="79" t="n">
        <v/>
      </c>
      <c r="I8" s="78">
        <f>SUM(D8-C8, F8-E8, H8-G8)</f>
        <v/>
      </c>
      <c r="J8" s="80" t="inlineStr">
        <is>
          <t>OT # 174090. DIA FESTIVO “Viernes Santo”. Calle Diego de Vaca, en transformador 13903 se encuentra pararrayo en mal estado, se aisla y reestablece servicio. El Maní, Est 28669 RBV arrancada por conector en mal estado, se empalma y regula, se cambia conectores en bajante del trafo # 24441</t>
        </is>
      </c>
      <c r="K8">
        <f>SUM((D8-C8)*2.0*24,(F8-E8)*2.0*24)</f>
        <v/>
      </c>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0.7083333333333334</v>
      </c>
      <c r="D13" s="79" t="n">
        <v>0.7722222222222223</v>
      </c>
      <c r="E13" s="78" t="n">
        <v/>
      </c>
      <c r="F13" s="79" t="n">
        <v/>
      </c>
      <c r="G13" s="78" t="n">
        <v/>
      </c>
      <c r="H13" s="79" t="n">
        <v/>
      </c>
      <c r="I13" s="78">
        <f>SUM(D13-C13, F13-E13, H13-G13)</f>
        <v/>
      </c>
      <c r="J13" s="80" t="inlineStr">
        <is>
          <t>OT # 174212. Nambija, Est 194212 se arregla bajantes del transformador 22182,se rehabilita.</t>
        </is>
      </c>
      <c r="K13">
        <f>SUM((D13-C13)*1.5*24)</f>
        <v/>
      </c>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0.7083333333333334</v>
      </c>
      <c r="D26" s="79" t="n">
        <v>0.7868055555555555</v>
      </c>
      <c r="E26" s="78" t="n">
        <v/>
      </c>
      <c r="F26" s="79" t="n">
        <v/>
      </c>
      <c r="G26" s="78" t="n">
        <v/>
      </c>
      <c r="H26" s="79" t="n">
        <v/>
      </c>
      <c r="I26" s="78">
        <f>SUM(D26-C26, F26-E26, H26-G26)</f>
        <v/>
      </c>
      <c r="J26" s="80" t="inlineStr">
        <is>
          <t>OT # 175190. San Marcos, Med # 18-219157 falla interna. Jamboe Bajo, Med # 249208 acometida arrancada por vehículo, se empalma.</t>
        </is>
      </c>
      <c r="K26">
        <f>SUM((D26-C26)*1.5*24)</f>
        <v/>
      </c>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0.7291666666666666</v>
      </c>
      <c r="D29" s="79" t="n">
        <v>0.7847222222222222</v>
      </c>
      <c r="E29" s="78" t="n">
        <v/>
      </c>
      <c r="F29" s="79" t="n">
        <v/>
      </c>
      <c r="G29" s="78" t="n">
        <v/>
      </c>
      <c r="H29" s="79" t="n">
        <v/>
      </c>
      <c r="I29" s="78">
        <f>SUM(D29-C29, F29-E29, H29-G29)</f>
        <v/>
      </c>
      <c r="J29" s="80" t="inlineStr">
        <is>
          <t>OT # 175428. Quebrada de Cumbaratza, Med. 18-208984 acometida arrancada, se empalma.</t>
        </is>
      </c>
      <c r="K29">
        <f>SUM((D29-C29)*1.5*24)</f>
        <v/>
      </c>
    </row>
    <row r="30" ht="17.35" customHeight="1" s="47">
      <c r="A30" s="72">
        <f>IF(B30&gt;0,PROPER(TEXT(B30,"dddd")),"")</f>
        <v/>
      </c>
      <c r="B30" s="77" t="n">
        <v>46137</v>
      </c>
      <c r="C30" s="78" t="n">
        <v>0.3819444444444444</v>
      </c>
      <c r="D30" s="79" t="n">
        <v>0.5708333333333333</v>
      </c>
      <c r="E30" s="78" t="n">
        <v>0.8701388888888889</v>
      </c>
      <c r="F30" s="79" t="n">
        <v>0.9173611111111111</v>
      </c>
      <c r="G30" s="78" t="n">
        <v>0.9256944444444445</v>
      </c>
      <c r="H30" s="79" t="n">
        <v>0.9951388888888889</v>
      </c>
      <c r="I30" s="78">
        <f>SUM(D30-C30, F30-E30, H30-G30)</f>
        <v/>
      </c>
      <c r="J30" s="80" t="inlineStr">
        <is>
          <t>OT # 175503. Yaguarzongo, Med. 1000418192 ajustes de conexiones y se normaliza el servicio eléctrico. Nambija Bajo, Med. 18-232857 se cambia 30m de triplex.</t>
        </is>
      </c>
      <c r="K30">
        <f>SUM((D30-C30)*2.0*24,(F30-E30)*2.0*24,(H30-G30)*2.0*24)</f>
        <v/>
      </c>
    </row>
    <row r="31" ht="17.35" customHeight="1" s="47">
      <c r="A31" s="72">
        <f>IF(B31&gt;0,PROPER(TEXT(B31,"dddd")),"")</f>
        <v/>
      </c>
      <c r="B31" s="77" t="n">
        <v>46138</v>
      </c>
      <c r="C31" s="78" t="n">
        <v>0.3854166666666667</v>
      </c>
      <c r="D31" s="79" t="n">
        <v>0.4638888888888889</v>
      </c>
      <c r="E31" s="78" t="n">
        <v>0.5625</v>
      </c>
      <c r="F31" s="79" t="n">
        <v>0.6145833333333334</v>
      </c>
      <c r="G31" s="78" t="n">
        <v/>
      </c>
      <c r="H31" s="79" t="n">
        <v/>
      </c>
      <c r="I31" s="78">
        <f>SUM(D31-C31, F31-E31, H31-G31)</f>
        <v/>
      </c>
      <c r="J31" s="80" t="inlineStr">
        <is>
          <t>OT # 175529. Namirez Alto, se revisa LMV, no se encuentra novedades, Est 217381 cambio fusible de 25 A-T; Causa: fuertes lluvias</t>
        </is>
      </c>
      <c r="K31">
        <f>SUM((D31-C31)*2.0*24,(F31-E31)*2.0*24)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CASTILLO RODRIGUEZ JIMMY LEODAN</t>
        </is>
      </c>
      <c r="I2" s="53">
        <f>SUM(K6:K36)</f>
        <v/>
      </c>
      <c r="J2" s="54" t="inlineStr">
        <is>
          <t>TOTAL</t>
        </is>
      </c>
    </row>
    <row r="3" ht="18.75" customHeight="1" s="47">
      <c r="A3" s="55" t="inlineStr">
        <is>
          <t>Cuadrilla o Agencia:</t>
        </is>
      </c>
      <c r="B3" s="55" t="n"/>
      <c r="C3" s="55" t="n"/>
      <c r="D3" s="55" t="n"/>
      <c r="E3" s="56" t="n"/>
      <c r="F3" s="56" t="n"/>
      <c r="G3" s="56" t="n"/>
      <c r="H3" s="52" t="inlineStr">
        <is>
          <t>Cuadrilla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0.9381944444444444</v>
      </c>
      <c r="D6" s="75" t="n">
        <v>0.98125</v>
      </c>
      <c r="E6" s="74" t="n">
        <v/>
      </c>
      <c r="F6" s="75" t="n">
        <v/>
      </c>
      <c r="G6" s="74" t="n">
        <v/>
      </c>
      <c r="H6" s="75" t="n">
        <v/>
      </c>
      <c r="I6" s="74">
        <f>SUM(D6-C6, F6-E6, H6-G6)</f>
        <v/>
      </c>
      <c r="J6" s="76" t="inlineStr">
        <is>
          <t>OT # 173886. La Península, se aísla transformadores privados en mal estado, Est 70356, cambio de fusible de 8A-T, se normaliza el servicio al trafo # 16926 de 25KVA.</t>
        </is>
      </c>
      <c r="K6">
        <f>SUM((D6-C6)*1.5*24)</f>
        <v/>
      </c>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0.3840277777777778</v>
      </c>
      <c r="D8" s="79" t="n">
        <v>0.5368055555555555</v>
      </c>
      <c r="E8" s="78" t="n">
        <v>0.6513888888888889</v>
      </c>
      <c r="F8" s="79" t="n">
        <v>0.7534722222222222</v>
      </c>
      <c r="G8" s="78" t="n">
        <v/>
      </c>
      <c r="H8" s="79" t="n">
        <v/>
      </c>
      <c r="I8" s="78">
        <f>SUM(D8-C8, F8-E8, H8-G8)</f>
        <v/>
      </c>
      <c r="J8" s="80" t="inlineStr">
        <is>
          <t>OT # 174090. DIA FESTIVO “Viernes Santo”. Calle Diego de Vaca, en transformador 13903 se encuentra pararrayo en mal estado, se aisla y reestablece servicio. El Maní, Est 28669 RBV arrancada por conector en mal estado, se empalma y regula, se cambia conectores en bajante del trafo # 24441</t>
        </is>
      </c>
      <c r="K8">
        <f>SUM((D8-C8)*2.0*24,(F8-E8)*2.0*24)</f>
        <v/>
      </c>
    </row>
    <row r="9" ht="17.35" customHeight="1" s="47">
      <c r="A9" s="72">
        <f>IF(B9&gt;0,PROPER(TEXT(B9,"dddd")),"")</f>
        <v/>
      </c>
      <c r="B9" s="77" t="n">
        <v>46116</v>
      </c>
      <c r="C9" s="78" t="n">
        <v>0.8611111111111112</v>
      </c>
      <c r="D9" s="79" t="n">
        <v>0.9034722222222222</v>
      </c>
      <c r="E9" s="78" t="n">
        <v/>
      </c>
      <c r="F9" s="79" t="n">
        <v/>
      </c>
      <c r="G9" s="78" t="n">
        <v/>
      </c>
      <c r="H9" s="79" t="n">
        <v/>
      </c>
      <c r="I9" s="78">
        <f>SUM(D9-C9, F9-E9, H9-G9)</f>
        <v/>
      </c>
      <c r="J9" s="80" t="inlineStr">
        <is>
          <t>OT # 174606. San José Alto, se arregla punto caliente de la RBV, y acometida del medidor 18-250523</t>
        </is>
      </c>
      <c r="K9">
        <f>SUM((D9-C9)*2.0*24)</f>
        <v/>
      </c>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0.7083333333333334</v>
      </c>
      <c r="D13" s="79" t="n">
        <v>0.7722222222222223</v>
      </c>
      <c r="E13" s="78" t="n">
        <v/>
      </c>
      <c r="F13" s="79" t="n">
        <v/>
      </c>
      <c r="G13" s="78" t="n">
        <v/>
      </c>
      <c r="H13" s="79" t="n">
        <v/>
      </c>
      <c r="I13" s="78">
        <f>SUM(D13-C13, F13-E13, H13-G13)</f>
        <v/>
      </c>
      <c r="J13" s="80" t="inlineStr">
        <is>
          <t>OT # 174212. Nambija, Est 194212 se arregla bajantes del transformador 22182,se rehabilita.</t>
        </is>
      </c>
      <c r="K13">
        <f>SUM((D13-C13)*1.5*24)</f>
        <v/>
      </c>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0.7291666666666666</v>
      </c>
      <c r="D29" s="79" t="n">
        <v>0.7847222222222222</v>
      </c>
      <c r="E29" s="78" t="n">
        <v/>
      </c>
      <c r="F29" s="79" t="n">
        <v/>
      </c>
      <c r="G29" s="78" t="n">
        <v/>
      </c>
      <c r="H29" s="79" t="n">
        <v/>
      </c>
      <c r="I29" s="78">
        <f>SUM(D29-C29, F29-E29, H29-G29)</f>
        <v/>
      </c>
      <c r="J29" s="80" t="inlineStr">
        <is>
          <t>OT # 175428. Quebrada de Cumbaratza, Med. 18-208984 acometida arrancada, se empalma.</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SILVA ARMIJOS ROMEL EDUARDO</t>
        </is>
      </c>
      <c r="I2" s="53">
        <f>SUM(K6:K36)</f>
        <v/>
      </c>
      <c r="J2" s="54" t="inlineStr">
        <is>
          <t>TOTAL</t>
        </is>
      </c>
    </row>
    <row r="3" ht="18.75" customHeight="1" s="47">
      <c r="A3" s="55" t="inlineStr">
        <is>
          <t>Cuadrilla o Agencia:</t>
        </is>
      </c>
      <c r="B3" s="55" t="n"/>
      <c r="C3" s="55" t="n"/>
      <c r="D3" s="55" t="n"/>
      <c r="E3" s="56" t="n"/>
      <c r="F3" s="56" t="n"/>
      <c r="G3" s="56" t="n"/>
      <c r="H3" s="52" t="inlineStr">
        <is>
          <t>Cuadrilla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0.8611111111111112</v>
      </c>
      <c r="D9" s="79" t="n">
        <v>0.9034722222222222</v>
      </c>
      <c r="E9" s="78" t="n">
        <v/>
      </c>
      <c r="F9" s="79" t="n">
        <v/>
      </c>
      <c r="G9" s="78" t="n">
        <v/>
      </c>
      <c r="H9" s="79" t="n">
        <v/>
      </c>
      <c r="I9" s="78">
        <f>SUM(D9-C9, F9-E9, H9-G9)</f>
        <v/>
      </c>
      <c r="J9" s="80" t="inlineStr">
        <is>
          <t>OT # 174606. San José Alto, se arregla punto caliente de la RBV, y acometida del medidor 18-250523</t>
        </is>
      </c>
      <c r="K9">
        <f>SUM((D9-C9)*2.0*24)</f>
        <v/>
      </c>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0.7083333333333334</v>
      </c>
      <c r="D13" s="79" t="n">
        <v>0.7722222222222223</v>
      </c>
      <c r="E13" s="78" t="n">
        <v/>
      </c>
      <c r="F13" s="79" t="n">
        <v/>
      </c>
      <c r="G13" s="78" t="n">
        <v/>
      </c>
      <c r="H13" s="79" t="n">
        <v/>
      </c>
      <c r="I13" s="78">
        <f>SUM(D13-C13, F13-E13, H13-G13)</f>
        <v/>
      </c>
      <c r="J13" s="80" t="inlineStr">
        <is>
          <t>OT # 174212. Nambija, Est 194212 se arregla bajantes del transformador 22182,se rehabilita.</t>
        </is>
      </c>
      <c r="K13">
        <f>SUM((D13-C13)*1.5*24)</f>
        <v/>
      </c>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0.5875</v>
      </c>
      <c r="D24" s="79" t="n">
        <v>0.6611111111111111</v>
      </c>
      <c r="E24" s="78" t="n">
        <v/>
      </c>
      <c r="F24" s="79" t="n">
        <v/>
      </c>
      <c r="G24" s="78" t="n">
        <v/>
      </c>
      <c r="H24" s="79" t="n">
        <v/>
      </c>
      <c r="I24" s="78">
        <f>SUM(D24-C24, F24-E24, H24-G24)</f>
        <v/>
      </c>
      <c r="J24" s="80" t="inlineStr">
        <is>
          <t>OT # 175178. Soñaderos, Est 61916 se cambia tirafusible 25A-T, no se encuentra novedad; posible causa: descargas atmosféricas.</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0.7083333333333334</v>
      </c>
      <c r="D26" s="79" t="n">
        <v>0.7868055555555555</v>
      </c>
      <c r="E26" s="78" t="n">
        <v/>
      </c>
      <c r="F26" s="79" t="n">
        <v/>
      </c>
      <c r="G26" s="78" t="n">
        <v/>
      </c>
      <c r="H26" s="79" t="n">
        <v/>
      </c>
      <c r="I26" s="78">
        <f>SUM(D26-C26, F26-E26, H26-G26)</f>
        <v/>
      </c>
      <c r="J26" s="80" t="inlineStr">
        <is>
          <t>OT # 175190. San Marcos, Med # 18-219157 falla interna. Jamboe Bajo, Med # 249208 acometida arrancada por vehículo, se empalma.</t>
        </is>
      </c>
      <c r="K26">
        <f>SUM((D26-C26)*1.5*24)</f>
        <v/>
      </c>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0.7291666666666666</v>
      </c>
      <c r="D29" s="79" t="n">
        <v>0.7847222222222222</v>
      </c>
      <c r="E29" s="78" t="n">
        <v/>
      </c>
      <c r="F29" s="79" t="n">
        <v/>
      </c>
      <c r="G29" s="78" t="n">
        <v/>
      </c>
      <c r="H29" s="79" t="n">
        <v/>
      </c>
      <c r="I29" s="78">
        <f>SUM(D29-C29, F29-E29, H29-G29)</f>
        <v/>
      </c>
      <c r="J29" s="80" t="inlineStr">
        <is>
          <t>OT # 175428. Quebrada de Cumbaratza, Med. 18-208984 acometida arrancada, se empalma.</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LEON CUEVA LUIS ALBERTO</t>
        </is>
      </c>
      <c r="I2" s="53">
        <f>SUM(K6:K36)</f>
        <v/>
      </c>
      <c r="J2" s="54" t="inlineStr">
        <is>
          <t>TOTAL</t>
        </is>
      </c>
    </row>
    <row r="3" ht="18.75" customHeight="1" s="47">
      <c r="A3" s="55" t="inlineStr">
        <is>
          <t>Cuadrilla o Agencia:</t>
        </is>
      </c>
      <c r="B3" s="55" t="n"/>
      <c r="C3" s="55" t="n"/>
      <c r="D3" s="55" t="n"/>
      <c r="E3" s="56" t="n"/>
      <c r="F3" s="56" t="n"/>
      <c r="G3" s="56" t="n"/>
      <c r="H3" s="52" t="inlineStr">
        <is>
          <t>Cuadrilla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0.7083333333333334</v>
      </c>
      <c r="D13" s="79" t="n">
        <v>0.7722222222222223</v>
      </c>
      <c r="E13" s="78" t="n">
        <v>0.8472222222222222</v>
      </c>
      <c r="F13" s="79" t="n">
        <v>0.9409722222222222</v>
      </c>
      <c r="G13" s="78" t="n">
        <v/>
      </c>
      <c r="H13" s="79" t="n">
        <v/>
      </c>
      <c r="I13" s="78">
        <f>SUM(D13-C13, F13-E13, H13-G13)</f>
        <v/>
      </c>
      <c r="J13" s="80" t="inlineStr">
        <is>
          <t>OT # 174212. Nambija, Est 194212 se arregla bajantes del transformador 22182,se rehabilita.</t>
        </is>
      </c>
      <c r="K13">
        <f>SUM((D13-C13)*1.5*24,(F13-E13)*1.5*24)</f>
        <v/>
      </c>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0.3402777777777778</v>
      </c>
      <c r="D16" s="79" t="n">
        <v>0.5694444444444444</v>
      </c>
      <c r="E16" s="78" t="n">
        <v/>
      </c>
      <c r="F16" s="79" t="n">
        <v/>
      </c>
      <c r="G16" s="78" t="n">
        <v/>
      </c>
      <c r="H16" s="79" t="n">
        <v/>
      </c>
      <c r="I16" s="78">
        <f>SUM(D16-C16, F16-E16, H16-G16)</f>
        <v/>
      </c>
      <c r="J16" s="80" t="inlineStr">
        <is>
          <t>OT # 174649. Namacuntza, se arregla acometida arrancada Med # 1000378694. mismo sector, arreglo de acometida arrancada maquinaria Med # 207282.</t>
        </is>
      </c>
      <c r="K16">
        <f>SUM((D16-C16)*2.0*24)</f>
        <v/>
      </c>
    </row>
    <row r="17" ht="17.35" customHeight="1" s="47">
      <c r="A17" s="72">
        <f>IF(B17&gt;0,PROPER(TEXT(B17,"dddd")),"")</f>
        <v/>
      </c>
      <c r="B17" s="77" t="n">
        <v>46124</v>
      </c>
      <c r="C17" s="78" t="n">
        <v>0.5423611111111111</v>
      </c>
      <c r="D17" s="79" t="n">
        <v>0.6902777777777778</v>
      </c>
      <c r="E17" s="78" t="n">
        <v/>
      </c>
      <c r="F17" s="79" t="n">
        <v/>
      </c>
      <c r="G17" s="78" t="n">
        <v/>
      </c>
      <c r="H17" s="79" t="n">
        <v/>
      </c>
      <c r="I17" s="78">
        <f>SUM(D17-C17, F17-E17, H17-G17)</f>
        <v/>
      </c>
      <c r="J17" s="80" t="inlineStr">
        <is>
          <t>OT # 174705. Barrio Pio Jaramillo, se cambia pararrayo dañado Trafo 19806. Puente Azul, se arregla acometida arrancada Med # 18-207820</t>
        </is>
      </c>
      <c r="K17">
        <f>SUM((D17-C17)*2.0*24)</f>
        <v/>
      </c>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0.7291666666666666</v>
      </c>
      <c r="D29" s="79" t="n">
        <v>0.7847222222222222</v>
      </c>
      <c r="E29" s="78" t="n">
        <v/>
      </c>
      <c r="F29" s="79" t="n">
        <v/>
      </c>
      <c r="G29" s="78" t="n">
        <v/>
      </c>
      <c r="H29" s="79" t="n">
        <v/>
      </c>
      <c r="I29" s="78">
        <f>SUM(D29-C29, F29-E29, H29-G29)</f>
        <v/>
      </c>
      <c r="J29" s="80" t="inlineStr">
        <is>
          <t>OT # 175428. Quebrada de Cumbaratza, Med. 18-208984 acometida arrancada, se empalma.</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ZHUNAULA GUAMAN VICTOR ANIBAL</t>
        </is>
      </c>
      <c r="I2" s="53">
        <f>SUM(K6:K36)</f>
        <v/>
      </c>
      <c r="J2" s="54" t="inlineStr">
        <is>
          <t>TOTAL</t>
        </is>
      </c>
    </row>
    <row r="3" ht="18.75" customHeight="1" s="47">
      <c r="A3" s="55" t="inlineStr">
        <is>
          <t>Cuadrilla o Agencia:</t>
        </is>
      </c>
      <c r="B3" s="55" t="n"/>
      <c r="C3" s="55" t="n"/>
      <c r="D3" s="55" t="n"/>
      <c r="E3" s="56" t="n"/>
      <c r="F3" s="56" t="n"/>
      <c r="G3" s="56" t="n"/>
      <c r="H3" s="52" t="inlineStr">
        <is>
          <t>Cuadrilla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0.7083333333333334</v>
      </c>
      <c r="D13" s="79" t="n">
        <v>0.7722222222222223</v>
      </c>
      <c r="E13" s="78" t="n">
        <v/>
      </c>
      <c r="F13" s="79" t="n">
        <v/>
      </c>
      <c r="G13" s="78" t="n">
        <v/>
      </c>
      <c r="H13" s="79" t="n">
        <v/>
      </c>
      <c r="I13" s="78">
        <f>SUM(D13-C13, F13-E13, H13-G13)</f>
        <v/>
      </c>
      <c r="J13" s="80" t="inlineStr">
        <is>
          <t>OT # 174212. Nambija, Est 194212 se arregla bajantes del transformador 22182,se rehabilita.</t>
        </is>
      </c>
      <c r="K13">
        <f>SUM((D13-C13)*1.5*24)</f>
        <v/>
      </c>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0.7083333333333334</v>
      </c>
      <c r="D26" s="79" t="n">
        <v>0.7868055555555555</v>
      </c>
      <c r="E26" s="78" t="n">
        <v/>
      </c>
      <c r="F26" s="79" t="n">
        <v/>
      </c>
      <c r="G26" s="78" t="n">
        <v/>
      </c>
      <c r="H26" s="79" t="n">
        <v/>
      </c>
      <c r="I26" s="78">
        <f>SUM(D26-C26, F26-E26, H26-G26)</f>
        <v/>
      </c>
      <c r="J26" s="80" t="inlineStr">
        <is>
          <t>OT # 175190. San Marcos, Med # 18-219157 falla interna. Jamboe Bajo, Med # 249208 acometida arrancada por vehículo, se empalma.</t>
        </is>
      </c>
      <c r="K26">
        <f>SUM((D26-C26)*1.5*24)</f>
        <v/>
      </c>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0.7291666666666666</v>
      </c>
      <c r="D29" s="79" t="n">
        <v>0.7847222222222222</v>
      </c>
      <c r="E29" s="78" t="n">
        <v/>
      </c>
      <c r="F29" s="79" t="n">
        <v/>
      </c>
      <c r="G29" s="78" t="n">
        <v/>
      </c>
      <c r="H29" s="79" t="n">
        <v/>
      </c>
      <c r="I29" s="78">
        <f>SUM(D29-C29, F29-E29, H29-G29)</f>
        <v/>
      </c>
      <c r="J29" s="80" t="inlineStr">
        <is>
          <t>OT # 175428. Quebrada de Cumbaratza, Med. 18-208984 acometida arrancada, se empalma.</t>
        </is>
      </c>
      <c r="K29">
        <f>SUM((D29-C29)*1.5*24)</f>
        <v/>
      </c>
    </row>
    <row r="30" ht="17.35" customHeight="1" s="47">
      <c r="A30" s="72">
        <f>IF(B30&gt;0,PROPER(TEXT(B30,"dddd")),"")</f>
        <v/>
      </c>
      <c r="B30" s="77" t="n">
        <v>46137</v>
      </c>
      <c r="C30" s="78" t="n">
        <v>0.3819444444444444</v>
      </c>
      <c r="D30" s="79" t="n">
        <v>0.5708333333333333</v>
      </c>
      <c r="E30" s="78" t="n">
        <v>0.8701388888888889</v>
      </c>
      <c r="F30" s="79" t="n">
        <v>0.9173611111111111</v>
      </c>
      <c r="G30" s="78" t="n">
        <v>0.9256944444444445</v>
      </c>
      <c r="H30" s="79" t="n">
        <v>0.9951388888888889</v>
      </c>
      <c r="I30" s="78">
        <f>SUM(D30-C30, F30-E30, H30-G30)</f>
        <v/>
      </c>
      <c r="J30" s="80" t="inlineStr">
        <is>
          <t>OT # 175503. Yaguarzongo, Med. 1000418192 ajustes de conexiones y se normaliza el servicio eléctrico. Nambija Bajo, Med. 18-232857 se cambia 30m de triplex.</t>
        </is>
      </c>
      <c r="K30">
        <f>SUM((D30-C30)*2.0*24,(F30-E30)*2.0*24,(H30-G30)*2.0*24)</f>
        <v/>
      </c>
    </row>
    <row r="31" ht="17.35" customHeight="1" s="47">
      <c r="A31" s="72">
        <f>IF(B31&gt;0,PROPER(TEXT(B31,"dddd")),"")</f>
        <v/>
      </c>
      <c r="B31" s="77" t="n">
        <v>46138</v>
      </c>
      <c r="C31" s="78" t="n">
        <v>0.3854166666666667</v>
      </c>
      <c r="D31" s="79" t="n">
        <v>0.4638888888888889</v>
      </c>
      <c r="E31" s="78" t="n">
        <v>0.5625</v>
      </c>
      <c r="F31" s="79" t="n">
        <v>0.6145833333333334</v>
      </c>
      <c r="G31" s="78" t="n">
        <v/>
      </c>
      <c r="H31" s="79" t="n">
        <v/>
      </c>
      <c r="I31" s="78">
        <f>SUM(D31-C31, F31-E31, H31-G31)</f>
        <v/>
      </c>
      <c r="J31" s="80" t="inlineStr">
        <is>
          <t>OT # 175529. Namirez Alto, se revisa LMV, no se encuentra novedades, Est 217381 cambio fusible de 25 A-T; Causa: fuertes lluvias</t>
        </is>
      </c>
      <c r="K31">
        <f>SUM((D31-C31)*2.0*24,(F31-E31)*2.0*24)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JARA NARVAEZ GALO SILVERIO</t>
        </is>
      </c>
      <c r="I2" s="53">
        <f>SUM(K6:K36)</f>
        <v/>
      </c>
      <c r="J2" s="54" t="inlineStr">
        <is>
          <t>TOTAL</t>
        </is>
      </c>
    </row>
    <row r="3" ht="18.75" customHeight="1" s="47">
      <c r="A3" s="55" t="inlineStr">
        <is>
          <t>Cuadrilla o Agencia:</t>
        </is>
      </c>
      <c r="B3" s="55" t="n"/>
      <c r="C3" s="55" t="n"/>
      <c r="D3" s="55" t="n"/>
      <c r="E3" s="56" t="n"/>
      <c r="F3" s="56" t="n"/>
      <c r="G3" s="56" t="n"/>
      <c r="H3" s="52" t="inlineStr">
        <is>
          <t>Agencia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0.7083333333333334</v>
      </c>
      <c r="D12" s="79" t="n">
        <v>0.7819444444444444</v>
      </c>
      <c r="E12" s="78" t="n">
        <v/>
      </c>
      <c r="F12" s="79" t="n">
        <v/>
      </c>
      <c r="G12" s="78" t="n">
        <v/>
      </c>
      <c r="H12" s="79" t="n">
        <v/>
      </c>
      <c r="I12" s="81">
        <f>SUM(D12-C12, F12-E12, H12-G12)</f>
        <v/>
      </c>
      <c r="J12" s="80" t="inlineStr">
        <is>
          <t>OT # 174216. Timbara – Bellavista, Med # 276547 conexiones internas recalentadas, se aisla y normaliza el servicio eléctrico</t>
        </is>
      </c>
      <c r="K12">
        <f>SUM((D12-C12)*1.5*24)</f>
        <v/>
      </c>
    </row>
    <row r="13" ht="17.35" customHeight="1" s="47">
      <c r="A13" s="72">
        <f>IF(B13&gt;0,PROPER(TEXT(B13,"dddd")),"")</f>
        <v/>
      </c>
      <c r="B13" s="77" t="n">
        <v>46120</v>
      </c>
      <c r="C13" s="78" t="n">
        <v>0.8472222222222222</v>
      </c>
      <c r="D13" s="79" t="n">
        <v>0.9409722222222222</v>
      </c>
      <c r="E13" s="78" t="n">
        <v/>
      </c>
      <c r="F13" s="79" t="n">
        <v/>
      </c>
      <c r="G13" s="78" t="n">
        <v/>
      </c>
      <c r="H13" s="79" t="n">
        <v/>
      </c>
      <c r="I13" s="78">
        <f>SUM(D13-C13, F13-E13, H13-G13)</f>
        <v/>
      </c>
      <c r="J13" s="80" t="inlineStr">
        <is>
          <t xml:space="preserve">OT # 174212. Namakuntza, se rehabilita transformador 6420 causa desconocida. </t>
        </is>
      </c>
      <c r="K13">
        <f>SUM((D13-C13)*1.5*24)</f>
        <v/>
      </c>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0.3402777777777778</v>
      </c>
      <c r="D16" s="79" t="n">
        <v>0.5694444444444444</v>
      </c>
      <c r="E16" s="78" t="n">
        <v/>
      </c>
      <c r="F16" s="79" t="n">
        <v/>
      </c>
      <c r="G16" s="78" t="n">
        <v/>
      </c>
      <c r="H16" s="79" t="n">
        <v/>
      </c>
      <c r="I16" s="78">
        <f>SUM(D16-C16, F16-E16, H16-G16)</f>
        <v/>
      </c>
      <c r="J16" s="80" t="inlineStr">
        <is>
          <t>OT # 174649. Namacuntza, se arregla acometida arrancada Med # 1000378694. mismo sector, arreglo de acometida arrancada maquinaria Med # 207282.</t>
        </is>
      </c>
      <c r="K16">
        <f>SUM((D16-C16)*2.0*24)</f>
        <v/>
      </c>
    </row>
    <row r="17" ht="17.35" customHeight="1" s="47">
      <c r="A17" s="72">
        <f>IF(B17&gt;0,PROPER(TEXT(B17,"dddd")),"")</f>
        <v/>
      </c>
      <c r="B17" s="77" t="n">
        <v>46124</v>
      </c>
      <c r="C17" s="78" t="n">
        <v>0.5423611111111111</v>
      </c>
      <c r="D17" s="79" t="n">
        <v>0.6902777777777778</v>
      </c>
      <c r="E17" s="78" t="n">
        <v/>
      </c>
      <c r="F17" s="79" t="n">
        <v/>
      </c>
      <c r="G17" s="78" t="n">
        <v/>
      </c>
      <c r="H17" s="79" t="n">
        <v/>
      </c>
      <c r="I17" s="78">
        <f>SUM(D17-C17, F17-E17, H17-G17)</f>
        <v/>
      </c>
      <c r="J17" s="80" t="inlineStr">
        <is>
          <t>OT # 174705. Barrio Pio Jaramillo, se cambia pararrayo dañado Trafo 19806. Puente Azul, se arregla acometida arrancada Med # 18-207820</t>
        </is>
      </c>
      <c r="K17">
        <f>SUM((D17-C17)*2.0*24)</f>
        <v/>
      </c>
    </row>
    <row r="18" ht="17.35" customHeight="1" s="47">
      <c r="A18" s="72">
        <f>IF(B18&gt;0,PROPER(TEXT(B18,"dddd")),"")</f>
        <v/>
      </c>
      <c r="B18" s="77" t="n">
        <v>46125</v>
      </c>
      <c r="C18" s="78" t="n">
        <v>0.7083333333333334</v>
      </c>
      <c r="D18" s="79" t="n">
        <v>0.7743055555555556</v>
      </c>
      <c r="E18" s="78" t="n">
        <v/>
      </c>
      <c r="F18" s="79" t="n">
        <v/>
      </c>
      <c r="G18" s="78" t="n">
        <v/>
      </c>
      <c r="H18" s="79" t="n">
        <v/>
      </c>
      <c r="I18" s="78">
        <f>SUM(D18-C18, F18-E18, H18-G18)</f>
        <v/>
      </c>
      <c r="J18" s="80" t="inlineStr">
        <is>
          <t>OT # 174577. En Kurintza se retira 3 medidores para suspensión definitiva Nro. 18-229733 (1653) 18-229734 (967) y 18-229735 (938) solicitado por la Sra. Maribel Tentests Traslado a Yacuambi</t>
        </is>
      </c>
      <c r="K18">
        <f>SUM((D18-C18)*1.5*24)</f>
        <v/>
      </c>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0.7083333333333334</v>
      </c>
      <c r="D25" s="79" t="n">
        <v>0.7645833333333333</v>
      </c>
      <c r="E25" s="78" t="n">
        <v/>
      </c>
      <c r="F25" s="79" t="n">
        <v/>
      </c>
      <c r="G25" s="78" t="n">
        <v/>
      </c>
      <c r="H25" s="79" t="n">
        <v/>
      </c>
      <c r="I25" s="78">
        <f>SUM(D25-C25, F25-E25, H25-G25)</f>
        <v/>
      </c>
      <c r="J25" s="80" t="inlineStr">
        <is>
          <t>OT # 175122. La Chacra se reubica y Restituye dos medidores de la Est 217884. Urbanización Gálvez, se instala S/O desde Est 36581</t>
        </is>
      </c>
      <c r="K25">
        <f>SUM((D25-C25)*1.5*24)</f>
        <v/>
      </c>
    </row>
    <row r="26" ht="17.35" customHeight="1" s="47">
      <c r="A26" s="72">
        <f>IF(B26&gt;0,PROPER(TEXT(B26,"dddd")),"")</f>
        <v/>
      </c>
      <c r="B26" s="77" t="n">
        <v>46133</v>
      </c>
      <c r="C26" s="78" t="n">
        <v>0.7083333333333334</v>
      </c>
      <c r="D26" s="79" t="n">
        <v>0.7743055555555556</v>
      </c>
      <c r="E26" s="78" t="n">
        <v/>
      </c>
      <c r="F26" s="79" t="n">
        <v/>
      </c>
      <c r="G26" s="78" t="n">
        <v/>
      </c>
      <c r="H26" s="79" t="n">
        <v/>
      </c>
      <c r="I26" s="78">
        <f>SUM(D26-C26, F26-E26, H26-G26)</f>
        <v/>
      </c>
      <c r="J26" s="80" t="inlineStr">
        <is>
          <t>OT # 175166. Kurintza, se instala N/S 18-264157 desde la Est 272136.</t>
        </is>
      </c>
      <c r="K26">
        <f>SUM((D26-C26)*1.5*24)</f>
        <v/>
      </c>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ORTEGA SERRANO STALIN JAVIER</t>
        </is>
      </c>
      <c r="I2" s="53">
        <f>SUM(K6:K36)</f>
        <v/>
      </c>
      <c r="J2" s="54" t="inlineStr">
        <is>
          <t>TOTAL</t>
        </is>
      </c>
    </row>
    <row r="3" ht="18.75" customHeight="1" s="47">
      <c r="A3" s="55" t="inlineStr">
        <is>
          <t>Cuadrilla o Agencia:</t>
        </is>
      </c>
      <c r="B3" s="55" t="n"/>
      <c r="C3" s="55" t="n"/>
      <c r="D3" s="55" t="n"/>
      <c r="E3" s="56" t="n"/>
      <c r="F3" s="56" t="n"/>
      <c r="G3" s="56" t="n"/>
      <c r="H3" s="52" t="inlineStr">
        <is>
          <t>Agencia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0.7083333333333334</v>
      </c>
      <c r="D12" s="79" t="n">
        <v>0.7819444444444444</v>
      </c>
      <c r="E12" s="78" t="n">
        <v/>
      </c>
      <c r="F12" s="79" t="n">
        <v/>
      </c>
      <c r="G12" s="78" t="n">
        <v/>
      </c>
      <c r="H12" s="79" t="n">
        <v/>
      </c>
      <c r="I12" s="81">
        <f>SUM(D12-C12, F12-E12, H12-G12)</f>
        <v/>
      </c>
      <c r="J12" s="80" t="inlineStr">
        <is>
          <t>OT # 174216. Timbara – Bellavista, Med # 276547 conexiones internas recalentadas, se aisla y normaliza el servicio eléctrico</t>
        </is>
      </c>
      <c r="K12">
        <f>SUM((D12-C12)*1.5*24)</f>
        <v/>
      </c>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0.7083333333333334</v>
      </c>
      <c r="D18" s="79" t="n">
        <v>0.7743055555555556</v>
      </c>
      <c r="E18" s="78" t="n">
        <v/>
      </c>
      <c r="F18" s="79" t="n">
        <v/>
      </c>
      <c r="G18" s="78" t="n">
        <v/>
      </c>
      <c r="H18" s="79" t="n">
        <v/>
      </c>
      <c r="I18" s="78">
        <f>SUM(D18-C18, F18-E18, H18-G18)</f>
        <v/>
      </c>
      <c r="J18" s="80" t="inlineStr">
        <is>
          <t>OT # 174577. En Kurintza se retira 3 medidores para suspensión definitiva Nro. 18-229733 (1653) 18-229734 (967) y 18-229735 (938) solicitado por la Sra. Maribel Tentests Traslado a Yacuambi</t>
        </is>
      </c>
      <c r="K18">
        <f>SUM((D18-C18)*1.5*24)</f>
        <v/>
      </c>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0.5875</v>
      </c>
      <c r="D24" s="79" t="n">
        <v>0.6611111111111111</v>
      </c>
      <c r="E24" s="78" t="n">
        <v/>
      </c>
      <c r="F24" s="79" t="n">
        <v/>
      </c>
      <c r="G24" s="78" t="n">
        <v/>
      </c>
      <c r="H24" s="79" t="n">
        <v/>
      </c>
      <c r="I24" s="78">
        <f>SUM(D24-C24, F24-E24, H24-G24)</f>
        <v/>
      </c>
      <c r="J24" s="80" t="inlineStr">
        <is>
          <t>OT # 175178. Soñaderos, Est 61916 se cambia tirafusible 25A-T, no se encuentra novedad; posible causa: descargas atmosféricas.</t>
        </is>
      </c>
      <c r="K24">
        <f>SUM((D24-C24)*2.0*24)</f>
        <v/>
      </c>
    </row>
    <row r="25" ht="17.35" customHeight="1" s="47">
      <c r="A25" s="72">
        <f>IF(B25&gt;0,PROPER(TEXT(B25,"dddd")),"")</f>
        <v/>
      </c>
      <c r="B25" s="77" t="n">
        <v>46132</v>
      </c>
      <c r="C25" s="78" t="n">
        <v>0.7083333333333334</v>
      </c>
      <c r="D25" s="79" t="n">
        <v>0.7645833333333333</v>
      </c>
      <c r="E25" s="78" t="n">
        <v/>
      </c>
      <c r="F25" s="79" t="n">
        <v/>
      </c>
      <c r="G25" s="78" t="n">
        <v/>
      </c>
      <c r="H25" s="79" t="n">
        <v/>
      </c>
      <c r="I25" s="78">
        <f>SUM(D25-C25, F25-E25, H25-G25)</f>
        <v/>
      </c>
      <c r="J25" s="80" t="inlineStr">
        <is>
          <t>OT # 175122. La Chacra se reubica y Restituye dos medidores de la Est 217884. Urbanización Gálvez, se instala S/O desde Est 36581</t>
        </is>
      </c>
      <c r="K25">
        <f>SUM((D25-C25)*1.5*24)</f>
        <v/>
      </c>
    </row>
    <row r="26" ht="17.35" customHeight="1" s="47">
      <c r="A26" s="72">
        <f>IF(B26&gt;0,PROPER(TEXT(B26,"dddd")),"")</f>
        <v/>
      </c>
      <c r="B26" s="77" t="n">
        <v>46133</v>
      </c>
      <c r="C26" s="78" t="n">
        <v>0.7083333333333334</v>
      </c>
      <c r="D26" s="79" t="n">
        <v>0.7743055555555556</v>
      </c>
      <c r="E26" s="78" t="n">
        <v/>
      </c>
      <c r="F26" s="79" t="n">
        <v/>
      </c>
      <c r="G26" s="78" t="n">
        <v/>
      </c>
      <c r="H26" s="79" t="n">
        <v/>
      </c>
      <c r="I26" s="78">
        <f>SUM(D26-C26, F26-E26, H26-G26)</f>
        <v/>
      </c>
      <c r="J26" s="80" t="inlineStr">
        <is>
          <t>OT # 175166. Kurintza, se instala N/S 18-264157 desde la Est 272136.</t>
        </is>
      </c>
      <c r="K26">
        <f>SUM((D26-C26)*1.5*24)</f>
        <v/>
      </c>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MORALES RIVERA LUIS ALBERTO</t>
        </is>
      </c>
      <c r="I2" s="53">
        <f>SUM(K6:K36)</f>
        <v/>
      </c>
      <c r="J2" s="54" t="inlineStr">
        <is>
          <t>TOTAL</t>
        </is>
      </c>
    </row>
    <row r="3" ht="18.75" customHeight="1" s="47">
      <c r="A3" s="55" t="inlineStr">
        <is>
          <t>Cuadrilla o Agencia:</t>
        </is>
      </c>
      <c r="B3" s="55" t="n"/>
      <c r="C3" s="55" t="n"/>
      <c r="D3" s="55" t="n"/>
      <c r="E3" s="56" t="n"/>
      <c r="F3" s="56" t="n"/>
      <c r="G3" s="56" t="n"/>
      <c r="H3" s="52" t="inlineStr">
        <is>
          <t>Alumbrado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0.7916666666666666</v>
      </c>
      <c r="D11" s="79" t="n">
        <v>0.9166666666666666</v>
      </c>
      <c r="E11" s="78" t="n">
        <v/>
      </c>
      <c r="F11" s="79" t="n">
        <v/>
      </c>
      <c r="G11" s="78" t="n">
        <v/>
      </c>
      <c r="H11" s="79" t="n">
        <v/>
      </c>
      <c r="I11" s="78">
        <f>SUM(D11-C11, F11-E11, H11-G11)</f>
        <v/>
      </c>
      <c r="J11" s="80" t="inlineStr">
        <is>
          <t>OT # 174010. Arreglo de luminarias en cambio de horario</t>
        </is>
      </c>
      <c r="K11">
        <f>SUM((D11-C11)*0.25*24)</f>
        <v/>
      </c>
    </row>
    <row r="12" ht="17.35" customHeight="1" s="47">
      <c r="A12" s="72">
        <f>IF(B12&gt;0,PROPER(TEXT(B12,"dddd")),"")</f>
        <v/>
      </c>
      <c r="B12" s="77" t="n">
        <v>46119</v>
      </c>
      <c r="C12" s="78" t="n">
        <v>0.7916666666666666</v>
      </c>
      <c r="D12" s="79" t="n">
        <v>0.9166666666666666</v>
      </c>
      <c r="E12" s="78" t="n">
        <v/>
      </c>
      <c r="F12" s="79" t="n">
        <v/>
      </c>
      <c r="G12" s="78" t="n">
        <v/>
      </c>
      <c r="H12" s="79" t="n">
        <v/>
      </c>
      <c r="I12" s="81">
        <f>SUM(D12-C12, F12-E12, H12-G12)</f>
        <v/>
      </c>
      <c r="J12" s="80" t="inlineStr">
        <is>
          <t>OT # 174101. Arreglo de luminarias en cambio de horario</t>
        </is>
      </c>
      <c r="K12">
        <f>SUM((D12-C12)*0.25*24)</f>
        <v/>
      </c>
    </row>
    <row r="13" ht="17.35" customHeight="1" s="47">
      <c r="A13" s="72">
        <f>IF(B13&gt;0,PROPER(TEXT(B13,"dddd")),"")</f>
        <v/>
      </c>
      <c r="B13" s="77" t="n">
        <v>46120</v>
      </c>
      <c r="C13" s="78" t="n">
        <v>0.7916666666666666</v>
      </c>
      <c r="D13" s="79" t="n">
        <v>0.9166666666666666</v>
      </c>
      <c r="E13" s="78" t="n">
        <v/>
      </c>
      <c r="F13" s="79" t="n">
        <v/>
      </c>
      <c r="G13" s="78" t="n">
        <v/>
      </c>
      <c r="H13" s="79" t="n">
        <v/>
      </c>
      <c r="I13" s="78">
        <f>SUM(D13-C13, F13-E13, H13-G13)</f>
        <v/>
      </c>
      <c r="J13" s="80" t="inlineStr">
        <is>
          <t>OT # 174367. Arreglo de luminarias en cambio de horario</t>
        </is>
      </c>
      <c r="K13">
        <f>SUM((D13-C13)*0.25*24)</f>
        <v/>
      </c>
    </row>
    <row r="14" ht="17.35" customHeight="1" s="47">
      <c r="A14" s="72">
        <f>IF(B14&gt;0,PROPER(TEXT(B14,"dddd")),"")</f>
        <v/>
      </c>
      <c r="B14" s="77" t="n">
        <v>46121</v>
      </c>
      <c r="C14" s="78" t="n">
        <v>0.7916666666666666</v>
      </c>
      <c r="D14" s="79" t="n">
        <v>0.9166666666666666</v>
      </c>
      <c r="E14" s="78" t="n">
        <v/>
      </c>
      <c r="F14" s="79" t="n">
        <v/>
      </c>
      <c r="G14" s="78" t="n">
        <v/>
      </c>
      <c r="H14" s="79" t="n">
        <v/>
      </c>
      <c r="I14" s="78">
        <f>SUM(D14-C14, F14-E14, H14-G14)</f>
        <v/>
      </c>
      <c r="J14" s="80" t="inlineStr">
        <is>
          <t>OT # 174436. Arreglo de luminarias en cambio de horario</t>
        </is>
      </c>
      <c r="K14">
        <f>SUM((D14-C14)*0.25*24)</f>
        <v/>
      </c>
    </row>
    <row r="15" ht="17.35" customHeight="1" s="47">
      <c r="A15" s="72">
        <f>IF(B15&gt;0,PROPER(TEXT(B15,"dddd")),"")</f>
        <v/>
      </c>
      <c r="B15" s="77" t="n">
        <v>46122</v>
      </c>
      <c r="C15" s="78" t="n">
        <v>0.7916666666666666</v>
      </c>
      <c r="D15" s="79" t="n">
        <v>0.9166666666666666</v>
      </c>
      <c r="E15" s="78" t="n">
        <v/>
      </c>
      <c r="F15" s="79" t="n">
        <v/>
      </c>
      <c r="G15" s="78" t="n">
        <v/>
      </c>
      <c r="H15" s="79" t="n">
        <v/>
      </c>
      <c r="I15" s="78">
        <f>SUM(D15-C15, F15-E15, H15-G15)</f>
        <v/>
      </c>
      <c r="J15" s="80" t="inlineStr">
        <is>
          <t>OT # 174518. Arreglo de luminarias en cambio de horario</t>
        </is>
      </c>
      <c r="K15">
        <f>SUM((D15-C15)*0.25*24)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0.7083333333333334</v>
      </c>
      <c r="D22" s="79" t="n">
        <v>0.7923611111111111</v>
      </c>
      <c r="E22" s="78" t="n">
        <v/>
      </c>
      <c r="F22" s="79" t="n">
        <v/>
      </c>
      <c r="G22" s="78" t="n">
        <v/>
      </c>
      <c r="H22" s="79" t="n">
        <v/>
      </c>
      <c r="I22" s="78">
        <f>SUM(D22-C22, F22-E22, H22-G22)</f>
        <v/>
      </c>
      <c r="J22" s="80" t="inlineStr">
        <is>
          <t>OT # 174937. Yantzaza – Chimbutza, aplome de Est 262666 y 262671 (AP Los Encuentros)</t>
        </is>
      </c>
      <c r="K22">
        <f>SUM((D22-C22)*1.5*24)</f>
        <v/>
      </c>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0.7916666666666666</v>
      </c>
      <c r="D32" s="79" t="n">
        <v>0.9166666666666666</v>
      </c>
      <c r="E32" s="78" t="n">
        <v/>
      </c>
      <c r="F32" s="79" t="n">
        <v/>
      </c>
      <c r="G32" s="78" t="n">
        <v/>
      </c>
      <c r="H32" s="79" t="n">
        <v/>
      </c>
      <c r="I32" s="78">
        <f>SUM(D32-C32, F32-E32, H32-G32)</f>
        <v/>
      </c>
      <c r="J32" s="80" t="inlineStr">
        <is>
          <t>OT # 175593. Zamora vía Zamora a Loja en el trayecto entrada a Zamora se realiza la poda de vegetación que se encontraba alrededor de cable pre ensamblado y con proyección a las luminarias led y ya L/M/M/T Del alumbrado público general, en los tramos entre las estructura. No. 217977, 217937, 217529, 217989, 218679, 218044, 218047, 218045, 218046, 21801, quedando pendiente de continuar con este trabajo. RECORRIDO, Atendido, luminaria Led de 150W, se cambia SPD, estructura 266465, Apagada, 27/04/2026/19:00. Zamora calle Héroes de Paquisha y Amazonas Pausa activa Ciclo vía desde el barrio Santa Elena hacia Timbara, vía Troncal Amazónica desde Zamora hacia Ya Sub Estación Cumbaratza Se hase recorrido nocturno, levantando información de las luminarias Led que se encuentran apagadas Nos trasladamos desde La Sub Estación Cumbaratza hacia Zamora</t>
        </is>
      </c>
      <c r="K32">
        <f>SUM((D32-C32)*0.25*24)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YAURE DIAZ RAMIRO GABRIEL</t>
        </is>
      </c>
      <c r="I2" s="53">
        <f>SUM(K6:K36)</f>
        <v/>
      </c>
      <c r="J2" s="54" t="inlineStr">
        <is>
          <t>TOTAL</t>
        </is>
      </c>
    </row>
    <row r="3" ht="18.75" customHeight="1" s="47">
      <c r="A3" s="55" t="inlineStr">
        <is>
          <t>Cuadrilla o Agencia:</t>
        </is>
      </c>
      <c r="B3" s="55" t="n"/>
      <c r="C3" s="55" t="n"/>
      <c r="D3" s="55" t="n"/>
      <c r="E3" s="56" t="n"/>
      <c r="F3" s="56" t="n"/>
      <c r="G3" s="56" t="n"/>
      <c r="H3" s="52" t="inlineStr">
        <is>
          <t>Alumbrado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0.7916666666666666</v>
      </c>
      <c r="D11" s="79" t="n">
        <v>0.9166666666666666</v>
      </c>
      <c r="E11" s="78" t="n">
        <v/>
      </c>
      <c r="F11" s="79" t="n">
        <v/>
      </c>
      <c r="G11" s="78" t="n">
        <v/>
      </c>
      <c r="H11" s="79" t="n">
        <v/>
      </c>
      <c r="I11" s="78">
        <f>SUM(D11-C11, F11-E11, H11-G11)</f>
        <v/>
      </c>
      <c r="J11" s="80" t="inlineStr">
        <is>
          <t>OT # 174010. Arreglo de luminarias en cambio de horario</t>
        </is>
      </c>
      <c r="K11">
        <f>SUM((D11-C11)*0.25*24)</f>
        <v/>
      </c>
    </row>
    <row r="12" ht="17.35" customHeight="1" s="47">
      <c r="A12" s="72">
        <f>IF(B12&gt;0,PROPER(TEXT(B12,"dddd")),"")</f>
        <v/>
      </c>
      <c r="B12" s="77" t="n">
        <v>46119</v>
      </c>
      <c r="C12" s="78" t="n">
        <v>0.7916666666666666</v>
      </c>
      <c r="D12" s="79" t="n">
        <v>0.9166666666666666</v>
      </c>
      <c r="E12" s="78" t="n">
        <v/>
      </c>
      <c r="F12" s="79" t="n">
        <v/>
      </c>
      <c r="G12" s="78" t="n">
        <v/>
      </c>
      <c r="H12" s="79" t="n">
        <v/>
      </c>
      <c r="I12" s="81">
        <f>SUM(D12-C12, F12-E12, H12-G12)</f>
        <v/>
      </c>
      <c r="J12" s="80" t="inlineStr">
        <is>
          <t>OT # 174101. Arreglo de luminarias en cambio de horario</t>
        </is>
      </c>
      <c r="K12">
        <f>SUM((D12-C12)*0.25*24)</f>
        <v/>
      </c>
    </row>
    <row r="13" ht="17.35" customHeight="1" s="47">
      <c r="A13" s="72">
        <f>IF(B13&gt;0,PROPER(TEXT(B13,"dddd")),"")</f>
        <v/>
      </c>
      <c r="B13" s="77" t="n">
        <v>46120</v>
      </c>
      <c r="C13" s="78" t="n">
        <v>0.7916666666666666</v>
      </c>
      <c r="D13" s="79" t="n">
        <v>0.9166666666666666</v>
      </c>
      <c r="E13" s="78" t="n">
        <v/>
      </c>
      <c r="F13" s="79" t="n">
        <v/>
      </c>
      <c r="G13" s="78" t="n">
        <v/>
      </c>
      <c r="H13" s="79" t="n">
        <v/>
      </c>
      <c r="I13" s="78">
        <f>SUM(D13-C13, F13-E13, H13-G13)</f>
        <v/>
      </c>
      <c r="J13" s="80" t="inlineStr">
        <is>
          <t>OT # 174367. Arreglo de luminarias en cambio de horario</t>
        </is>
      </c>
      <c r="K13">
        <f>SUM((D13-C13)*0.25*24)</f>
        <v/>
      </c>
    </row>
    <row r="14" ht="17.35" customHeight="1" s="47">
      <c r="A14" s="72">
        <f>IF(B14&gt;0,PROPER(TEXT(B14,"dddd")),"")</f>
        <v/>
      </c>
      <c r="B14" s="77" t="n">
        <v>46121</v>
      </c>
      <c r="C14" s="78" t="n">
        <v>0.7916666666666666</v>
      </c>
      <c r="D14" s="79" t="n">
        <v>0.9166666666666666</v>
      </c>
      <c r="E14" s="78" t="n">
        <v/>
      </c>
      <c r="F14" s="79" t="n">
        <v/>
      </c>
      <c r="G14" s="78" t="n">
        <v/>
      </c>
      <c r="H14" s="79" t="n">
        <v/>
      </c>
      <c r="I14" s="78">
        <f>SUM(D14-C14, F14-E14, H14-G14)</f>
        <v/>
      </c>
      <c r="J14" s="80" t="inlineStr">
        <is>
          <t>OT # 174436. Arreglo de luminarias en cambio de horario</t>
        </is>
      </c>
      <c r="K14">
        <f>SUM((D14-C14)*0.25*24)</f>
        <v/>
      </c>
    </row>
    <row r="15" ht="17.35" customHeight="1" s="47">
      <c r="A15" s="72">
        <f>IF(B15&gt;0,PROPER(TEXT(B15,"dddd")),"")</f>
        <v/>
      </c>
      <c r="B15" s="77" t="n">
        <v>46122</v>
      </c>
      <c r="C15" s="78" t="n">
        <v>0.7916666666666666</v>
      </c>
      <c r="D15" s="79" t="n">
        <v>0.9166666666666666</v>
      </c>
      <c r="E15" s="78" t="n">
        <v/>
      </c>
      <c r="F15" s="79" t="n">
        <v/>
      </c>
      <c r="G15" s="78" t="n">
        <v/>
      </c>
      <c r="H15" s="79" t="n">
        <v/>
      </c>
      <c r="I15" s="78">
        <f>SUM(D15-C15, F15-E15, H15-G15)</f>
        <v/>
      </c>
      <c r="J15" s="80" t="inlineStr">
        <is>
          <t>OT # 174518. Arreglo de luminarias en cambio de horario</t>
        </is>
      </c>
      <c r="K15">
        <f>SUM((D15-C15)*0.25*24)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0.7083333333333334</v>
      </c>
      <c r="D22" s="79" t="n">
        <v>0.7923611111111111</v>
      </c>
      <c r="E22" s="78" t="n">
        <v/>
      </c>
      <c r="F22" s="79" t="n">
        <v/>
      </c>
      <c r="G22" s="78" t="n">
        <v/>
      </c>
      <c r="H22" s="79" t="n">
        <v/>
      </c>
      <c r="I22" s="78">
        <f>SUM(D22-C22, F22-E22, H22-G22)</f>
        <v/>
      </c>
      <c r="J22" s="80" t="inlineStr">
        <is>
          <t>OT # 174937. Yantzaza – Chimbutza, aplome de Est 262666 y 262671 (AP Los Encuentros)</t>
        </is>
      </c>
      <c r="K22">
        <f>SUM((D22-C22)*1.5*24)</f>
        <v/>
      </c>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0.7916666666666666</v>
      </c>
      <c r="D32" s="79" t="n">
        <v>0.9166666666666666</v>
      </c>
      <c r="E32" s="78" t="n">
        <v/>
      </c>
      <c r="F32" s="79" t="n">
        <v/>
      </c>
      <c r="G32" s="78" t="n">
        <v/>
      </c>
      <c r="H32" s="79" t="n">
        <v/>
      </c>
      <c r="I32" s="78">
        <f>SUM(D32-C32, F32-E32, H32-G32)</f>
        <v/>
      </c>
      <c r="J32" s="80" t="inlineStr">
        <is>
          <t>OT # 175593. Zamora vía Zamora a Loja en el trayecto entrada a Zamora se realiza la poda de vegetación que se encontraba alrededor de cable pre ensamblado y con proyección a las luminarias led y ya L/M/M/T Del alumbrado público general, en los tramos entre las estructura. No. 217977, 217937, 217529, 217989, 218679, 218044, 218047, 218045, 218046, 21801, quedando pendiente de continuar con este trabajo. RECORRIDO, Atendido, luminaria Led de 150W, se cambia SPD, estructura 266465, Apagada, 27/04/2026/19:00. Zamora calle Héroes de Paquisha y Amazonas Pausa activa Ciclo vía desde el barrio Santa Elena hacia Timbara, vía Troncal Amazónica desde Zamora hacia Ya Sub Estación Cumbaratza Se hase recorrido nocturno, levantando información de las luminarias Led que se encuentran apagadas Nos trasladamos desde La Sub Estación Cumbaratza hacia Zamora</t>
        </is>
      </c>
      <c r="K32">
        <f>SUM((D32-C32)*0.25*24)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CHALCO JARAMILLO JOE DAVID</t>
        </is>
      </c>
      <c r="I2" s="53">
        <f>SUM(K6:K36)</f>
        <v/>
      </c>
      <c r="J2" s="54" t="inlineStr">
        <is>
          <t>TOTAL</t>
        </is>
      </c>
    </row>
    <row r="3" ht="18.75" customHeight="1" s="47">
      <c r="A3" s="55" t="inlineStr">
        <is>
          <t>Cuadrilla o Agencia:</t>
        </is>
      </c>
      <c r="B3" s="55" t="n"/>
      <c r="C3" s="55" t="n"/>
      <c r="D3" s="55" t="n"/>
      <c r="E3" s="56" t="n"/>
      <c r="F3" s="56" t="n"/>
      <c r="G3" s="56" t="n"/>
      <c r="H3" s="52" t="inlineStr">
        <is>
          <t>Alumbrado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0.7916666666666666</v>
      </c>
      <c r="D11" s="79" t="n">
        <v>0.9166666666666666</v>
      </c>
      <c r="E11" s="78" t="n">
        <v/>
      </c>
      <c r="F11" s="79" t="n">
        <v/>
      </c>
      <c r="G11" s="78" t="n">
        <v/>
      </c>
      <c r="H11" s="79" t="n">
        <v/>
      </c>
      <c r="I11" s="78">
        <f>SUM(D11-C11, F11-E11, H11-G11)</f>
        <v/>
      </c>
      <c r="J11" s="80" t="inlineStr">
        <is>
          <t>OT # 174010. Arreglo de luminarias en cambio de horario</t>
        </is>
      </c>
      <c r="K11">
        <f>SUM((D11-C11)*0.25*24)</f>
        <v/>
      </c>
    </row>
    <row r="12" ht="17.35" customHeight="1" s="47">
      <c r="A12" s="72">
        <f>IF(B12&gt;0,PROPER(TEXT(B12,"dddd")),"")</f>
        <v/>
      </c>
      <c r="B12" s="77" t="n">
        <v>46119</v>
      </c>
      <c r="C12" s="78" t="n">
        <v>0.7916666666666666</v>
      </c>
      <c r="D12" s="79" t="n">
        <v>0.9166666666666666</v>
      </c>
      <c r="E12" s="78" t="n">
        <v/>
      </c>
      <c r="F12" s="79" t="n">
        <v/>
      </c>
      <c r="G12" s="78" t="n">
        <v/>
      </c>
      <c r="H12" s="79" t="n">
        <v/>
      </c>
      <c r="I12" s="81">
        <f>SUM(D12-C12, F12-E12, H12-G12)</f>
        <v/>
      </c>
      <c r="J12" s="80" t="inlineStr">
        <is>
          <t>OT # 174101. Arreglo de luminarias en cambio de horario</t>
        </is>
      </c>
      <c r="K12">
        <f>SUM((D12-C12)*0.25*24)</f>
        <v/>
      </c>
    </row>
    <row r="13" ht="17.35" customHeight="1" s="47">
      <c r="A13" s="72">
        <f>IF(B13&gt;0,PROPER(TEXT(B13,"dddd")),"")</f>
        <v/>
      </c>
      <c r="B13" s="77" t="n">
        <v>46120</v>
      </c>
      <c r="C13" s="78" t="n">
        <v>0.7916666666666666</v>
      </c>
      <c r="D13" s="79" t="n">
        <v>0.9166666666666666</v>
      </c>
      <c r="E13" s="78" t="n">
        <v/>
      </c>
      <c r="F13" s="79" t="n">
        <v/>
      </c>
      <c r="G13" s="78" t="n">
        <v/>
      </c>
      <c r="H13" s="79" t="n">
        <v/>
      </c>
      <c r="I13" s="78">
        <f>SUM(D13-C13, F13-E13, H13-G13)</f>
        <v/>
      </c>
      <c r="J13" s="80" t="inlineStr">
        <is>
          <t>OT # 174367. Arreglo de luminarias en cambio de horario</t>
        </is>
      </c>
      <c r="K13">
        <f>SUM((D13-C13)*0.25*24)</f>
        <v/>
      </c>
    </row>
    <row r="14" ht="17.35" customHeight="1" s="47">
      <c r="A14" s="72">
        <f>IF(B14&gt;0,PROPER(TEXT(B14,"dddd")),"")</f>
        <v/>
      </c>
      <c r="B14" s="77" t="n">
        <v>46121</v>
      </c>
      <c r="C14" s="78" t="n">
        <v>0.7916666666666666</v>
      </c>
      <c r="D14" s="79" t="n">
        <v>0.9166666666666666</v>
      </c>
      <c r="E14" s="78" t="n">
        <v/>
      </c>
      <c r="F14" s="79" t="n">
        <v/>
      </c>
      <c r="G14" s="78" t="n">
        <v/>
      </c>
      <c r="H14" s="79" t="n">
        <v/>
      </c>
      <c r="I14" s="78">
        <f>SUM(D14-C14, F14-E14, H14-G14)</f>
        <v/>
      </c>
      <c r="J14" s="80" t="inlineStr">
        <is>
          <t>OT # 174436. Arreglo de luminarias en cambio de horario</t>
        </is>
      </c>
      <c r="K14">
        <f>SUM((D14-C14)*0.25*24)</f>
        <v/>
      </c>
    </row>
    <row r="15" ht="17.35" customHeight="1" s="47">
      <c r="A15" s="72">
        <f>IF(B15&gt;0,PROPER(TEXT(B15,"dddd")),"")</f>
        <v/>
      </c>
      <c r="B15" s="77" t="n">
        <v>46122</v>
      </c>
      <c r="C15" s="78" t="n">
        <v>0.7916666666666666</v>
      </c>
      <c r="D15" s="79" t="n">
        <v>0.9166666666666666</v>
      </c>
      <c r="E15" s="78" t="n">
        <v/>
      </c>
      <c r="F15" s="79" t="n">
        <v/>
      </c>
      <c r="G15" s="78" t="n">
        <v/>
      </c>
      <c r="H15" s="79" t="n">
        <v/>
      </c>
      <c r="I15" s="78">
        <f>SUM(D15-C15, F15-E15, H15-G15)</f>
        <v/>
      </c>
      <c r="J15" s="80" t="inlineStr">
        <is>
          <t>OT # 174518. Arreglo de luminarias en cambio de horario</t>
        </is>
      </c>
      <c r="K15">
        <f>SUM((D15-C15)*0.25*24)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0.7083333333333334</v>
      </c>
      <c r="D22" s="79" t="n">
        <v>0.7923611111111111</v>
      </c>
      <c r="E22" s="78" t="n">
        <v/>
      </c>
      <c r="F22" s="79" t="n">
        <v/>
      </c>
      <c r="G22" s="78" t="n">
        <v/>
      </c>
      <c r="H22" s="79" t="n">
        <v/>
      </c>
      <c r="I22" s="78">
        <f>SUM(D22-C22, F22-E22, H22-G22)</f>
        <v/>
      </c>
      <c r="J22" s="80" t="inlineStr">
        <is>
          <t>OT # 174937. Yantzaza – Chimbutza, aplome de Est 262666 y 262671 (AP Los Encuentros)</t>
        </is>
      </c>
      <c r="K22">
        <f>SUM((D22-C22)*1.5*24)</f>
        <v/>
      </c>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0.7916666666666666</v>
      </c>
      <c r="D32" s="79" t="n">
        <v>0.9166666666666666</v>
      </c>
      <c r="E32" s="78" t="n">
        <v/>
      </c>
      <c r="F32" s="79" t="n">
        <v/>
      </c>
      <c r="G32" s="78" t="n">
        <v/>
      </c>
      <c r="H32" s="79" t="n">
        <v/>
      </c>
      <c r="I32" s="78">
        <f>SUM(D32-C32, F32-E32, H32-G32)</f>
        <v/>
      </c>
      <c r="J32" s="80" t="inlineStr">
        <is>
          <t>OT # 175593. Zamora vía Zamora a Loja en el trayecto entrada a Zamora se realiza la poda de vegetación que se encontraba alrededor de cable pre ensamblado y con proyección a las luminarias led y ya L/M/M/T Del alumbrado público general, en los tramos entre las estructura. No. 217977, 217937, 217529, 217989, 218679, 218044, 218047, 218045, 218046, 21801, quedando pendiente de continuar con este trabajo. RECORRIDO, Atendido, luminaria Led de 150W, se cambia SPD, estructura 266465, Apagada, 27/04/2026/19:00. Zamora calle Héroes de Paquisha y Amazonas Pausa activa Ciclo vía desde el barrio Santa Elena hacia Timbara, vía Troncal Amazónica desde Zamora hacia Ya Sub Estación Cumbaratza Se hase recorrido nocturno, levantando información de las luminarias Led que se encuentran apagadas Nos trasladamos desde La Sub Estación Cumbaratza hacia Zamora</t>
        </is>
      </c>
      <c r="K32">
        <f>SUM((D32-C32)*0.25*24)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CABRERA CABRERA MIGUEL ISAURO</t>
        </is>
      </c>
      <c r="I2" s="53">
        <f>SUM(K6:K36)</f>
        <v/>
      </c>
      <c r="J2" s="54" t="inlineStr">
        <is>
          <t>TOTAL</t>
        </is>
      </c>
    </row>
    <row r="3" ht="18.75" customHeight="1" s="47">
      <c r="A3" s="55" t="inlineStr">
        <is>
          <t>Cuadrilla o Agencia:</t>
        </is>
      </c>
      <c r="B3" s="55" t="n"/>
      <c r="C3" s="55" t="n"/>
      <c r="D3" s="55" t="n"/>
      <c r="E3" s="56" t="n"/>
      <c r="F3" s="56" t="n"/>
      <c r="G3" s="56" t="n"/>
      <c r="H3" s="52" t="inlineStr">
        <is>
          <t>Alumbrado Zamora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0.7916666666666666</v>
      </c>
      <c r="D11" s="79" t="n">
        <v>0.9166666666666666</v>
      </c>
      <c r="E11" s="78" t="n">
        <v/>
      </c>
      <c r="F11" s="79" t="n">
        <v/>
      </c>
      <c r="G11" s="78" t="n">
        <v/>
      </c>
      <c r="H11" s="79" t="n">
        <v/>
      </c>
      <c r="I11" s="78">
        <f>SUM(D11-C11, F11-E11, H11-G11)</f>
        <v/>
      </c>
      <c r="J11" s="80" t="inlineStr">
        <is>
          <t>OT # 174010. Arreglo de luminarias en cambio de horario</t>
        </is>
      </c>
      <c r="K11">
        <f>SUM((D11-C11)*0.25*24)</f>
        <v/>
      </c>
    </row>
    <row r="12" ht="17.35" customHeight="1" s="47">
      <c r="A12" s="72">
        <f>IF(B12&gt;0,PROPER(TEXT(B12,"dddd")),"")</f>
        <v/>
      </c>
      <c r="B12" s="77" t="n">
        <v>46119</v>
      </c>
      <c r="C12" s="78" t="n">
        <v>0.7916666666666666</v>
      </c>
      <c r="D12" s="79" t="n">
        <v>0.9166666666666666</v>
      </c>
      <c r="E12" s="78" t="n">
        <v/>
      </c>
      <c r="F12" s="79" t="n">
        <v/>
      </c>
      <c r="G12" s="78" t="n">
        <v/>
      </c>
      <c r="H12" s="79" t="n">
        <v/>
      </c>
      <c r="I12" s="81">
        <f>SUM(D12-C12, F12-E12, H12-G12)</f>
        <v/>
      </c>
      <c r="J12" s="80" t="inlineStr">
        <is>
          <t>OT # 174101. Arreglo de luminarias en cambio de horario</t>
        </is>
      </c>
      <c r="K12">
        <f>SUM((D12-C12)*0.25*24)</f>
        <v/>
      </c>
    </row>
    <row r="13" ht="17.35" customHeight="1" s="47">
      <c r="A13" s="72">
        <f>IF(B13&gt;0,PROPER(TEXT(B13,"dddd")),"")</f>
        <v/>
      </c>
      <c r="B13" s="77" t="n">
        <v>46120</v>
      </c>
      <c r="C13" s="78" t="n">
        <v>0.7916666666666666</v>
      </c>
      <c r="D13" s="79" t="n">
        <v>0.9166666666666666</v>
      </c>
      <c r="E13" s="78" t="n">
        <v/>
      </c>
      <c r="F13" s="79" t="n">
        <v/>
      </c>
      <c r="G13" s="78" t="n">
        <v/>
      </c>
      <c r="H13" s="79" t="n">
        <v/>
      </c>
      <c r="I13" s="78">
        <f>SUM(D13-C13, F13-E13, H13-G13)</f>
        <v/>
      </c>
      <c r="J13" s="80" t="inlineStr">
        <is>
          <t>OT # 174367. Arreglo de luminarias en cambio de horario</t>
        </is>
      </c>
      <c r="K13">
        <f>SUM((D13-C13)*0.25*24)</f>
        <v/>
      </c>
    </row>
    <row r="14" ht="17.35" customHeight="1" s="47">
      <c r="A14" s="72">
        <f>IF(B14&gt;0,PROPER(TEXT(B14,"dddd")),"")</f>
        <v/>
      </c>
      <c r="B14" s="77" t="n">
        <v>46121</v>
      </c>
      <c r="C14" s="78" t="n">
        <v>0.7916666666666666</v>
      </c>
      <c r="D14" s="79" t="n">
        <v>0.9166666666666666</v>
      </c>
      <c r="E14" s="78" t="n">
        <v/>
      </c>
      <c r="F14" s="79" t="n">
        <v/>
      </c>
      <c r="G14" s="78" t="n">
        <v/>
      </c>
      <c r="H14" s="79" t="n">
        <v/>
      </c>
      <c r="I14" s="78">
        <f>SUM(D14-C14, F14-E14, H14-G14)</f>
        <v/>
      </c>
      <c r="J14" s="80" t="inlineStr">
        <is>
          <t>OT # 174436. Arreglo de luminarias en cambio de horario</t>
        </is>
      </c>
      <c r="K14">
        <f>SUM((D14-C14)*0.25*24)</f>
        <v/>
      </c>
    </row>
    <row r="15" ht="17.35" customHeight="1" s="47">
      <c r="A15" s="72">
        <f>IF(B15&gt;0,PROPER(TEXT(B15,"dddd")),"")</f>
        <v/>
      </c>
      <c r="B15" s="77" t="n">
        <v>46122</v>
      </c>
      <c r="C15" s="78" t="n">
        <v>0.7916666666666666</v>
      </c>
      <c r="D15" s="79" t="n">
        <v>0.9166666666666666</v>
      </c>
      <c r="E15" s="78" t="n">
        <v/>
      </c>
      <c r="F15" s="79" t="n">
        <v/>
      </c>
      <c r="G15" s="78" t="n">
        <v/>
      </c>
      <c r="H15" s="79" t="n">
        <v/>
      </c>
      <c r="I15" s="78">
        <f>SUM(D15-C15, F15-E15, H15-G15)</f>
        <v/>
      </c>
      <c r="J15" s="80" t="inlineStr">
        <is>
          <t>OT # 174518. Arreglo de luminarias en cambio de horario</t>
        </is>
      </c>
      <c r="K15">
        <f>SUM((D15-C15)*0.25*24)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0.7083333333333334</v>
      </c>
      <c r="D22" s="79" t="n">
        <v>0.7923611111111111</v>
      </c>
      <c r="E22" s="78" t="n">
        <v/>
      </c>
      <c r="F22" s="79" t="n">
        <v/>
      </c>
      <c r="G22" s="78" t="n">
        <v/>
      </c>
      <c r="H22" s="79" t="n">
        <v/>
      </c>
      <c r="I22" s="78">
        <f>SUM(D22-C22, F22-E22, H22-G22)</f>
        <v/>
      </c>
      <c r="J22" s="80" t="inlineStr">
        <is>
          <t>OT # 174937. Yantzaza – Chimbutza, aplome de Est 262666 y 262671 (AP Los Encuentros)</t>
        </is>
      </c>
      <c r="K22">
        <f>SUM((D22-C22)*1.5*24)</f>
        <v/>
      </c>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0.7916666666666666</v>
      </c>
      <c r="D32" s="79" t="n">
        <v>0.9166666666666666</v>
      </c>
      <c r="E32" s="78" t="n">
        <v/>
      </c>
      <c r="F32" s="79" t="n">
        <v/>
      </c>
      <c r="G32" s="78" t="n">
        <v/>
      </c>
      <c r="H32" s="79" t="n">
        <v/>
      </c>
      <c r="I32" s="78">
        <f>SUM(D32-C32, F32-E32, H32-G32)</f>
        <v/>
      </c>
      <c r="J32" s="80" t="inlineStr">
        <is>
          <t>OT # 175593. Zamora vía Zamora a Loja en el trayecto entrada a Zamora se realiza la poda de vegetación que se encontraba alrededor de cable pre ensamblado y con proyección a las luminarias led y ya L/M/M/T Del alumbrado público general, en los tramos entre las estructura. No. 217977, 217937, 217529, 217989, 218679, 218044, 218047, 218045, 218046, 21801, quedando pendiente de continuar con este trabajo. RECORRIDO, Atendido, luminaria Led de 150W, se cambia SPD, estructura 266465, Apagada, 27/04/2026/19:00. Zamora calle Héroes de Paquisha y Amazonas Pausa activa Ciclo vía desde el barrio Santa Elena hacia Timbara, vía Troncal Amazónica desde Zamora hacia Ya Sub Estación Cumbaratza Se hase recorrido nocturno, levantando información de las luminarias Led que se encuentran apagadas Nos trasladamos desde La Sub Estación Cumbaratza hacia Zamora</t>
        </is>
      </c>
      <c r="K32">
        <f>SUM((D32-C32)*0.25*24)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LOZANO SIGCHO NAUN ENRIQUE</t>
        </is>
      </c>
      <c r="I2" s="53">
        <f>SUM(K6:K36)</f>
        <v/>
      </c>
      <c r="J2" s="54" t="inlineStr">
        <is>
          <t>TOTAL</t>
        </is>
      </c>
    </row>
    <row r="3" ht="18.75" customHeight="1" s="47">
      <c r="A3" s="55" t="inlineStr">
        <is>
          <t>Cuadrilla o Agencia:</t>
        </is>
      </c>
      <c r="B3" s="55" t="n"/>
      <c r="C3" s="55" t="n"/>
      <c r="D3" s="55" t="n"/>
      <c r="E3" s="56" t="n"/>
      <c r="F3" s="56" t="n"/>
      <c r="G3" s="56" t="n"/>
      <c r="H3" s="52" t="inlineStr">
        <is>
          <t>Cuadrilla Yacuambi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0.7083333333333334</v>
      </c>
      <c r="D6" s="75" t="n">
        <v>0.90625</v>
      </c>
      <c r="E6" s="74" t="n">
        <v/>
      </c>
      <c r="F6" s="75" t="n">
        <v/>
      </c>
      <c r="G6" s="74" t="n">
        <v/>
      </c>
      <c r="H6" s="75" t="n">
        <v/>
      </c>
      <c r="I6" s="74">
        <f>SUM(D6-C6, F6-E6, H6-G6)</f>
        <v/>
      </c>
      <c r="J6" s="76" t="inlineStr">
        <is>
          <t>OT # 173911. Chapintza Bajo, se remolca el vehiculo 4-52 en mal estado hasta la agencia Zamora, se equipa al vehículo 4-36. Traslado desde Zamora hasta Chapintza Bajo, Est 38958 se repone tirafusible de 25A-T se reestablece el servicio</t>
        </is>
      </c>
      <c r="K6">
        <f>SUM((D6-C6)*1.5*24)</f>
        <v/>
      </c>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0.8263888888888888</v>
      </c>
      <c r="D9" s="79" t="n">
        <v>0.9583333333333334</v>
      </c>
      <c r="E9" s="78" t="n">
        <v/>
      </c>
      <c r="F9" s="79" t="n">
        <v/>
      </c>
      <c r="G9" s="78" t="n">
        <v/>
      </c>
      <c r="H9" s="79" t="n">
        <v/>
      </c>
      <c r="I9" s="78">
        <f>SUM(D9-C9, F9-E9, H9-G9)</f>
        <v/>
      </c>
      <c r="J9" s="80" t="inlineStr">
        <is>
          <t>OT # 174123. Guadalupe, Est 179563 se rehabilita transformador 9859; Causa: vegetación, tala de arboles</t>
        </is>
      </c>
      <c r="K9">
        <f>SUM((D9-C9)*2.0*24)</f>
        <v/>
      </c>
    </row>
    <row r="10" ht="17.35" customHeight="1" s="47">
      <c r="A10" s="72">
        <f>IF(B10&gt;0,PROPER(TEXT(B10,"dddd")),"")</f>
        <v/>
      </c>
      <c r="B10" s="77" t="n">
        <v>46117</v>
      </c>
      <c r="C10" s="78" t="n">
        <v>0.375</v>
      </c>
      <c r="D10" s="79" t="n">
        <v>0.5694444444444444</v>
      </c>
      <c r="E10" s="78" t="n">
        <v/>
      </c>
      <c r="F10" s="79" t="n">
        <v/>
      </c>
      <c r="G10" s="78" t="n">
        <v/>
      </c>
      <c r="H10" s="79" t="n">
        <v/>
      </c>
      <c r="I10" s="78">
        <f>SUM(D10-C10, F10-E10, H10-G10)</f>
        <v/>
      </c>
      <c r="J10" s="80" t="inlineStr">
        <is>
          <t>OT # 174157. San Ramón, acometida arrancada del Med 258811; Causa: vegetación, tala de arboles, se empalma 10m y se restablece el servicio</t>
        </is>
      </c>
      <c r="K10">
        <f>SUM((D10-C10)*2.0*24)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0.2569444444444444</v>
      </c>
      <c r="D13" s="79" t="n">
        <v>0.3333333333333333</v>
      </c>
      <c r="E13" s="78" t="n">
        <v/>
      </c>
      <c r="F13" s="79" t="n">
        <v/>
      </c>
      <c r="G13" s="78" t="n">
        <v/>
      </c>
      <c r="H13" s="79" t="n">
        <v/>
      </c>
      <c r="I13" s="78">
        <f>SUM(D13-C13, F13-E13, H13-G13)</f>
        <v/>
      </c>
      <c r="J13" s="80" t="inlineStr">
        <is>
          <t>OT # 174319. La Unión, se colabora en corte de arbol con tirfor y motosierra</t>
        </is>
      </c>
      <c r="K13">
        <f>SUM((D13-C13)*1.5*24)</f>
        <v/>
      </c>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0.7083333333333334</v>
      </c>
      <c r="D18" s="79" t="n">
        <v>0.875</v>
      </c>
      <c r="E18" s="78" t="n">
        <v/>
      </c>
      <c r="F18" s="79" t="n">
        <v/>
      </c>
      <c r="G18" s="78" t="n">
        <v/>
      </c>
      <c r="H18" s="79" t="n">
        <v/>
      </c>
      <c r="I18" s="78">
        <f>SUM(D18-C18, F18-E18, H18-G18)</f>
        <v/>
      </c>
      <c r="J18" s="80" t="inlineStr">
        <is>
          <t>OT # 174650. Chivatos, Est 160448 se asegura con cuerdas y tala árboles, epalma y monta lineas, se rehabilita Trafo 17150</t>
        </is>
      </c>
      <c r="K18">
        <f>SUM((D18-C18)*1.5*24)</f>
        <v/>
      </c>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0.7083333333333334</v>
      </c>
      <c r="D20" s="79" t="n">
        <v>0.8409722222222222</v>
      </c>
      <c r="E20" s="78" t="n">
        <v/>
      </c>
      <c r="F20" s="79" t="n">
        <v/>
      </c>
      <c r="G20" s="78" t="n">
        <v/>
      </c>
      <c r="H20" s="79" t="n">
        <v/>
      </c>
      <c r="I20" s="78">
        <f>SUM(D20-C20, F20-E20, H20-G20)</f>
        <v/>
      </c>
      <c r="J20" s="80" t="inlineStr">
        <is>
          <t>OT # 174851. Ortega Alto, Est 176047 desbroce de vegetación, se libera, empalma y monta RBV rehbilitación Trafo 10563</t>
        </is>
      </c>
      <c r="K20">
        <f>SUM((D20-C20)*1.5*24)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0.4513888888888889</v>
      </c>
      <c r="D24" s="79" t="n">
        <v>0.5881944444444445</v>
      </c>
      <c r="E24" s="78" t="n">
        <v/>
      </c>
      <c r="F24" s="79" t="n">
        <v/>
      </c>
      <c r="G24" s="78" t="n">
        <v/>
      </c>
      <c r="H24" s="79" t="n">
        <v/>
      </c>
      <c r="I24" s="78">
        <f>SUM(D24-C24, F24-E24, H24-G24)</f>
        <v/>
      </c>
      <c r="J24" s="80" t="inlineStr">
        <is>
          <t>OT # 175069. Tamboloma, Est 218243 se cambia conectores pernoendidos recalentados del Trafo # 23401 se restablece el servicio.</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0.7083333333333334</v>
      </c>
      <c r="D28" s="79" t="n">
        <v>0.8006944444444445</v>
      </c>
      <c r="E28" s="78" t="n">
        <v>0.8284722222222223</v>
      </c>
      <c r="F28" s="79" t="n">
        <v>0.9993055555555556</v>
      </c>
      <c r="G28" s="78" t="n">
        <v/>
      </c>
      <c r="H28" s="79" t="n">
        <v/>
      </c>
      <c r="I28" s="78">
        <f>SUM(D28-C28, F28-E28, H28-G28)</f>
        <v/>
      </c>
      <c r="J28" s="80" t="inlineStr">
        <is>
          <t>OT # 175403. Conchay, Med # 197261 acometida arrancada por maquinaria, se empalma; Retorno a Yacuambi.</t>
        </is>
      </c>
      <c r="K28">
        <f>SUM((D28-C28)*1.5*24,(F28-E28)*1.5*24)</f>
        <v/>
      </c>
    </row>
    <row r="29" ht="17.35" customHeight="1" s="47">
      <c r="A29" s="72">
        <f>IF(B29&gt;0,PROPER(TEXT(B29,"dddd")),"")</f>
        <v/>
      </c>
      <c r="B29" s="77" t="n">
        <v>46136</v>
      </c>
      <c r="C29" s="78" t="n">
        <v>0.7083333333333334</v>
      </c>
      <c r="D29" s="79" t="n">
        <v>0.8333333333333334</v>
      </c>
      <c r="E29" s="78" t="n">
        <v/>
      </c>
      <c r="F29" s="79" t="n">
        <v/>
      </c>
      <c r="G29" s="78" t="n">
        <v/>
      </c>
      <c r="H29" s="79" t="n">
        <v/>
      </c>
      <c r="I29" s="78">
        <f>SUM(D29-C29, F29-E29, H29-G29)</f>
        <v/>
      </c>
      <c r="J29" s="80" t="inlineStr">
        <is>
          <t>OT # 175436. Desde Namakuntza Alto a Piuntza de La Paz, Med # 245925 acometida antihuro arrancada por maquinaria, se empalma 10 metros.</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CABRERA GONZALEZ WILMER DAVID</t>
        </is>
      </c>
      <c r="I2" s="53">
        <f>SUM(K6:K36)</f>
        <v/>
      </c>
      <c r="J2" s="54" t="inlineStr">
        <is>
          <t>TOTAL</t>
        </is>
      </c>
    </row>
    <row r="3" ht="18.75" customHeight="1" s="47">
      <c r="A3" s="55" t="inlineStr">
        <is>
          <t>Cuadrilla o Agencia:</t>
        </is>
      </c>
      <c r="B3" s="55" t="n"/>
      <c r="C3" s="55" t="n"/>
      <c r="D3" s="55" t="n"/>
      <c r="E3" s="56" t="n"/>
      <c r="F3" s="56" t="n"/>
      <c r="G3" s="56" t="n"/>
      <c r="H3" s="52" t="inlineStr">
        <is>
          <t>Cuadrilla Yacuambi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0.7083333333333334</v>
      </c>
      <c r="D6" s="75" t="n">
        <v>0.90625</v>
      </c>
      <c r="E6" s="74" t="n">
        <v/>
      </c>
      <c r="F6" s="75" t="n">
        <v/>
      </c>
      <c r="G6" s="74" t="n">
        <v/>
      </c>
      <c r="H6" s="75" t="n">
        <v/>
      </c>
      <c r="I6" s="74">
        <f>SUM(D6-C6, F6-E6, H6-G6)</f>
        <v/>
      </c>
      <c r="J6" s="76" t="inlineStr">
        <is>
          <t>OT # 173911. Chapintza Bajo, se remolca el vehiculo 4-52 en mal estado hasta la agencia Zamora, se equipa al vehículo 4-36. Traslado desde Zamora hasta Chapintza Bajo, Est 38958 se repone tirafusible de 25A-T se reestablece el servicio</t>
        </is>
      </c>
      <c r="K6">
        <f>SUM((D6-C6)*1.5*24)</f>
        <v/>
      </c>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0.8263888888888888</v>
      </c>
      <c r="D9" s="79" t="n">
        <v>0.9583333333333334</v>
      </c>
      <c r="E9" s="78" t="n">
        <v/>
      </c>
      <c r="F9" s="79" t="n">
        <v/>
      </c>
      <c r="G9" s="78" t="n">
        <v/>
      </c>
      <c r="H9" s="79" t="n">
        <v/>
      </c>
      <c r="I9" s="78">
        <f>SUM(D9-C9, F9-E9, H9-G9)</f>
        <v/>
      </c>
      <c r="J9" s="80" t="inlineStr">
        <is>
          <t>OT # 174123. Guadalupe, Est 179563 se rehabilita transformador 9859; Causa: vegetación, tala de arboles</t>
        </is>
      </c>
      <c r="K9">
        <f>SUM((D9-C9)*2.0*24)</f>
        <v/>
      </c>
    </row>
    <row r="10" ht="17.35" customHeight="1" s="47">
      <c r="A10" s="72">
        <f>IF(B10&gt;0,PROPER(TEXT(B10,"dddd")),"")</f>
        <v/>
      </c>
      <c r="B10" s="77" t="n">
        <v>46117</v>
      </c>
      <c r="C10" s="78" t="n">
        <v>0.375</v>
      </c>
      <c r="D10" s="79" t="n">
        <v>0.5694444444444444</v>
      </c>
      <c r="E10" s="78" t="n">
        <v/>
      </c>
      <c r="F10" s="79" t="n">
        <v/>
      </c>
      <c r="G10" s="78" t="n">
        <v/>
      </c>
      <c r="H10" s="79" t="n">
        <v/>
      </c>
      <c r="I10" s="78">
        <f>SUM(D10-C10, F10-E10, H10-G10)</f>
        <v/>
      </c>
      <c r="J10" s="80" t="inlineStr">
        <is>
          <t>OT # 174157. San Ramón, acometida arrancada del Med 258811; Causa: vegetación, tala de arboles, se empalma 10m y se restablece el servicio</t>
        </is>
      </c>
      <c r="K10">
        <f>SUM((D10-C10)*2.0*24)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0.2569444444444444</v>
      </c>
      <c r="D13" s="79" t="n">
        <v>0.3333333333333333</v>
      </c>
      <c r="E13" s="78" t="n">
        <v/>
      </c>
      <c r="F13" s="79" t="n">
        <v/>
      </c>
      <c r="G13" s="78" t="n">
        <v/>
      </c>
      <c r="H13" s="79" t="n">
        <v/>
      </c>
      <c r="I13" s="78">
        <f>SUM(D13-C13, F13-E13, H13-G13)</f>
        <v/>
      </c>
      <c r="J13" s="80" t="inlineStr">
        <is>
          <t>OT # 174319. La Unión, se colabora en corte de arbol con tirfor y motosierra</t>
        </is>
      </c>
      <c r="K13">
        <f>SUM((D13-C13)*1.5*24)</f>
        <v/>
      </c>
    </row>
    <row r="14" ht="17.35" customHeight="1" s="47">
      <c r="A14" s="72">
        <f>IF(B14&gt;0,PROPER(TEXT(B14,"dddd")),"")</f>
        <v/>
      </c>
      <c r="B14" s="77" t="n">
        <v>46121</v>
      </c>
      <c r="C14" s="78" t="n">
        <v>0.8333333333333334</v>
      </c>
      <c r="D14" s="79" t="n">
        <v>0.9340277777777778</v>
      </c>
      <c r="E14" s="78" t="n">
        <v/>
      </c>
      <c r="F14" s="79" t="n">
        <v/>
      </c>
      <c r="G14" s="78" t="n">
        <v/>
      </c>
      <c r="H14" s="79" t="n">
        <v/>
      </c>
      <c r="I14" s="78">
        <f>SUM(D14-C14, F14-E14, H14-G14)</f>
        <v/>
      </c>
      <c r="J14" s="80" t="inlineStr">
        <is>
          <t>OT # 174528. Jembuentza, acometida del Med 1241739 arrancada por deslizamiento de tierra, se desmonta y repone 20mts, se normaliza el servicio</t>
        </is>
      </c>
      <c r="K14">
        <f>SUM((D14-C14)*1.5*24)</f>
        <v/>
      </c>
    </row>
    <row r="15" ht="17.35" customHeight="1" s="47">
      <c r="A15" s="72">
        <f>IF(B15&gt;0,PROPER(TEXT(B15,"dddd")),"")</f>
        <v/>
      </c>
      <c r="B15" s="77" t="n">
        <v>46122</v>
      </c>
      <c r="C15" s="78" t="n">
        <v>0.8020833333333334</v>
      </c>
      <c r="D15" s="79" t="n">
        <v>0.8993055555555556</v>
      </c>
      <c r="E15" s="78" t="n">
        <v/>
      </c>
      <c r="F15" s="79" t="n">
        <v/>
      </c>
      <c r="G15" s="78" t="n">
        <v/>
      </c>
      <c r="H15" s="79" t="n">
        <v/>
      </c>
      <c r="I15" s="78">
        <f>SUM(D15-C15, F15-E15, H15-G15)</f>
        <v/>
      </c>
      <c r="J15" s="80" t="inlineStr">
        <is>
          <t xml:space="preserve">OT # 174530. Cantón Yacuambi, recorrido y levantemiento de información de luminarias en mal estado. </t>
        </is>
      </c>
      <c r="K15">
        <f>SUM((D15-C15)*1.5*24)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0.7083333333333334</v>
      </c>
      <c r="D18" s="79" t="n">
        <v>0.875</v>
      </c>
      <c r="E18" s="78" t="n">
        <v/>
      </c>
      <c r="F18" s="79" t="n">
        <v/>
      </c>
      <c r="G18" s="78" t="n">
        <v/>
      </c>
      <c r="H18" s="79" t="n">
        <v/>
      </c>
      <c r="I18" s="78">
        <f>SUM(D18-C18, F18-E18, H18-G18)</f>
        <v/>
      </c>
      <c r="J18" s="80" t="inlineStr">
        <is>
          <t>OT # 174650. Chivatos, Est 160448 se asegura con cuerdas y tala árboles, epalma y monta lineas, se rehabilita Trafo 17150</t>
        </is>
      </c>
      <c r="K18">
        <f>SUM((D18-C18)*1.5*24)</f>
        <v/>
      </c>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0.7083333333333334</v>
      </c>
      <c r="D20" s="79" t="n">
        <v>0.8409722222222222</v>
      </c>
      <c r="E20" s="78" t="n">
        <v/>
      </c>
      <c r="F20" s="79" t="n">
        <v/>
      </c>
      <c r="G20" s="78" t="n">
        <v/>
      </c>
      <c r="H20" s="79" t="n">
        <v/>
      </c>
      <c r="I20" s="78">
        <f>SUM(D20-C20, F20-E20, H20-G20)</f>
        <v/>
      </c>
      <c r="J20" s="80" t="inlineStr">
        <is>
          <t>OT # 174851. Ortega Alto, Est 176047 desbroce de vegetación, se libera, empalma y monta RBV rehbilitación Trafo 10563</t>
        </is>
      </c>
      <c r="K20">
        <f>SUM((D20-C20)*1.5*24)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0.4513888888888889</v>
      </c>
      <c r="D24" s="79" t="n">
        <v>0.5881944444444445</v>
      </c>
      <c r="E24" s="78" t="n">
        <v/>
      </c>
      <c r="F24" s="79" t="n">
        <v/>
      </c>
      <c r="G24" s="78" t="n">
        <v/>
      </c>
      <c r="H24" s="79" t="n">
        <v/>
      </c>
      <c r="I24" s="78">
        <f>SUM(D24-C24, F24-E24, H24-G24)</f>
        <v/>
      </c>
      <c r="J24" s="80" t="inlineStr">
        <is>
          <t>OT # 175069. Tamboloma, Est 218243 se cambia conectores pernoendidos recalentados del Trafo # 23401 se restablece el servicio.</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0.7083333333333334</v>
      </c>
      <c r="D28" s="79" t="n">
        <v>0.8006944444444445</v>
      </c>
      <c r="E28" s="78" t="n">
        <v/>
      </c>
      <c r="F28" s="79" t="n">
        <v/>
      </c>
      <c r="G28" s="78" t="n">
        <v/>
      </c>
      <c r="H28" s="79" t="n">
        <v/>
      </c>
      <c r="I28" s="78">
        <f>SUM(D28-C28, F28-E28, H28-G28)</f>
        <v/>
      </c>
      <c r="J28" s="80" t="inlineStr">
        <is>
          <t>OT # 175403. Conchay, Med # 197261 acometida arrancada por maquinaria, se empalma; Retorno a Yacuambi.</t>
        </is>
      </c>
      <c r="K28">
        <f>SUM((D28-C28)*1.5*24)</f>
        <v/>
      </c>
    </row>
    <row r="29" ht="17.35" customHeight="1" s="47">
      <c r="A29" s="72">
        <f>IF(B29&gt;0,PROPER(TEXT(B29,"dddd")),"")</f>
        <v/>
      </c>
      <c r="B29" s="77" t="n">
        <v>46136</v>
      </c>
      <c r="C29" s="78" t="n">
        <v>0.7083333333333334</v>
      </c>
      <c r="D29" s="79" t="n">
        <v>0.8333333333333334</v>
      </c>
      <c r="E29" s="78" t="n">
        <v/>
      </c>
      <c r="F29" s="79" t="n">
        <v/>
      </c>
      <c r="G29" s="78" t="n">
        <v/>
      </c>
      <c r="H29" s="79" t="n">
        <v/>
      </c>
      <c r="I29" s="78">
        <f>SUM(D29-C29, F29-E29, H29-G29)</f>
        <v/>
      </c>
      <c r="J29" s="80" t="inlineStr">
        <is>
          <t>OT # 175436. Desde Namakuntza Alto a Piuntza de La Paz, Med # 245925 acometida antihuro arrancada por maquinaria, se empalma 10 metros.</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RUIZ GUAMÁN NIXON ANDRÉS</t>
        </is>
      </c>
      <c r="I2" s="53">
        <f>SUM(K6:K36)</f>
        <v/>
      </c>
      <c r="J2" s="54" t="inlineStr">
        <is>
          <t>TOTAL</t>
        </is>
      </c>
    </row>
    <row r="3" ht="18.75" customHeight="1" s="47">
      <c r="A3" s="55" t="inlineStr">
        <is>
          <t>Cuadrilla o Agencia:</t>
        </is>
      </c>
      <c r="B3" s="55" t="n"/>
      <c r="C3" s="55" t="n"/>
      <c r="D3" s="55" t="n"/>
      <c r="E3" s="56" t="n"/>
      <c r="F3" s="56" t="n"/>
      <c r="G3" s="56" t="n"/>
      <c r="H3" s="52" t="inlineStr">
        <is>
          <t>Cuadrilla Yacuambi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0.7083333333333334</v>
      </c>
      <c r="D6" s="75" t="n">
        <v>0.90625</v>
      </c>
      <c r="E6" s="74" t="n">
        <v/>
      </c>
      <c r="F6" s="75" t="n">
        <v/>
      </c>
      <c r="G6" s="74" t="n">
        <v/>
      </c>
      <c r="H6" s="75" t="n">
        <v/>
      </c>
      <c r="I6" s="74">
        <f>SUM(D6-C6, F6-E6, H6-G6)</f>
        <v/>
      </c>
      <c r="J6" s="76" t="inlineStr">
        <is>
          <t>OT # 173911. Chapintza Bajo, se remolca el vehiculo 4-52 en mal estado hasta la agencia Zamora, se equipa al vehículo 4-36. Traslado desde Zamora hasta Chapintza Bajo, Est 38958 se repone tirafusible de 25A-T se reestablece el servicio</t>
        </is>
      </c>
      <c r="K6">
        <f>SUM((D6-C6)*1.5*24)</f>
        <v/>
      </c>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0.2569444444444444</v>
      </c>
      <c r="D13" s="79" t="n">
        <v>0.3333333333333333</v>
      </c>
      <c r="E13" s="78" t="n">
        <v/>
      </c>
      <c r="F13" s="79" t="n">
        <v/>
      </c>
      <c r="G13" s="78" t="n">
        <v/>
      </c>
      <c r="H13" s="79" t="n">
        <v/>
      </c>
      <c r="I13" s="78">
        <f>SUM(D13-C13, F13-E13, H13-G13)</f>
        <v/>
      </c>
      <c r="J13" s="80" t="inlineStr">
        <is>
          <t>OT # 174319. La Unión, se colabora en corte de arbol con tirfor y motosierra</t>
        </is>
      </c>
      <c r="K13">
        <f>SUM((D13-C13)*1.5*24)</f>
        <v/>
      </c>
    </row>
    <row r="14" ht="17.35" customHeight="1" s="47">
      <c r="A14" s="72">
        <f>IF(B14&gt;0,PROPER(TEXT(B14,"dddd")),"")</f>
        <v/>
      </c>
      <c r="B14" s="77" t="n">
        <v>46121</v>
      </c>
      <c r="C14" s="78" t="n">
        <v>0.8333333333333334</v>
      </c>
      <c r="D14" s="79" t="n">
        <v>0.9340277777777778</v>
      </c>
      <c r="E14" s="78" t="n">
        <v/>
      </c>
      <c r="F14" s="79" t="n">
        <v/>
      </c>
      <c r="G14" s="78" t="n">
        <v/>
      </c>
      <c r="H14" s="79" t="n">
        <v/>
      </c>
      <c r="I14" s="78">
        <f>SUM(D14-C14, F14-E14, H14-G14)</f>
        <v/>
      </c>
      <c r="J14" s="80" t="inlineStr">
        <is>
          <t>OT # 174528. Jembuentza, acometida del Med 1241739 arrancada por deslizamiento de tierra, se desmonta y repone 20mts, se normaliza el servicio</t>
        </is>
      </c>
      <c r="K14">
        <f>SUM((D14-C14)*1.5*24)</f>
        <v/>
      </c>
    </row>
    <row r="15" ht="17.35" customHeight="1" s="47">
      <c r="A15" s="72">
        <f>IF(B15&gt;0,PROPER(TEXT(B15,"dddd")),"")</f>
        <v/>
      </c>
      <c r="B15" s="77" t="n">
        <v>46122</v>
      </c>
      <c r="C15" s="78" t="n">
        <v>0.8020833333333334</v>
      </c>
      <c r="D15" s="79" t="n">
        <v>0.8993055555555556</v>
      </c>
      <c r="E15" s="78" t="n">
        <v/>
      </c>
      <c r="F15" s="79" t="n">
        <v/>
      </c>
      <c r="G15" s="78" t="n">
        <v/>
      </c>
      <c r="H15" s="79" t="n">
        <v/>
      </c>
      <c r="I15" s="78">
        <f>SUM(D15-C15, F15-E15, H15-G15)</f>
        <v/>
      </c>
      <c r="J15" s="80" t="inlineStr">
        <is>
          <t xml:space="preserve">OT # 174530. Cantón Yacuambi, recorrido y levantemiento de información de luminarias en mal estado. </t>
        </is>
      </c>
      <c r="K15">
        <f>SUM((D15-C15)*1.5*24)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0.7083333333333334</v>
      </c>
      <c r="D18" s="79" t="n">
        <v>0.875</v>
      </c>
      <c r="E18" s="78" t="n">
        <v/>
      </c>
      <c r="F18" s="79" t="n">
        <v/>
      </c>
      <c r="G18" s="78" t="n">
        <v/>
      </c>
      <c r="H18" s="79" t="n">
        <v/>
      </c>
      <c r="I18" s="78">
        <f>SUM(D18-C18, F18-E18, H18-G18)</f>
        <v/>
      </c>
      <c r="J18" s="80" t="inlineStr">
        <is>
          <t>OT # 174650. Chivatos, Est 160448 se asegura con cuerdas y tala árboles, epalma y monta lineas, se rehabilita Trafo 17150</t>
        </is>
      </c>
      <c r="K18">
        <f>SUM((D18-C18)*1.5*24)</f>
        <v/>
      </c>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0.7083333333333334</v>
      </c>
      <c r="D20" s="79" t="n">
        <v>0.8409722222222222</v>
      </c>
      <c r="E20" s="78" t="n">
        <v/>
      </c>
      <c r="F20" s="79" t="n">
        <v/>
      </c>
      <c r="G20" s="78" t="n">
        <v/>
      </c>
      <c r="H20" s="79" t="n">
        <v/>
      </c>
      <c r="I20" s="78">
        <f>SUM(D20-C20, F20-E20, H20-G20)</f>
        <v/>
      </c>
      <c r="J20" s="80" t="inlineStr">
        <is>
          <t>OT # 174851. Ortega Alto, Est 176047 desbroce de vegetación, se libera, empalma y monta RBV rehbilitación Trafo 10563</t>
        </is>
      </c>
      <c r="K20">
        <f>SUM((D20-C20)*1.5*24)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0.7083333333333334</v>
      </c>
      <c r="D28" s="79" t="n">
        <v>0.8006944444444445</v>
      </c>
      <c r="E28" s="78" t="n">
        <v>0.8284722222222223</v>
      </c>
      <c r="F28" s="79" t="n">
        <v>0.9993055555555556</v>
      </c>
      <c r="G28" s="78" t="n">
        <v/>
      </c>
      <c r="H28" s="79" t="n">
        <v/>
      </c>
      <c r="I28" s="78">
        <f>SUM(D28-C28, F28-E28, H28-G28)</f>
        <v/>
      </c>
      <c r="J28" s="80" t="inlineStr">
        <is>
          <t>OT # 175403. Conchay, Med # 197261 acometida arrancada por maquinaria, se empalma; Retorno a Yacuambi.</t>
        </is>
      </c>
      <c r="K28">
        <f>SUM((D28-C28)*1.5*24,(F28-E28)*1.5*24)</f>
        <v/>
      </c>
    </row>
    <row r="29" ht="17.35" customHeight="1" s="47">
      <c r="A29" s="72">
        <f>IF(B29&gt;0,PROPER(TEXT(B29,"dddd")),"")</f>
        <v/>
      </c>
      <c r="B29" s="77" t="n">
        <v>46136</v>
      </c>
      <c r="C29" s="78" t="n">
        <v>0.7083333333333334</v>
      </c>
      <c r="D29" s="79" t="n">
        <v>0.8333333333333334</v>
      </c>
      <c r="E29" s="78" t="n">
        <v/>
      </c>
      <c r="F29" s="79" t="n">
        <v/>
      </c>
      <c r="G29" s="78" t="n">
        <v/>
      </c>
      <c r="H29" s="79" t="n">
        <v/>
      </c>
      <c r="I29" s="78">
        <f>SUM(D29-C29, F29-E29, H29-G29)</f>
        <v/>
      </c>
      <c r="J29" s="80" t="inlineStr">
        <is>
          <t>OT # 175436. Desde Namakuntza Alto a Piuntza de La Paz, Med # 245925 acometida antihuro arrancada por maquinaria, se empalma 10 metros.</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BARRAZUETA GONZAGA SERVIO GUILLERMO</t>
        </is>
      </c>
      <c r="I2" s="53">
        <f>SUM(K6:K36)</f>
        <v/>
      </c>
      <c r="J2" s="54" t="inlineStr">
        <is>
          <t>TOTAL</t>
        </is>
      </c>
    </row>
    <row r="3" ht="18.75" customHeight="1" s="47">
      <c r="A3" s="55" t="inlineStr">
        <is>
          <t>Cuadrilla o Agencia:</t>
        </is>
      </c>
      <c r="B3" s="55" t="n"/>
      <c r="C3" s="55" t="n"/>
      <c r="D3" s="55" t="n"/>
      <c r="E3" s="56" t="n"/>
      <c r="F3" s="56" t="n"/>
      <c r="G3" s="56" t="n"/>
      <c r="H3" s="52" t="inlineStr">
        <is>
          <t>Cuadrilla Yantzaza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0.28125</v>
      </c>
      <c r="D15" s="79" t="n">
        <v>0.3333333333333333</v>
      </c>
      <c r="E15" s="78" t="n">
        <v/>
      </c>
      <c r="F15" s="79" t="n">
        <v/>
      </c>
      <c r="G15" s="78" t="n">
        <v/>
      </c>
      <c r="H15" s="79" t="n">
        <v/>
      </c>
      <c r="I15" s="78">
        <f>SUM(D15-C15, F15-E15, H15-G15)</f>
        <v/>
      </c>
      <c r="J15" s="80" t="inlineStr">
        <is>
          <t>OT # 174472. En Yantzaza se realiza plan de maniobras en coordinación con Centro de Control, segun WR..1103028506. cierre de seccionadores tipo barra en estructura: 211933, para enmallar AP Yantzaza III con Paquisha En estructura: 255182 apertura de seccionadores tipo barra para separar AP Yantzaza III con Paquisha, or cubrir carga por trabajo en S/E Bomboiza Traslado desde Yantzaza hasta Muchime En Muchime en reguladores de voltaje en coordinación con Centro de Control, se posesiona en Manual y se coloca el TAP en Neutral a los Reguladores</t>
        </is>
      </c>
      <c r="K15">
        <f>SUM((D15-C15)*1.5*24)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0.25</v>
      </c>
      <c r="D21" s="79" t="n">
        <v>0.3333333333333333</v>
      </c>
      <c r="E21" s="78" t="n">
        <v/>
      </c>
      <c r="F21" s="79" t="n">
        <v/>
      </c>
      <c r="G21" s="78" t="n">
        <v/>
      </c>
      <c r="H21" s="79" t="n">
        <v/>
      </c>
      <c r="I21" s="78">
        <f>SUM(D21-C21, F21-E21, H21-G21)</f>
        <v/>
      </c>
      <c r="J21" s="80" t="inlineStr">
        <is>
          <t xml:space="preserve">OT # 174867. Chimbutza, maniobras en coordinación con CC; Fall del AP Los Encuentros, se encuentra un deslizamiento de tierra de gran magnitud, Est 289767 colapsada. </t>
        </is>
      </c>
      <c r="K21">
        <f>SUM((D21-C21)*1.5*24)</f>
        <v/>
      </c>
    </row>
    <row r="22" ht="17.35" customHeight="1" s="47">
      <c r="A22" s="72">
        <f>IF(B22&gt;0,PROPER(TEXT(B22,"dddd")),"")</f>
        <v/>
      </c>
      <c r="B22" s="77" t="n">
        <v>46129</v>
      </c>
      <c r="C22" s="78" t="n">
        <v>0.7083333333333334</v>
      </c>
      <c r="D22" s="79" t="n">
        <v>0.8125</v>
      </c>
      <c r="E22" s="78" t="n">
        <v/>
      </c>
      <c r="F22" s="79" t="n">
        <v/>
      </c>
      <c r="G22" s="78" t="n">
        <v/>
      </c>
      <c r="H22" s="79" t="n">
        <v/>
      </c>
      <c r="I22" s="78">
        <f>SUM(D22-C22, F22-E22, H22-G22)</f>
        <v/>
      </c>
      <c r="J22" s="80" t="inlineStr">
        <is>
          <t>OT # 174940. Loja – Yantzaza, sector Chimbutza se colabora con trabajos de aplomada de estructura y normalizar tipología del AP Los Encuentros.</t>
        </is>
      </c>
      <c r="K22">
        <f>SUM((D22-C22)*1.5*24)</f>
        <v/>
      </c>
    </row>
    <row r="23" ht="17.35" customHeight="1" s="47">
      <c r="A23" s="72">
        <f>IF(B23&gt;0,PROPER(TEXT(B23,"dddd")),"")</f>
        <v/>
      </c>
      <c r="B23" s="77" t="n">
        <v>46130</v>
      </c>
      <c r="C23" s="78" t="n">
        <v>0.4375</v>
      </c>
      <c r="D23" s="79" t="n">
        <v>0.5416666666666666</v>
      </c>
      <c r="E23" s="78" t="n">
        <v>0.5833333333333334</v>
      </c>
      <c r="F23" s="79" t="n">
        <v>0.8472222222222222</v>
      </c>
      <c r="G23" s="78" t="n">
        <v/>
      </c>
      <c r="H23" s="79" t="n">
        <v/>
      </c>
      <c r="I23" s="78">
        <f>SUM(D23-C23, F23-E23, H23-G23)</f>
        <v/>
      </c>
      <c r="J23" s="80" t="inlineStr">
        <is>
          <t>OT # 175032. El Recreo, cambio de breaker de caja moldeada en mal estado Med # 290277. Guayabal, Est 35094, se rehabilita transformador 14001; Causa: líneas arrancadas.</t>
        </is>
      </c>
      <c r="K23">
        <f>SUM((D23-C23)*2.0*24,(F23-E23)*2.0*24)</f>
        <v/>
      </c>
    </row>
    <row r="24" ht="17.35" customHeight="1" s="47">
      <c r="A24" s="72">
        <f>IF(B24&gt;0,PROPER(TEXT(B24,"dddd")),"")</f>
        <v/>
      </c>
      <c r="B24" s="77" t="n">
        <v>46131</v>
      </c>
      <c r="C24" s="78" t="n">
        <v>0.28125</v>
      </c>
      <c r="D24" s="79" t="n">
        <v>0.5486111111111112</v>
      </c>
      <c r="E24" s="78" t="n">
        <v>0.6965277777777777</v>
      </c>
      <c r="F24" s="79" t="n">
        <v>0.7916666666666666</v>
      </c>
      <c r="G24" s="78" t="n">
        <v/>
      </c>
      <c r="H24" s="79" t="n">
        <v/>
      </c>
      <c r="I24" s="78">
        <f>SUM(D24-C24, F24-E24, H24-G24)</f>
        <v/>
      </c>
      <c r="J24" s="80" t="inlineStr">
        <is>
          <t>OT # 175048. Yantzaza,  Est 27383 impactada sobre vehículo liviano, por emergencia el cliente realiza el cambio de estructura de manera particular, se colabora en arreglo de medidores. Montalvo, Est 223650, se retira vegetación y cambi fusible de 0,7A-SR del Trafo # 22068.</t>
        </is>
      </c>
      <c r="K24">
        <f>SUM((D24-C24)*2.0*24,(F24-E24)*2.0*24)</f>
        <v/>
      </c>
    </row>
    <row r="25" ht="17.35" customHeight="1" s="47">
      <c r="A25" s="72">
        <f>IF(B25&gt;0,PROPER(TEXT(B25,"dddd")),"")</f>
        <v/>
      </c>
      <c r="B25" s="77" t="n">
        <v>46132</v>
      </c>
      <c r="C25" s="78" t="n">
        <v>0.7083333333333334</v>
      </c>
      <c r="D25" s="79" t="n">
        <v>0.7847222222222222</v>
      </c>
      <c r="E25" s="78" t="n">
        <v/>
      </c>
      <c r="F25" s="79" t="n">
        <v/>
      </c>
      <c r="G25" s="78" t="n">
        <v/>
      </c>
      <c r="H25" s="79" t="n">
        <v/>
      </c>
      <c r="I25" s="78">
        <f>SUM(D25-C25, F25-E25, H25-G25)</f>
        <v/>
      </c>
      <c r="J25" s="80" t="inlineStr">
        <is>
          <t>OT # 175082. Ungumiatza, Izaje de estructura de 11R para restituir estructura en mal estado, empalme montado y regulado de LMV, se energiza y retorna a Yantzaza.</t>
        </is>
      </c>
      <c r="K25">
        <f>SUM((D25-C25)*1.5*24)</f>
        <v/>
      </c>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0.2395833333333333</v>
      </c>
      <c r="D28" s="79" t="n">
        <v>0.3333333333333333</v>
      </c>
      <c r="E28" s="78" t="n">
        <v/>
      </c>
      <c r="F28" s="79" t="n">
        <v/>
      </c>
      <c r="G28" s="78" t="n">
        <v/>
      </c>
      <c r="H28" s="79" t="n">
        <v/>
      </c>
      <c r="I28" s="78">
        <f>SUM(D28-C28, F28-E28, H28-G28)</f>
        <v/>
      </c>
      <c r="J28" s="80" t="inlineStr">
        <is>
          <t>OT # 175336. Muchime, Reguladores de Voltaje de Los Encuentros, se ejecuta maniobras en cordinación con SCADA</t>
        </is>
      </c>
      <c r="K28">
        <f>SUM((D28-C28)*2.0*24)</f>
        <v/>
      </c>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CORDOVA JIMENEZ JORGE LUIS</t>
        </is>
      </c>
      <c r="I2" s="53">
        <f>SUM(K6:K36)</f>
        <v/>
      </c>
      <c r="J2" s="54" t="inlineStr">
        <is>
          <t>TOTAL</t>
        </is>
      </c>
    </row>
    <row r="3" ht="18.75" customHeight="1" s="47">
      <c r="A3" s="55" t="inlineStr">
        <is>
          <t>Cuadrilla o Agencia:</t>
        </is>
      </c>
      <c r="B3" s="55" t="n"/>
      <c r="C3" s="55" t="n"/>
      <c r="D3" s="55" t="n"/>
      <c r="E3" s="56" t="n"/>
      <c r="F3" s="56" t="n"/>
      <c r="G3" s="56" t="n"/>
      <c r="H3" s="52" t="inlineStr">
        <is>
          <t>Cuadrilla Yantzaza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0.28125</v>
      </c>
      <c r="D15" s="79" t="n">
        <v>0.3333333333333333</v>
      </c>
      <c r="E15" s="78" t="n">
        <v/>
      </c>
      <c r="F15" s="79" t="n">
        <v/>
      </c>
      <c r="G15" s="78" t="n">
        <v/>
      </c>
      <c r="H15" s="79" t="n">
        <v/>
      </c>
      <c r="I15" s="78">
        <f>SUM(D15-C15, F15-E15, H15-G15)</f>
        <v/>
      </c>
      <c r="J15" s="80" t="inlineStr">
        <is>
          <t>OT # 174472. En Yantzaza se realiza plan de maniobras en coordinación con Centro de Control, segun WR..1103028506. cierre de seccionadores tipo barra en estructura: 211933, para enmallar AP Yantzaza III con Paquisha En estructura: 255182 apertura de seccionadores tipo barra para separar AP Yantzaza III con Paquisha, or cubrir carga por trabajo en S/E Bomboiza Traslado desde Yantzaza hasta Muchime En Muchime en reguladores de voltaje en coordinación con Centro de Control, se posesiona en Manual y se coloca el TAP en Neutral a los Reguladores</t>
        </is>
      </c>
      <c r="K15">
        <f>SUM((D15-C15)*1.5*24)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0.7083333333333334</v>
      </c>
      <c r="D18" s="79" t="n">
        <v>0.7715277777777778</v>
      </c>
      <c r="E18" s="78" t="n">
        <v>0.8215277777777777</v>
      </c>
      <c r="F18" s="79" t="n">
        <v>0.9520833333333333</v>
      </c>
      <c r="G18" s="78" t="n">
        <v/>
      </c>
      <c r="H18" s="79" t="n">
        <v/>
      </c>
      <c r="I18" s="78">
        <f>SUM(D18-C18, F18-E18, H18-G18)</f>
        <v/>
      </c>
      <c r="J18" s="80" t="inlineStr">
        <is>
          <t>OT # 174646. San Pablo, Est 215853, se repone tirafusible de 0,7A-SR Trafo # OID11425. Orquídeas, Est 93705, Med # 18-249530, breaker en mal estado, se habilita una fase.</t>
        </is>
      </c>
      <c r="K18">
        <f>SUM((D18-C18)*1.5*24,(F18-E18)*1.5*24)</f>
        <v/>
      </c>
    </row>
    <row r="19" ht="17.35" customHeight="1" s="47">
      <c r="A19" s="72">
        <f>IF(B19&gt;0,PROPER(TEXT(B19,"dddd")),"")</f>
        <v/>
      </c>
      <c r="B19" s="77" t="n">
        <v>46126</v>
      </c>
      <c r="C19" s="78" t="n">
        <v>0.8375</v>
      </c>
      <c r="D19" s="79" t="n">
        <v>0.8791666666666667</v>
      </c>
      <c r="E19" s="78" t="n">
        <v/>
      </c>
      <c r="F19" s="79" t="n">
        <v/>
      </c>
      <c r="G19" s="78" t="n">
        <v/>
      </c>
      <c r="H19" s="79" t="n">
        <v/>
      </c>
      <c r="I19" s="78">
        <f>SUM(D19-C19, F19-E19, H19-G19)</f>
        <v/>
      </c>
      <c r="J19" s="80" t="inlineStr">
        <is>
          <t>OT # 174727. Vista Hermosa, Trafo 1725 kVA, se rehabilita; Causa: sobrecarga</t>
        </is>
      </c>
      <c r="K19">
        <f>SUM((D19-C19)*1.5*24)</f>
        <v/>
      </c>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0.25</v>
      </c>
      <c r="D21" s="79" t="n">
        <v>0.3333333333333333</v>
      </c>
      <c r="E21" s="78" t="n">
        <v/>
      </c>
      <c r="F21" s="79" t="n">
        <v/>
      </c>
      <c r="G21" s="78" t="n">
        <v/>
      </c>
      <c r="H21" s="79" t="n">
        <v/>
      </c>
      <c r="I21" s="78">
        <f>SUM(D21-C21, F21-E21, H21-G21)</f>
        <v/>
      </c>
      <c r="J21" s="80" t="inlineStr">
        <is>
          <t xml:space="preserve">OT # 174867. Chimbutza, maniobras en coordinación con CC; Fall del AP Los Encuentros, se encuentra un deslizamiento de tierra de gran magnitud, Est 289767 colapsada. </t>
        </is>
      </c>
      <c r="K21">
        <f>SUM((D21-C21)*1.5*24)</f>
        <v/>
      </c>
    </row>
    <row r="22" ht="17.35" customHeight="1" s="47">
      <c r="A22" s="72">
        <f>IF(B22&gt;0,PROPER(TEXT(B22,"dddd")),"")</f>
        <v/>
      </c>
      <c r="B22" s="77" t="n">
        <v>46129</v>
      </c>
      <c r="C22" s="78" t="n">
        <v>0.7083333333333334</v>
      </c>
      <c r="D22" s="79" t="n">
        <v>0.8125</v>
      </c>
      <c r="E22" s="78" t="n">
        <v/>
      </c>
      <c r="F22" s="79" t="n">
        <v/>
      </c>
      <c r="G22" s="78" t="n">
        <v/>
      </c>
      <c r="H22" s="79" t="n">
        <v/>
      </c>
      <c r="I22" s="78">
        <f>SUM(D22-C22, F22-E22, H22-G22)</f>
        <v/>
      </c>
      <c r="J22" s="80" t="inlineStr">
        <is>
          <t>OT # 174948. Chimbutza, aplome de Est 262666, cambio de pernos pin, enderezada de cruzetas, regulado de los tensores; maniobras en coordinación con SCADA</t>
        </is>
      </c>
      <c r="K22">
        <f>SUM((D22-C22)*1.5*24)</f>
        <v/>
      </c>
    </row>
    <row r="23" ht="17.35" customHeight="1" s="47">
      <c r="A23" s="72">
        <f>IF(B23&gt;0,PROPER(TEXT(B23,"dddd")),"")</f>
        <v/>
      </c>
      <c r="B23" s="77" t="n">
        <v>46130</v>
      </c>
      <c r="C23" s="78" t="n">
        <v>0.4375</v>
      </c>
      <c r="D23" s="79" t="n">
        <v>0.5416666666666666</v>
      </c>
      <c r="E23" s="78" t="n">
        <v>0.5833333333333334</v>
      </c>
      <c r="F23" s="79" t="n">
        <v>0.8472222222222222</v>
      </c>
      <c r="G23" s="78" t="n">
        <v/>
      </c>
      <c r="H23" s="79" t="n">
        <v/>
      </c>
      <c r="I23" s="78">
        <f>SUM(D23-C23, F23-E23, H23-G23)</f>
        <v/>
      </c>
      <c r="J23" s="80" t="inlineStr">
        <is>
          <t>OT # 175032. El Recreo, cambio de breaker de caja moldeada en mal estado Med # 290277. Guayabal, Est 35094, se rehabilita transformador 14001; Causa: líneas arrancadas.</t>
        </is>
      </c>
      <c r="K23">
        <f>SUM((D23-C23)*2.0*24,(F23-E23)*2.0*24)</f>
        <v/>
      </c>
    </row>
    <row r="24" ht="17.35" customHeight="1" s="47">
      <c r="A24" s="72">
        <f>IF(B24&gt;0,PROPER(TEXT(B24,"dddd")),"")</f>
        <v/>
      </c>
      <c r="B24" s="77" t="n">
        <v>46131</v>
      </c>
      <c r="C24" s="78" t="n">
        <v>0.28125</v>
      </c>
      <c r="D24" s="79" t="n">
        <v>0.5486111111111112</v>
      </c>
      <c r="E24" s="78" t="n">
        <v>0.6965277777777777</v>
      </c>
      <c r="F24" s="79" t="n">
        <v>0.7916666666666666</v>
      </c>
      <c r="G24" s="78" t="n">
        <v/>
      </c>
      <c r="H24" s="79" t="n">
        <v/>
      </c>
      <c r="I24" s="78">
        <f>SUM(D24-C24, F24-E24, H24-G24)</f>
        <v/>
      </c>
      <c r="J24" s="80" t="inlineStr">
        <is>
          <t>OT # 175048. Yantzaza,  Est 27383 impactada sobre vehículo liviano, por emergencia el cliente realiza el cambio de estructura de manera particular, se colabora en arreglo de medidores. Montalvo, Est 223650, se retira vegetación y cambi fusible de 0,7A-SR del Trafo # 22068.</t>
        </is>
      </c>
      <c r="K24">
        <f>SUM((D24-C24)*2.0*24,(F24-E24)*2.0*24)</f>
        <v/>
      </c>
    </row>
    <row r="25" ht="17.35" customHeight="1" s="47">
      <c r="A25" s="72">
        <f>IF(B25&gt;0,PROPER(TEXT(B25,"dddd")),"")</f>
        <v/>
      </c>
      <c r="B25" s="77" t="n">
        <v>46132</v>
      </c>
      <c r="C25" s="78" t="n">
        <v>0.7083333333333334</v>
      </c>
      <c r="D25" s="79" t="n">
        <v>0.7847222222222222</v>
      </c>
      <c r="E25" s="78" t="n">
        <v/>
      </c>
      <c r="F25" s="79" t="n">
        <v/>
      </c>
      <c r="G25" s="78" t="n">
        <v/>
      </c>
      <c r="H25" s="79" t="n">
        <v/>
      </c>
      <c r="I25" s="78">
        <f>SUM(D25-C25, F25-E25, H25-G25)</f>
        <v/>
      </c>
      <c r="J25" s="80" t="inlineStr">
        <is>
          <t>OT # 175082. Ungumiatza, Izaje de estructura de 11R para restituir estructura en mal estado, empalme montado y regulado de LMV, se energiza y retorna a Yantzaza.</t>
        </is>
      </c>
      <c r="K25">
        <f>SUM((D25-C25)*1.5*24)</f>
        <v/>
      </c>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ALEJANDRO PACHAR AGUSTIN EDUARDO</t>
        </is>
      </c>
      <c r="I2" s="53">
        <f>SUM(K6:K36)</f>
        <v/>
      </c>
      <c r="J2" s="54" t="inlineStr">
        <is>
          <t>TOTAL</t>
        </is>
      </c>
    </row>
    <row r="3" ht="18.75" customHeight="1" s="47">
      <c r="A3" s="55" t="inlineStr">
        <is>
          <t>Cuadrilla o Agencia:</t>
        </is>
      </c>
      <c r="B3" s="55" t="n"/>
      <c r="C3" s="55" t="n"/>
      <c r="D3" s="55" t="n"/>
      <c r="E3" s="56" t="n"/>
      <c r="F3" s="56" t="n"/>
      <c r="G3" s="56" t="n"/>
      <c r="H3" s="52" t="inlineStr">
        <is>
          <t>Cuadrilla Yantzaza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0.7597222222222222</v>
      </c>
      <c r="D15" s="79" t="n">
        <v>0.8236111111111111</v>
      </c>
      <c r="E15" s="78" t="n">
        <v/>
      </c>
      <c r="F15" s="79" t="n">
        <v/>
      </c>
      <c r="G15" s="78" t="n">
        <v/>
      </c>
      <c r="H15" s="79" t="n">
        <v/>
      </c>
      <c r="I15" s="78">
        <f>SUM(D15-C15, F15-E15, H15-G15)</f>
        <v/>
      </c>
      <c r="J15" s="80" t="inlineStr">
        <is>
          <t>OT # 174482. La Centza, Est 181929, Medidor 240856 salida del breaker en mal estado, se cambia la salida (110 V)</t>
        </is>
      </c>
      <c r="K15">
        <f>SUM((D15-C15)*1.5*24)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0.3854166666666667</v>
      </c>
      <c r="D17" s="79" t="n">
        <v>0.4763888888888889</v>
      </c>
      <c r="E17" s="78" t="n">
        <v>0.5895833333333333</v>
      </c>
      <c r="F17" s="79" t="n">
        <v>0.7326388888888888</v>
      </c>
      <c r="G17" s="78" t="n">
        <v/>
      </c>
      <c r="H17" s="79" t="n">
        <v/>
      </c>
      <c r="I17" s="78">
        <f>SUM(D17-C17, F17-E17, H17-G17)</f>
        <v/>
      </c>
      <c r="J17" s="80" t="inlineStr">
        <is>
          <t>OT # 174572. El Salado, Est 31927, se rehabilita Trafo # 13324 de 3 KVA; Causa: sobrecarga. Ungumiatza, Est 30619 se repone 1 tirafusible de 12 A-T; Causa: desconocida</t>
        </is>
      </c>
      <c r="K17">
        <f>SUM((D17-C17)*2.0*24,(F17-E17)*2.0*24)</f>
        <v/>
      </c>
    </row>
    <row r="18" ht="17.35" customHeight="1" s="47">
      <c r="A18" s="72">
        <f>IF(B18&gt;0,PROPER(TEXT(B18,"dddd")),"")</f>
        <v/>
      </c>
      <c r="B18" s="77" t="n">
        <v>46125</v>
      </c>
      <c r="C18" s="78" t="n">
        <v>0.7083333333333334</v>
      </c>
      <c r="D18" s="79" t="n">
        <v>0.7715277777777778</v>
      </c>
      <c r="E18" s="78" t="n">
        <v>0.8215277777777777</v>
      </c>
      <c r="F18" s="79" t="n">
        <v>0.9520833333333333</v>
      </c>
      <c r="G18" s="78" t="n">
        <v/>
      </c>
      <c r="H18" s="79" t="n">
        <v/>
      </c>
      <c r="I18" s="78">
        <f>SUM(D18-C18, F18-E18, H18-G18)</f>
        <v/>
      </c>
      <c r="J18" s="80" t="inlineStr">
        <is>
          <t>OT # 174646. San Pablo, Est 215853, se repone tirafusible de 0,7A-SR Trafo # OID11425. Orquídeas, Est 93705, Med # 18-249530, breaker en mal estado, se habilita una fase.</t>
        </is>
      </c>
      <c r="K18">
        <f>SUM((D18-C18)*1.5*24,(F18-E18)*1.5*24)</f>
        <v/>
      </c>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0.7083333333333334</v>
      </c>
      <c r="D22" s="79" t="n">
        <v>0.8125</v>
      </c>
      <c r="E22" s="78" t="n">
        <v/>
      </c>
      <c r="F22" s="79" t="n">
        <v/>
      </c>
      <c r="G22" s="78" t="n">
        <v/>
      </c>
      <c r="H22" s="79" t="n">
        <v/>
      </c>
      <c r="I22" s="78">
        <f>SUM(D22-C22, F22-E22, H22-G22)</f>
        <v/>
      </c>
      <c r="J22" s="80" t="inlineStr">
        <is>
          <t>OT # 174948. Chimbutza, aplome de Est 262666, cambio de pernos pin, enderezada de cruzetas, regulado de los tensores; maniobras en coordinación con SCADA</t>
        </is>
      </c>
      <c r="K22">
        <f>SUM((D22-C22)*1.5*24)</f>
        <v/>
      </c>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TORRES MALDONADO GALO DANIEL</t>
        </is>
      </c>
      <c r="I2" s="53">
        <f>SUM(K6:K36)</f>
        <v/>
      </c>
      <c r="J2" s="54" t="inlineStr">
        <is>
          <t>TOTAL</t>
        </is>
      </c>
    </row>
    <row r="3" ht="18.75" customHeight="1" s="47">
      <c r="A3" s="55" t="inlineStr">
        <is>
          <t>Cuadrilla o Agencia:</t>
        </is>
      </c>
      <c r="B3" s="55" t="n"/>
      <c r="C3" s="55" t="n"/>
      <c r="D3" s="55" t="n"/>
      <c r="E3" s="56" t="n"/>
      <c r="F3" s="56" t="n"/>
      <c r="G3" s="56" t="n"/>
      <c r="H3" s="52" t="inlineStr">
        <is>
          <t>Cuadrilla Yantzaza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0.7597222222222222</v>
      </c>
      <c r="D15" s="79" t="n">
        <v>0.8236111111111111</v>
      </c>
      <c r="E15" s="78" t="n">
        <v/>
      </c>
      <c r="F15" s="79" t="n">
        <v/>
      </c>
      <c r="G15" s="78" t="n">
        <v/>
      </c>
      <c r="H15" s="79" t="n">
        <v/>
      </c>
      <c r="I15" s="78">
        <f>SUM(D15-C15, F15-E15, H15-G15)</f>
        <v/>
      </c>
      <c r="J15" s="80" t="inlineStr">
        <is>
          <t>OT # 174482. La Centza, Est 181929, Medidor 240856 salida del breaker en mal estado, se cambia la salida (110 V)</t>
        </is>
      </c>
      <c r="K15">
        <f>SUM((D15-C15)*1.5*24)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0.3854166666666667</v>
      </c>
      <c r="D17" s="79" t="n">
        <v>0.4763888888888889</v>
      </c>
      <c r="E17" s="78" t="n">
        <v>0.5895833333333333</v>
      </c>
      <c r="F17" s="79" t="n">
        <v>0.7326388888888888</v>
      </c>
      <c r="G17" s="78" t="n">
        <v/>
      </c>
      <c r="H17" s="79" t="n">
        <v/>
      </c>
      <c r="I17" s="78">
        <f>SUM(D17-C17, F17-E17, H17-G17)</f>
        <v/>
      </c>
      <c r="J17" s="80" t="inlineStr">
        <is>
          <t>OT # 174572. El Salado, Est 31927, se rehabilita Trafo # 13324 de 3 KVA; Causa: sobrecarga. Ungumiatza, Est 30619 se repone 1 tirafusible de 12 A-T; Causa: desconocida</t>
        </is>
      </c>
      <c r="K17">
        <f>SUM((D17-C17)*2.0*24,(F17-E17)*2.0*24)</f>
        <v/>
      </c>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0.7083333333333334</v>
      </c>
      <c r="D25" s="79" t="n">
        <v>0.7847222222222222</v>
      </c>
      <c r="E25" s="78" t="n">
        <v/>
      </c>
      <c r="F25" s="79" t="n">
        <v/>
      </c>
      <c r="G25" s="78" t="n">
        <v/>
      </c>
      <c r="H25" s="79" t="n">
        <v/>
      </c>
      <c r="I25" s="78">
        <f>SUM(D25-C25, F25-E25, H25-G25)</f>
        <v/>
      </c>
      <c r="J25" s="80" t="inlineStr">
        <is>
          <t>OT # 175082. Ungumiatza, Izaje de estructura de 11R para restituir estructura en mal estado, empalme montado y regulado de LMV, se energiza y retorna a Yantzaza.</t>
        </is>
      </c>
      <c r="K25">
        <f>SUM((D25-C25)*1.5*24)</f>
        <v/>
      </c>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OCHOA JARAMILLO ANGEL CLAUDIO</t>
        </is>
      </c>
      <c r="I2" s="53">
        <f>SUM(K6:K36)</f>
        <v/>
      </c>
      <c r="J2" s="54" t="inlineStr">
        <is>
          <t>TOTAL</t>
        </is>
      </c>
    </row>
    <row r="3" ht="18.75" customHeight="1" s="47">
      <c r="A3" s="55" t="inlineStr">
        <is>
          <t>Cuadrilla o Agencia:</t>
        </is>
      </c>
      <c r="B3" s="55" t="n"/>
      <c r="C3" s="55" t="n"/>
      <c r="D3" s="55" t="n"/>
      <c r="E3" s="56" t="n"/>
      <c r="F3" s="56" t="n"/>
      <c r="G3" s="56" t="n"/>
      <c r="H3" s="52" t="inlineStr">
        <is>
          <t>Cuadrilla Yantzaza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0.5868055555555556</v>
      </c>
      <c r="D16" s="79" t="n">
        <v>0.7861111111111111</v>
      </c>
      <c r="E16" s="78" t="n">
        <v/>
      </c>
      <c r="F16" s="79" t="n">
        <v/>
      </c>
      <c r="G16" s="78" t="n">
        <v/>
      </c>
      <c r="H16" s="79" t="n">
        <v/>
      </c>
      <c r="I16" s="78">
        <f>SUM(D16-C16, F16-E16, H16-G16)</f>
        <v/>
      </c>
      <c r="J16" s="80" t="inlineStr">
        <is>
          <t>OT # 174595. San Antonio, Med # 18-255976, se ajusta conexiones, se cambia breaker. San Miguel, Med # 18-237378 se revisa y en la Est 215787 se retira vegetación y reemplaza fusible de 6A-T. El Paraíso, difícil acceso, por por margen de quebrada, acometida arrancada por caída de árbol, se repone. Retorno, Agencia El Pangui.</t>
        </is>
      </c>
      <c r="K16">
        <f>SUM((D16-C16)*2.0*24)</f>
        <v/>
      </c>
    </row>
    <row r="17" ht="17.35" customHeight="1" s="47">
      <c r="A17" s="72">
        <f>IF(B17&gt;0,PROPER(TEXT(B17,"dddd")),"")</f>
        <v/>
      </c>
      <c r="B17" s="77" t="n">
        <v>46124</v>
      </c>
      <c r="C17" s="78" t="n">
        <v>0.5868055555555556</v>
      </c>
      <c r="D17" s="79" t="n">
        <v>0.7916666666666666</v>
      </c>
      <c r="E17" s="78" t="n">
        <v/>
      </c>
      <c r="F17" s="79" t="n">
        <v/>
      </c>
      <c r="G17" s="78" t="n">
        <v/>
      </c>
      <c r="H17" s="79" t="n">
        <v/>
      </c>
      <c r="I17" s="78">
        <f>SUM(D17-C17, F17-E17, H17-G17)</f>
        <v/>
      </c>
      <c r="J17" s="80" t="inlineStr">
        <is>
          <t xml:space="preserve">OT # 174643. Los Encuentros, Est 30272 maniobras en coordinación con CC; En la Est 276560 se encuentra vegetación entre la Fase B y Cruceta, se retira y normaliza el AP Los Encuentros. San Roque, Barrio Catacocha, Est 34750, se reemplaza fusible de 1.3 SR y este se quema; se recorre encentra abundante vegetación, se planifica con la Cuadrilla. </t>
        </is>
      </c>
      <c r="K17">
        <f>SUM((D17-C17)*2.0*24)</f>
        <v/>
      </c>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0.7083333333333334</v>
      </c>
      <c r="D22" s="79" t="n">
        <v>0.8125</v>
      </c>
      <c r="E22" s="78" t="n">
        <v/>
      </c>
      <c r="F22" s="79" t="n">
        <v/>
      </c>
      <c r="G22" s="78" t="n">
        <v/>
      </c>
      <c r="H22" s="79" t="n">
        <v/>
      </c>
      <c r="I22" s="78">
        <f>SUM(D22-C22, F22-E22, H22-G22)</f>
        <v/>
      </c>
      <c r="J22" s="80" t="inlineStr">
        <is>
          <t>OT # 174948. Chimbutza, aplome de Est 262666, cambio de pernos pin, enderezada de cruzetas, regulado de los tensores; maniobras en coordinación con SCADA</t>
        </is>
      </c>
      <c r="K22">
        <f>SUM((D22-C22)*1.5*24)</f>
        <v/>
      </c>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0.7083333333333334</v>
      </c>
      <c r="D25" s="79" t="n">
        <v>0.7847222222222222</v>
      </c>
      <c r="E25" s="78" t="n">
        <v>0.7847222222222222</v>
      </c>
      <c r="F25" s="79" t="n">
        <v>0.9486111111111111</v>
      </c>
      <c r="G25" s="78" t="n">
        <v/>
      </c>
      <c r="H25" s="79" t="n">
        <v/>
      </c>
      <c r="I25" s="78">
        <f>SUM(D25-C25, F25-E25, H25-G25)</f>
        <v/>
      </c>
      <c r="J25" s="80" t="inlineStr">
        <is>
          <t>OT # 175082. Ungumiatza, Izaje de estructura de 11R para restituir estructura en mal estado, empalme montado y regulado de LMV, se energiza y retorna a Yantzaza.</t>
        </is>
      </c>
      <c r="K25">
        <f>SUM((D25-C25)*1.5*24,(F25-E25)*1.5*24)</f>
        <v/>
      </c>
    </row>
    <row r="26" ht="17.35" customHeight="1" s="47">
      <c r="A26" s="72">
        <f>IF(B26&gt;0,PROPER(TEXT(B26,"dddd")),"")</f>
        <v/>
      </c>
      <c r="B26" s="77" t="n">
        <v>46133</v>
      </c>
      <c r="C26" s="78" t="n">
        <v>0.05347222222222222</v>
      </c>
      <c r="D26" s="79" t="n">
        <v>0.1368055555555556</v>
      </c>
      <c r="E26" s="78" t="n">
        <v/>
      </c>
      <c r="F26" s="79" t="n">
        <v/>
      </c>
      <c r="G26" s="78" t="n">
        <v/>
      </c>
      <c r="H26" s="79" t="n">
        <v/>
      </c>
      <c r="I26" s="78">
        <f>SUM(D26-C26, F26-E26, H26-G26)</f>
        <v/>
      </c>
      <c r="J26" s="80" t="inlineStr">
        <is>
          <t>OT # 175513. Panguitza, estructura 2674569 de alumbrado público impactada, vehículo desconocido, se informa, se retira luminarias dañadas.</t>
        </is>
      </c>
      <c r="K26">
        <f>SUM((D26-C26)*2.0*24)</f>
        <v/>
      </c>
    </row>
    <row r="27" ht="17.35" customHeight="1" s="47">
      <c r="A27" s="72">
        <f>IF(B27&gt;0,PROPER(TEXT(B27,"dddd")),"")</f>
        <v/>
      </c>
      <c r="B27" s="77" t="n">
        <v>46134</v>
      </c>
      <c r="C27" s="78" t="n">
        <v>0.7083333333333334</v>
      </c>
      <c r="D27" s="79" t="n">
        <v>0.8340277777777778</v>
      </c>
      <c r="E27" s="78" t="n">
        <v>0.8541666666666666</v>
      </c>
      <c r="F27" s="79" t="n">
        <v>0.9381944444444444</v>
      </c>
      <c r="G27" s="78" t="n">
        <v/>
      </c>
      <c r="H27" s="79" t="n">
        <v/>
      </c>
      <c r="I27" s="78">
        <f>SUM(D27-C27, F27-E27, H27-G27)</f>
        <v/>
      </c>
      <c r="J27" s="80" t="inlineStr">
        <is>
          <t>OT # 175521. La Florida, Med # 20222059011 se corrigen conexiones y rehabilita el servicio. Muchime, Med # 18-35227 se encuentra daño interno, se indica al cliente.</t>
        </is>
      </c>
      <c r="K27">
        <f>SUM((D27-C27)*1.5*24,(F27-E27)*1.5*24)</f>
        <v/>
      </c>
    </row>
    <row r="28" ht="17.35" customHeight="1" s="47">
      <c r="A28" s="72">
        <f>IF(B28&gt;0,PROPER(TEXT(B28,"dddd")),"")</f>
        <v/>
      </c>
      <c r="B28" s="77" t="n">
        <v>46135</v>
      </c>
      <c r="C28" s="78" t="n">
        <v>0.8506944444444444</v>
      </c>
      <c r="D28" s="79" t="n">
        <v>0.9180555555555555</v>
      </c>
      <c r="E28" s="78" t="n">
        <v/>
      </c>
      <c r="F28" s="79" t="n">
        <v/>
      </c>
      <c r="G28" s="78" t="n">
        <v/>
      </c>
      <c r="H28" s="79" t="n">
        <v/>
      </c>
      <c r="I28" s="78">
        <f>SUM(D28-C28, F28-E28, H28-G28)</f>
        <v/>
      </c>
      <c r="J28" s="80" t="inlineStr">
        <is>
          <t>OT # 175551. Quirigue, Med # 18-245941, se revisa RBV, se observa fuga de aceite, el trasformador se encuentra quemado SICAP 12727.</t>
        </is>
      </c>
      <c r="K28">
        <f>SUM((D28-C28)*1.5*24)</f>
        <v/>
      </c>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0.4805555555555556</v>
      </c>
      <c r="D30" s="79" t="n">
        <v>0.5138888888888888</v>
      </c>
      <c r="E30" s="78" t="n">
        <v/>
      </c>
      <c r="F30" s="79" t="n">
        <v/>
      </c>
      <c r="G30" s="78" t="n">
        <v/>
      </c>
      <c r="H30" s="79" t="n">
        <v/>
      </c>
      <c r="I30" s="78">
        <f>SUM(D30-C30, F30-E30, H30-G30)</f>
        <v/>
      </c>
      <c r="J30" s="80" t="inlineStr">
        <is>
          <t>OT # 175553. Barrio Norte, Med # 1000400554 en la Est 273878 caja de distribución pre ensamblado recalentado. Se limpia y se ajusta conexiones queda normal el servicio eléctrico.</t>
        </is>
      </c>
      <c r="K30">
        <f>SUM((D30-C30)*2.0*24)</f>
        <v/>
      </c>
    </row>
    <row r="31" ht="17.35" customHeight="1" s="47">
      <c r="A31" s="72">
        <f>IF(B31&gt;0,PROPER(TEXT(B31,"dddd")),"")</f>
        <v/>
      </c>
      <c r="B31" s="77" t="n">
        <v>46138</v>
      </c>
      <c r="C31" s="78" t="n">
        <v>0.5826388888888889</v>
      </c>
      <c r="D31" s="79" t="n">
        <v>0.6256944444444444</v>
      </c>
      <c r="E31" s="78" t="n">
        <v/>
      </c>
      <c r="F31" s="79" t="n">
        <v/>
      </c>
      <c r="G31" s="78" t="n">
        <v/>
      </c>
      <c r="H31" s="79" t="n">
        <v/>
      </c>
      <c r="I31" s="78">
        <f>SUM(D31-C31, F31-E31, H31-G31)</f>
        <v/>
      </c>
      <c r="J31" s="80" t="inlineStr">
        <is>
          <t>OT # 175554. Y de Chicaña, Med # 18-230935 se revisa LM/T, se encuentra una hoja de Guarumbo la estructura 272276, se corta vegetación, se cambia tira fusible de 20A-T</t>
        </is>
      </c>
      <c r="K31">
        <f>SUM((D31-C31)*2.0*24)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POMA GUAMAN LUIS ANTONIO</t>
        </is>
      </c>
      <c r="I2" s="53">
        <f>SUM(K6:K36)</f>
        <v/>
      </c>
      <c r="J2" s="54" t="inlineStr">
        <is>
          <t>TOTAL</t>
        </is>
      </c>
    </row>
    <row r="3" ht="18.75" customHeight="1" s="47">
      <c r="A3" s="55" t="inlineStr">
        <is>
          <t>Cuadrilla o Agencia:</t>
        </is>
      </c>
      <c r="B3" s="55" t="n"/>
      <c r="C3" s="55" t="n"/>
      <c r="D3" s="55" t="n"/>
      <c r="E3" s="56" t="n"/>
      <c r="F3" s="56" t="n"/>
      <c r="G3" s="56" t="n"/>
      <c r="H3" s="52" t="inlineStr">
        <is>
          <t>Agencia Yantzaza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0.7847222222222222</v>
      </c>
      <c r="D25" s="79" t="n">
        <v>0.9486111111111111</v>
      </c>
      <c r="E25" s="78" t="n">
        <v/>
      </c>
      <c r="F25" s="79" t="n">
        <v/>
      </c>
      <c r="G25" s="78" t="n">
        <v/>
      </c>
      <c r="H25" s="79" t="n">
        <v/>
      </c>
      <c r="I25" s="78">
        <f>SUM(D25-C25, F25-E25, H25-G25)</f>
        <v/>
      </c>
      <c r="J25" s="80" t="inlineStr">
        <is>
          <t>OT # 175502. Barrio Bolivar, Med # 233648 breaker en mal estado, se cambia y ajusta conexiones, queda normal. La Yona, Med # 29635 conexiones flojas, sin conectores talón, se ajusta conexiones queda normal. El Padmi, Med # 204107 se encuentra normal el servicio eléctrico, se llama al cliente y manifiesta que este servicio no lo están ocupando. Nankais, Med # 259070, acometida arrancada por maquinaria, se empalma Est 31656 queda normal.</t>
        </is>
      </c>
      <c r="K25">
        <f>SUM((D25-C25)*1.5*24)</f>
        <v/>
      </c>
    </row>
    <row r="26" ht="17.35" customHeight="1" s="47">
      <c r="A26" s="72">
        <f>IF(B26&gt;0,PROPER(TEXT(B26,"dddd")),"")</f>
        <v/>
      </c>
      <c r="B26" s="77" t="n">
        <v>46133</v>
      </c>
      <c r="C26" s="78" t="n">
        <v>0.05347222222222222</v>
      </c>
      <c r="D26" s="79" t="n">
        <v>0.1368055555555556</v>
      </c>
      <c r="E26" s="78" t="n">
        <v/>
      </c>
      <c r="F26" s="79" t="n">
        <v/>
      </c>
      <c r="G26" s="78" t="n">
        <v/>
      </c>
      <c r="H26" s="79" t="n">
        <v/>
      </c>
      <c r="I26" s="78">
        <f>SUM(D26-C26, F26-E26, H26-G26)</f>
        <v/>
      </c>
      <c r="J26" s="80" t="inlineStr">
        <is>
          <t>OT # 175513. Panguitza, estructura 2674569 de alumbrado público impactada, vehículo desconocido, se informa, se retira luminarias dañadas.</t>
        </is>
      </c>
      <c r="K26">
        <f>SUM((D26-C26)*2.0*24)</f>
        <v/>
      </c>
    </row>
    <row r="27" ht="17.35" customHeight="1" s="47">
      <c r="A27" s="72">
        <f>IF(B27&gt;0,PROPER(TEXT(B27,"dddd")),"")</f>
        <v/>
      </c>
      <c r="B27" s="77" t="n">
        <v>46134</v>
      </c>
      <c r="C27" s="78" t="n">
        <v>0.7083333333333334</v>
      </c>
      <c r="D27" s="79" t="n">
        <v>0.8340277777777778</v>
      </c>
      <c r="E27" s="78" t="n">
        <v>0.8541666666666666</v>
      </c>
      <c r="F27" s="79" t="n">
        <v>0.9381944444444444</v>
      </c>
      <c r="G27" s="78" t="n">
        <v/>
      </c>
      <c r="H27" s="79" t="n">
        <v/>
      </c>
      <c r="I27" s="78">
        <f>SUM(D27-C27, F27-E27, H27-G27)</f>
        <v/>
      </c>
      <c r="J27" s="80" t="inlineStr">
        <is>
          <t>OT # 175521. La Florida, Med # 20222059011 se corrigen conexiones y rehabilita el servicio. Muchime, Med # 18-35227 se encuentra daño interno, se indica al cliente.</t>
        </is>
      </c>
      <c r="K27">
        <f>SUM((D27-C27)*1.5*24,(F27-E27)*1.5*24)</f>
        <v/>
      </c>
    </row>
    <row r="28" ht="17.35" customHeight="1" s="47">
      <c r="A28" s="72">
        <f>IF(B28&gt;0,PROPER(TEXT(B28,"dddd")),"")</f>
        <v/>
      </c>
      <c r="B28" s="77" t="n">
        <v>46135</v>
      </c>
      <c r="C28" s="78" t="n">
        <v>0.8506944444444444</v>
      </c>
      <c r="D28" s="79" t="n">
        <v>0.9180555555555555</v>
      </c>
      <c r="E28" s="78" t="n">
        <v/>
      </c>
      <c r="F28" s="79" t="n">
        <v/>
      </c>
      <c r="G28" s="78" t="n">
        <v/>
      </c>
      <c r="H28" s="79" t="n">
        <v/>
      </c>
      <c r="I28" s="78">
        <f>SUM(D28-C28, F28-E28, H28-G28)</f>
        <v/>
      </c>
      <c r="J28" s="80" t="inlineStr">
        <is>
          <t>OT # 175551. Quirigue, Med # 18-245941, se revisa RBV, se observa fuga de aceite, el trasformador se encuentra quemado SICAP 12727.</t>
        </is>
      </c>
      <c r="K28">
        <f>SUM((D28-C28)*1.5*24)</f>
        <v/>
      </c>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0.4805555555555556</v>
      </c>
      <c r="D30" s="79" t="n">
        <v>0.5138888888888888</v>
      </c>
      <c r="E30" s="78" t="n">
        <v/>
      </c>
      <c r="F30" s="79" t="n">
        <v/>
      </c>
      <c r="G30" s="78" t="n">
        <v/>
      </c>
      <c r="H30" s="79" t="n">
        <v/>
      </c>
      <c r="I30" s="78">
        <f>SUM(D30-C30, F30-E30, H30-G30)</f>
        <v/>
      </c>
      <c r="J30" s="80" t="inlineStr">
        <is>
          <t>OT # 175553. Barrio Norte, Med # 1000400554 en la Est 273878 caja de distribución pre ensamblado recalentado. Se limpia y se ajusta conexiones queda normal el servicio eléctrico.</t>
        </is>
      </c>
      <c r="K30">
        <f>SUM((D30-C30)*2.0*24)</f>
        <v/>
      </c>
    </row>
    <row r="31" ht="17.35" customHeight="1" s="47">
      <c r="A31" s="72">
        <f>IF(B31&gt;0,PROPER(TEXT(B31,"dddd")),"")</f>
        <v/>
      </c>
      <c r="B31" s="77" t="n">
        <v>46138</v>
      </c>
      <c r="C31" s="78" t="n">
        <v>0.5826388888888889</v>
      </c>
      <c r="D31" s="79" t="n">
        <v>0.6256944444444444</v>
      </c>
      <c r="E31" s="78" t="n">
        <v/>
      </c>
      <c r="F31" s="79" t="n">
        <v/>
      </c>
      <c r="G31" s="78" t="n">
        <v/>
      </c>
      <c r="H31" s="79" t="n">
        <v/>
      </c>
      <c r="I31" s="78">
        <f>SUM(D31-C31, F31-E31, H31-G31)</f>
        <v/>
      </c>
      <c r="J31" s="80" t="inlineStr">
        <is>
          <t>OT # 175554. Y de Chicaña, Med # 18-230935 se revisa LM/T, se encuentra una hoja de Guarumbo la estructura 272276, se corta vegetación, se cambia tira fusible de 20A-T</t>
        </is>
      </c>
      <c r="K31">
        <f>SUM((D31-C31)*2.0*24)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No registrado</t>
        </is>
      </c>
      <c r="I2" s="53">
        <f>SUM(K6:K36)</f>
        <v/>
      </c>
      <c r="J2" s="54" t="inlineStr">
        <is>
          <t>TOTAL</t>
        </is>
      </c>
    </row>
    <row r="3" ht="18.75" customHeight="1" s="47">
      <c r="A3" s="55" t="inlineStr">
        <is>
          <t>Cuadrilla o Agencia:</t>
        </is>
      </c>
      <c r="B3" s="55" t="n"/>
      <c r="C3" s="55" t="n"/>
      <c r="D3" s="55" t="n"/>
      <c r="E3" s="56" t="n"/>
      <c r="F3" s="56" t="n"/>
      <c r="G3" s="56" t="n"/>
      <c r="H3" s="52" t="inlineStr">
        <is>
          <t>No registrado</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0.2708333333333333</v>
      </c>
      <c r="D6" s="75" t="n">
        <v>0.3333333333333333</v>
      </c>
      <c r="E6" s="74" t="n">
        <v>0.7083333333333334</v>
      </c>
      <c r="F6" s="75" t="n">
        <v>0.7708333333333334</v>
      </c>
      <c r="G6" s="74" t="n">
        <v/>
      </c>
      <c r="H6" s="75" t="n">
        <v/>
      </c>
      <c r="I6" s="74">
        <f>SUM(D6-C6, F6-E6, H6-G6)</f>
        <v/>
      </c>
      <c r="J6" s="76" t="inlineStr">
        <is>
          <t>OT # 173844. Se Coordina trabajos con jefe inmediato y centro de control, se realiza maniobras de mallado interno del Reconectador Las Peñas con Nueva Tarqui y Neutralizada de Reguladores Gualaquiza.</t>
        </is>
      </c>
      <c r="K6">
        <f>SUM((D6-C6)*1.5*24,(F6-E6)*1.5*24)</f>
        <v/>
      </c>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0.7083333333333334</v>
      </c>
      <c r="D11" s="79" t="n">
        <v>0.7708333333333334</v>
      </c>
      <c r="E11" s="78" t="n">
        <v/>
      </c>
      <c r="F11" s="79" t="n">
        <v/>
      </c>
      <c r="G11" s="78" t="n">
        <v/>
      </c>
      <c r="H11" s="79" t="n">
        <v/>
      </c>
      <c r="I11" s="78">
        <f>SUM(D11-C11, F11-E11, H11-G11)</f>
        <v/>
      </c>
      <c r="J11" s="80" t="inlineStr">
        <is>
          <t>OT # 174118. San Carlos de las Minas – Yantzaza. estructura 235766 se realiza inspección para instalación de un reconectador monofásico.</t>
        </is>
      </c>
      <c r="K11">
        <f>SUM((D11-C11)*1.5*24)</f>
        <v/>
      </c>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0.28125</v>
      </c>
      <c r="D20" s="79" t="n">
        <v>0.3333333333333333</v>
      </c>
      <c r="E20" s="78" t="n">
        <v>0.7083333333333334</v>
      </c>
      <c r="F20" s="79" t="n">
        <v>0.8125</v>
      </c>
      <c r="G20" s="78" t="n">
        <v/>
      </c>
      <c r="H20" s="79" t="n">
        <v/>
      </c>
      <c r="I20" s="78">
        <f>SUM(D20-C20, F20-E20, H20-G20)</f>
        <v/>
      </c>
      <c r="J20" s="80" t="inlineStr">
        <is>
          <t>OT # 174761. Yantzaza- Chuchumbleza. Chuchumbleza: Se coordina con centro de control se deshabilita recierre del Reconectador Santiago Paty y Recta El Pangui, se realiza maniobras de transferencia de carga.</t>
        </is>
      </c>
      <c r="K20">
        <f>SUM((D20-C20)*1.5*24,(F20-E20)*1.5*24)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0.7083333333333334</v>
      </c>
      <c r="D25" s="79" t="n">
        <v>0.75</v>
      </c>
      <c r="E25" s="78" t="n">
        <v/>
      </c>
      <c r="F25" s="79" t="n">
        <v/>
      </c>
      <c r="G25" s="78" t="n">
        <v/>
      </c>
      <c r="H25" s="79" t="n">
        <v/>
      </c>
      <c r="I25" s="78">
        <f>SUM(D25-C25, F25-E25, H25-G25)</f>
        <v/>
      </c>
      <c r="J25" s="80" t="inlineStr">
        <is>
          <t>OT # 175038. Chacumbleza: estructura 70397 - 193880 se cierra y abre puentes provisionales y se retira crucetas y linea así normalizando el sistema trabajos conjuntamente con el grupo de Edwin Poma. Laboran: LA, CB, RM, CO, SR de 08:00 a 18:00. Se pernota en el Pangui.</t>
        </is>
      </c>
      <c r="K25">
        <f>SUM((D25-C25)*1.5*24)</f>
        <v/>
      </c>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0.7083333333333334</v>
      </c>
      <c r="D27" s="79" t="n">
        <v>0.8680555555555556</v>
      </c>
      <c r="E27" s="78" t="n">
        <v/>
      </c>
      <c r="F27" s="79" t="n">
        <v/>
      </c>
      <c r="G27" s="78" t="n">
        <v/>
      </c>
      <c r="H27" s="79" t="n">
        <v/>
      </c>
      <c r="I27" s="78">
        <f>SUM(D27-C27, F27-E27, H27-G27)</f>
        <v/>
      </c>
      <c r="J27" s="80" t="inlineStr">
        <is>
          <t>OT # 175327. Chucumbleza: estructura 1980063 - 179767 se abre puentes de variante manofásica y se retira linea y se habilita recierre del reconectador Santiago Paty, trabajos conjuntamente con Grupo de Edwin Poma. Chucumbleza - Subestacion Yantzaza- Agencia Yantzaza. Laboran: LA,CB, RM, CO, SR de 08:00 a 20:50. Recorrido canasta 2-146: Inicial: 2506 FINAL: 2593</t>
        </is>
      </c>
      <c r="K27">
        <f>SUM((D27-C27)*1.5*24)</f>
        <v/>
      </c>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0.7395833333333334</v>
      </c>
      <c r="D29" s="79" t="n">
        <v>0.8472222222222222</v>
      </c>
      <c r="E29" s="78" t="n">
        <v/>
      </c>
      <c r="F29" s="79" t="n">
        <v/>
      </c>
      <c r="G29" s="78" t="n">
        <v/>
      </c>
      <c r="H29" s="79" t="n">
        <v/>
      </c>
      <c r="I29" s="78">
        <f>SUM(D29-C29, F29-E29, H29-G29)</f>
        <v/>
      </c>
      <c r="J29" s="80" t="inlineStr">
        <is>
          <t>OT # 175390. Chucumbleza:Se cierra Rec Chuchumbleza se mide secuencia de fase estructura 28533 cambio de pararrayo y cierre de puentes de puentes de media tensión, cierre de sec fusibles para normalizar el sistema. Chuchumbleza - Subestación Yantzaza - Agencia Yantzaza. Laboran: LA, CB, RM, CO, SR de 08:00 a 20:20. Kilometraje canasta 2-146: Inicial: 2630 final: 2790. Materiales: 6 conectores ranuras paralelas, 1 cruceta de 1.20m, pie amigo de 0,75, 1 perno U, 1 perno de 5/8 x 18nro10, 2 seccionadores barra vertical, 1 cruceta de 2,40, 2 pernos de 1/2 x 1 1/2¨".</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0.7083333333333334</v>
      </c>
      <c r="D32" s="79" t="n">
        <v>0.8333333333333334</v>
      </c>
      <c r="E32" s="78" t="n">
        <v/>
      </c>
      <c r="F32" s="79" t="n">
        <v/>
      </c>
      <c r="G32" s="78" t="n">
        <v/>
      </c>
      <c r="H32" s="79" t="n">
        <v/>
      </c>
      <c r="I32" s="78">
        <f>SUM(D32-C32, F32-E32, H32-G32)</f>
        <v/>
      </c>
      <c r="J32" s="80" t="inlineStr">
        <is>
          <t>OT # 175480. Gualaquiza: estructura S/N nuevas se coordina con centro de control realiza maniobras, se abre puentes para desenergizar un tramo de linea para cambio de estructura chocado. Yanzaza: estructura 303796 se coordina con centro de control se realiza el cambio de estructura chocado con LE trabajos coordinados con el Ing. Andreo Quezada. Laboran: LA, CB, RM, SR de 08:00 a 20:00. CO permiso cargo a vacaciones. SE PERNOTA EN GUALAQUIZA. KILOMETRAJE CANASTA 2-146: INICIAL: 2790 FINAL: 2892 MATERIALES : 2 AISLADORES ROLLO. TIEMPO POR DESMONTAJE DE FIBRAS: 1 HORA POR CAMBIO DE POSTE CHOCADO.</t>
        </is>
      </c>
      <c r="K32">
        <f>SUM((D32-C32)*1.5*24)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AMARI ORDONEZ JUNIOR IVAN</t>
        </is>
      </c>
      <c r="I2" s="53">
        <f>SUM(K6:K36)</f>
        <v/>
      </c>
      <c r="J2" s="54" t="inlineStr">
        <is>
          <t>TOTAL</t>
        </is>
      </c>
    </row>
    <row r="3" ht="18.75" customHeight="1" s="47">
      <c r="A3" s="55" t="inlineStr">
        <is>
          <t>Cuadrilla o Agencia:</t>
        </is>
      </c>
      <c r="B3" s="55" t="n"/>
      <c r="C3" s="55" t="n"/>
      <c r="D3" s="55" t="n"/>
      <c r="E3" s="56" t="n"/>
      <c r="F3" s="56" t="n"/>
      <c r="G3" s="56" t="n"/>
      <c r="H3" s="52" t="inlineStr">
        <is>
          <t>Cuadrilla Paquisha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0.4319444444444445</v>
      </c>
      <c r="D9" s="79" t="n">
        <v>0.4756944444444444</v>
      </c>
      <c r="E9" s="78" t="n">
        <v/>
      </c>
      <c r="F9" s="79" t="n">
        <v/>
      </c>
      <c r="G9" s="78" t="n">
        <v/>
      </c>
      <c r="H9" s="79" t="n">
        <v/>
      </c>
      <c r="I9" s="78">
        <f>SUM(D9-C9, F9-E9, H9-G9)</f>
        <v/>
      </c>
      <c r="J9" s="80" t="inlineStr">
        <is>
          <t>OT # 174048. Natenza, Est 32476 se revisa Med # 18-213414 se cambia el breaker en mal estado quedando normal</t>
        </is>
      </c>
      <c r="K9">
        <f>SUM((D9-C9)*2.0*24)</f>
        <v/>
      </c>
    </row>
    <row r="10" ht="17.35" customHeight="1" s="47">
      <c r="A10" s="72">
        <f>IF(B10&gt;0,PROPER(TEXT(B10,"dddd")),"")</f>
        <v/>
      </c>
      <c r="B10" s="77" t="n">
        <v>46117</v>
      </c>
      <c r="C10" s="78" t="n">
        <v>0.6381944444444444</v>
      </c>
      <c r="D10" s="79" t="n">
        <v>0.6881944444444444</v>
      </c>
      <c r="E10" s="78" t="n">
        <v/>
      </c>
      <c r="F10" s="79" t="n">
        <v/>
      </c>
      <c r="G10" s="78" t="n">
        <v/>
      </c>
      <c r="H10" s="79" t="n">
        <v/>
      </c>
      <c r="I10" s="78">
        <f>SUM(D10-C10, F10-E10, H10-G10)</f>
        <v/>
      </c>
      <c r="J10" s="80" t="inlineStr">
        <is>
          <t>OT # 174127. Cuje, se revisa las derivaciones en MV en la estructura 29135 y 289546 y se encuentran normal, no es posible contactar con la persona que reporta el reclamo.</t>
        </is>
      </c>
      <c r="K10">
        <f>SUM((D10-C10)*2.0*24)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0.7083333333333334</v>
      </c>
      <c r="D14" s="79" t="n">
        <v>0.8125</v>
      </c>
      <c r="E14" s="78" t="n">
        <v/>
      </c>
      <c r="F14" s="79" t="n">
        <v/>
      </c>
      <c r="G14" s="78" t="n">
        <v/>
      </c>
      <c r="H14" s="79" t="n">
        <v/>
      </c>
      <c r="I14" s="78">
        <f>SUM(D14-C14, F14-E14, H14-G14)</f>
        <v/>
      </c>
      <c r="J14" s="80" t="inlineStr">
        <is>
          <t>OT # 174423. Santa Elena, Est 34357 Trafo 14444 bloqueado, se revisa y se encuentra cortocircuito interno en el Med # 270991, se aísla la falla y se reconecta el transformador</t>
        </is>
      </c>
      <c r="K14">
        <f>SUM((D14-C14)*1.5*24)</f>
        <v/>
      </c>
    </row>
    <row r="15" ht="17.35" customHeight="1" s="47">
      <c r="A15" s="72">
        <f>IF(B15&gt;0,PROPER(TEXT(B15,"dddd")),"")</f>
        <v/>
      </c>
      <c r="B15" s="77" t="n">
        <v>46122</v>
      </c>
      <c r="C15" s="78" t="n">
        <v>0.25</v>
      </c>
      <c r="D15" s="79" t="n">
        <v>0.3333333333333333</v>
      </c>
      <c r="E15" s="78" t="n">
        <v>0.7083333333333334</v>
      </c>
      <c r="F15" s="79" t="n">
        <v>0.75</v>
      </c>
      <c r="G15" s="78" t="n">
        <v/>
      </c>
      <c r="H15" s="79" t="n">
        <v/>
      </c>
      <c r="I15" s="78">
        <f>SUM(D15-C15, F15-E15, H15-G15)</f>
        <v/>
      </c>
      <c r="J15" s="80" t="inlineStr">
        <is>
          <t>OT # 174471. Guaysimi, se recoge a los compañeros de la cuadrilla de Guaysimi, Traslado a El Miasi atención de daños</t>
        </is>
      </c>
      <c r="K15">
        <f>SUM((D15-C15)*1.5*24,(F15-E15)*1.5*24)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0.2916666666666667</v>
      </c>
      <c r="D20" s="79" t="n">
        <v>0.3333333333333333</v>
      </c>
      <c r="E20" s="78" t="n">
        <v>0.7083333333333334</v>
      </c>
      <c r="F20" s="79" t="n">
        <v>0.7916666666666666</v>
      </c>
      <c r="G20" s="78" t="n">
        <v/>
      </c>
      <c r="H20" s="79" t="n">
        <v/>
      </c>
      <c r="I20" s="78">
        <f>SUM(D20-C20, F20-E20, H20-G20)</f>
        <v/>
      </c>
      <c r="J20" s="80" t="inlineStr">
        <is>
          <t xml:space="preserve">OT # 174770. Traslado a Mariposa – Alto Nangaritza, atención de daños LMV arrancada. </t>
        </is>
      </c>
      <c r="K20">
        <f>SUM((D20-C20)*1.5*24,(F20-E20)*1.5*24)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0.3375</v>
      </c>
      <c r="D23" s="79" t="n">
        <v>0.4951388888888889</v>
      </c>
      <c r="E23" s="78" t="n">
        <v/>
      </c>
      <c r="F23" s="79" t="n">
        <v/>
      </c>
      <c r="G23" s="78" t="n">
        <v/>
      </c>
      <c r="H23" s="79" t="n">
        <v/>
      </c>
      <c r="I23" s="78">
        <f>SUM(D23-C23, F23-E23, H23-G23)</f>
        <v/>
      </c>
      <c r="J23" s="80" t="inlineStr">
        <is>
          <t>OT # 174999. Conguime, Est 34615 se arregla LMV arrancada por maquinaria, quedando normal el servicio eléctrico. Paquisha, Est 29691 Trafo 11499 se encuentra puentes del Med # 18-209151 en mal estado, se reconecta el breaker del Trafo</t>
        </is>
      </c>
      <c r="K23">
        <f>SUM((D23-C23)*2.0*24)</f>
        <v/>
      </c>
    </row>
    <row r="24" ht="17.35" customHeight="1" s="47">
      <c r="A24" s="72">
        <f>IF(B24&gt;0,PROPER(TEXT(B24,"dddd")),"")</f>
        <v/>
      </c>
      <c r="B24" s="77" t="n">
        <v>46131</v>
      </c>
      <c r="C24" s="78" t="n">
        <v>0.74375</v>
      </c>
      <c r="D24" s="79" t="n">
        <v>0.7881944444444444</v>
      </c>
      <c r="E24" s="78" t="n">
        <v/>
      </c>
      <c r="F24" s="79" t="n">
        <v/>
      </c>
      <c r="G24" s="78" t="n">
        <v/>
      </c>
      <c r="H24" s="79" t="n">
        <v/>
      </c>
      <c r="I24" s="78">
        <f>SUM(D24-C24, F24-E24, H24-G24)</f>
        <v/>
      </c>
      <c r="J24" s="80" t="inlineStr">
        <is>
          <t>OT # 175039. San Antonio de Natenza, Est 63047 Trafo 24469 se reconecta normal; Causa: desconocida</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SAMANIEGO INIGUEZ MAURO CRISTOBAL</t>
        </is>
      </c>
      <c r="I2" s="53">
        <f>SUM(K6:K36)</f>
        <v/>
      </c>
      <c r="J2" s="54" t="inlineStr">
        <is>
          <t>TOTAL</t>
        </is>
      </c>
    </row>
    <row r="3" ht="18.75" customHeight="1" s="47">
      <c r="A3" s="55" t="inlineStr">
        <is>
          <t>Cuadrilla o Agencia:</t>
        </is>
      </c>
      <c r="B3" s="55" t="n"/>
      <c r="C3" s="55" t="n"/>
      <c r="D3" s="55" t="n"/>
      <c r="E3" s="56" t="n"/>
      <c r="F3" s="56" t="n"/>
      <c r="G3" s="56" t="n"/>
      <c r="H3" s="52" t="inlineStr">
        <is>
          <t>Cuadrilla Paquisha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0.4319444444444445</v>
      </c>
      <c r="D9" s="79" t="n">
        <v>0.4756944444444444</v>
      </c>
      <c r="E9" s="78" t="n">
        <v/>
      </c>
      <c r="F9" s="79" t="n">
        <v/>
      </c>
      <c r="G9" s="78" t="n">
        <v/>
      </c>
      <c r="H9" s="79" t="n">
        <v/>
      </c>
      <c r="I9" s="78">
        <f>SUM(D9-C9, F9-E9, H9-G9)</f>
        <v/>
      </c>
      <c r="J9" s="80" t="inlineStr">
        <is>
          <t>OT # 174048. Natenza, Est 32476 se revisa Med # 18-213414 se cambia el breaker en mal estado quedando normal</t>
        </is>
      </c>
      <c r="K9">
        <f>SUM((D9-C9)*2.0*24)</f>
        <v/>
      </c>
    </row>
    <row r="10" ht="17.35" customHeight="1" s="47">
      <c r="A10" s="72">
        <f>IF(B10&gt;0,PROPER(TEXT(B10,"dddd")),"")</f>
        <v/>
      </c>
      <c r="B10" s="77" t="n">
        <v>46117</v>
      </c>
      <c r="C10" s="78" t="n">
        <v>0.6381944444444444</v>
      </c>
      <c r="D10" s="79" t="n">
        <v>0.6881944444444444</v>
      </c>
      <c r="E10" s="78" t="n">
        <v/>
      </c>
      <c r="F10" s="79" t="n">
        <v/>
      </c>
      <c r="G10" s="78" t="n">
        <v/>
      </c>
      <c r="H10" s="79" t="n">
        <v/>
      </c>
      <c r="I10" s="78">
        <f>SUM(D10-C10, F10-E10, H10-G10)</f>
        <v/>
      </c>
      <c r="J10" s="80" t="inlineStr">
        <is>
          <t>OT # 174127. Cuje, se revisa las derivaciones en MV en la estructura 29135 y 289546 y se encuentran normal, no es posible contactar con la persona que reporta el reclamo.</t>
        </is>
      </c>
      <c r="K10">
        <f>SUM((D10-C10)*2.0*24)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0.7083333333333334</v>
      </c>
      <c r="D14" s="79" t="n">
        <v>0.8125</v>
      </c>
      <c r="E14" s="78" t="n">
        <v/>
      </c>
      <c r="F14" s="79" t="n">
        <v/>
      </c>
      <c r="G14" s="78" t="n">
        <v/>
      </c>
      <c r="H14" s="79" t="n">
        <v/>
      </c>
      <c r="I14" s="78">
        <f>SUM(D14-C14, F14-E14, H14-G14)</f>
        <v/>
      </c>
      <c r="J14" s="80" t="inlineStr">
        <is>
          <t>OT # 174423. Santa Elena, Est 34357 Trafo 14444 bloqueado, se revisa y se encuentra cortocircuito interno en el Med # 270991, se aísla la falla y se reconecta el transformador</t>
        </is>
      </c>
      <c r="K14">
        <f>SUM((D14-C14)*1.5*24)</f>
        <v/>
      </c>
    </row>
    <row r="15" ht="17.35" customHeight="1" s="47">
      <c r="A15" s="72">
        <f>IF(B15&gt;0,PROPER(TEXT(B15,"dddd")),"")</f>
        <v/>
      </c>
      <c r="B15" s="77" t="n">
        <v>46122</v>
      </c>
      <c r="C15" s="78" t="n">
        <v>0.25</v>
      </c>
      <c r="D15" s="79" t="n">
        <v>0.3333333333333333</v>
      </c>
      <c r="E15" s="78" t="n">
        <v>0.7083333333333334</v>
      </c>
      <c r="F15" s="79" t="n">
        <v>0.75</v>
      </c>
      <c r="G15" s="78" t="n">
        <v/>
      </c>
      <c r="H15" s="79" t="n">
        <v/>
      </c>
      <c r="I15" s="78">
        <f>SUM(D15-C15, F15-E15, H15-G15)</f>
        <v/>
      </c>
      <c r="J15" s="80" t="inlineStr">
        <is>
          <t>OT # 174471. Guaysimi, se recoge a los compañeros de la cuadrilla de Guaysimi, Traslado a El Miasi atención de daños</t>
        </is>
      </c>
      <c r="K15">
        <f>SUM((D15-C15)*1.5*24,(F15-E15)*1.5*24)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0.2916666666666667</v>
      </c>
      <c r="D20" s="79" t="n">
        <v>0.3333333333333333</v>
      </c>
      <c r="E20" s="78" t="n">
        <v>0.7083333333333334</v>
      </c>
      <c r="F20" s="79" t="n">
        <v>0.7916666666666666</v>
      </c>
      <c r="G20" s="78" t="n">
        <v/>
      </c>
      <c r="H20" s="79" t="n">
        <v/>
      </c>
      <c r="I20" s="78">
        <f>SUM(D20-C20, F20-E20, H20-G20)</f>
        <v/>
      </c>
      <c r="J20" s="80" t="inlineStr">
        <is>
          <t xml:space="preserve">OT # 174770. Traslado a Mariposa – Alto Nangaritza, atención de daños LMV arrancada. </t>
        </is>
      </c>
      <c r="K20">
        <f>SUM((D20-C20)*1.5*24,(F20-E20)*1.5*24)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0.3375</v>
      </c>
      <c r="D23" s="79" t="n">
        <v>0.4951388888888889</v>
      </c>
      <c r="E23" s="78" t="n">
        <v/>
      </c>
      <c r="F23" s="79" t="n">
        <v/>
      </c>
      <c r="G23" s="78" t="n">
        <v/>
      </c>
      <c r="H23" s="79" t="n">
        <v/>
      </c>
      <c r="I23" s="78">
        <f>SUM(D23-C23, F23-E23, H23-G23)</f>
        <v/>
      </c>
      <c r="J23" s="80" t="inlineStr">
        <is>
          <t>OT # 174999. Conguime, Est 34615 se arregla LMV arrancada por maquinaria, quedando normal el servicio eléctrico. Paquisha, Est 29691 Trafo 11499 se encuentra puentes del Med # 18-209151 en mal estado, se reconecta el breaker del Trafo</t>
        </is>
      </c>
      <c r="K23">
        <f>SUM((D23-C23)*2.0*24)</f>
        <v/>
      </c>
    </row>
    <row r="24" ht="17.35" customHeight="1" s="47">
      <c r="A24" s="72">
        <f>IF(B24&gt;0,PROPER(TEXT(B24,"dddd")),"")</f>
        <v/>
      </c>
      <c r="B24" s="77" t="n">
        <v>46131</v>
      </c>
      <c r="C24" s="78" t="n">
        <v>0.74375</v>
      </c>
      <c r="D24" s="79" t="n">
        <v>0.7881944444444444</v>
      </c>
      <c r="E24" s="78" t="n">
        <v/>
      </c>
      <c r="F24" s="79" t="n">
        <v/>
      </c>
      <c r="G24" s="78" t="n">
        <v/>
      </c>
      <c r="H24" s="79" t="n">
        <v/>
      </c>
      <c r="I24" s="78">
        <f>SUM(D24-C24, F24-E24, H24-G24)</f>
        <v/>
      </c>
      <c r="J24" s="80" t="inlineStr">
        <is>
          <t>OT # 175039. San Antonio de Natenza, Est 63047 Trafo 24469 se reconecta normal; Causa: desconocida</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0.8305555555555556</v>
      </c>
      <c r="D28" s="79" t="n">
        <v>0.8965277777777778</v>
      </c>
      <c r="E28" s="78" t="n">
        <v/>
      </c>
      <c r="F28" s="79" t="n">
        <v/>
      </c>
      <c r="G28" s="78" t="n">
        <v/>
      </c>
      <c r="H28" s="79" t="n">
        <v/>
      </c>
      <c r="I28" s="78">
        <f>SUM(D28-C28, F28-E28, H28-G28)</f>
        <v/>
      </c>
      <c r="J28" s="80" t="inlineStr">
        <is>
          <t>OT # 175382. El Milagro, Est 32658 se recorre LMV hasta 32696, sin novedad; Se repone tirafusible de 6A-T, se reestablece el servicio.</t>
        </is>
      </c>
      <c r="K28">
        <f>SUM((D28-C28)*1.5*24)</f>
        <v/>
      </c>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0.8854166666666666</v>
      </c>
      <c r="D32" s="79" t="n">
        <v>0.9993055555555556</v>
      </c>
      <c r="E32" s="78" t="n">
        <v/>
      </c>
      <c r="F32" s="79" t="n">
        <v/>
      </c>
      <c r="G32" s="78" t="n">
        <v/>
      </c>
      <c r="H32" s="79" t="n">
        <v/>
      </c>
      <c r="I32" s="78">
        <f>SUM(D32-C32, F32-E32, H32-G32)</f>
        <v/>
      </c>
      <c r="J32" s="80" t="inlineStr">
        <is>
          <t>OT # 175565. Por comunicado del Ing., Ernesto Palacios se sale atender una incidencia sin SE un sector de Yantzaza, informa el Sr. Celso Ortiz, Traslado a Yantzaza Se llega la lugar y en la estructura 268537 se encuentra el Trafo 16229 de 50KVA bloqueado se revisa la red de BV y se encuentra la red arrancada, se empalma, regula y tensa la red y se reconecta el Breaker del Trafo quedando normal el servicio eléctrico Traslado a la Bodega de Paquisha</t>
        </is>
      </c>
      <c r="K32">
        <f>SUM((D32-C32)*1.5*24)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GRANDA MORALES DANIEL ALEJANDRO</t>
        </is>
      </c>
      <c r="I2" s="53">
        <f>SUM(K6:K36)</f>
        <v/>
      </c>
      <c r="J2" s="54" t="inlineStr">
        <is>
          <t>TOTAL</t>
        </is>
      </c>
    </row>
    <row r="3" ht="18.75" customHeight="1" s="47">
      <c r="A3" s="55" t="inlineStr">
        <is>
          <t>Cuadrilla o Agencia:</t>
        </is>
      </c>
      <c r="B3" s="55" t="n"/>
      <c r="C3" s="55" t="n"/>
      <c r="D3" s="55" t="n"/>
      <c r="E3" s="56" t="n"/>
      <c r="F3" s="56" t="n"/>
      <c r="G3" s="56" t="n"/>
      <c r="H3" s="52" t="inlineStr">
        <is>
          <t>Cuadrilla Paquisha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0.7083333333333334</v>
      </c>
      <c r="D14" s="79" t="n">
        <v>0.8125</v>
      </c>
      <c r="E14" s="78" t="n">
        <v/>
      </c>
      <c r="F14" s="79" t="n">
        <v/>
      </c>
      <c r="G14" s="78" t="n">
        <v/>
      </c>
      <c r="H14" s="79" t="n">
        <v/>
      </c>
      <c r="I14" s="78">
        <f>SUM(D14-C14, F14-E14, H14-G14)</f>
        <v/>
      </c>
      <c r="J14" s="80" t="inlineStr">
        <is>
          <t>OT # 174423. Santa Elena, Est 34357 Trafo 14444 bloqueado, se revisa y se encuentra cortocircuito interno en el Med # 270991, se aísla la falla y se reconecta el transformador</t>
        </is>
      </c>
      <c r="K14">
        <f>SUM((D14-C14)*1.5*24)</f>
        <v/>
      </c>
    </row>
    <row r="15" ht="17.35" customHeight="1" s="47">
      <c r="A15" s="72">
        <f>IF(B15&gt;0,PROPER(TEXT(B15,"dddd")),"")</f>
        <v/>
      </c>
      <c r="B15" s="77" t="n">
        <v>46122</v>
      </c>
      <c r="C15" s="78" t="n">
        <v>0.25</v>
      </c>
      <c r="D15" s="79" t="n">
        <v>0.3333333333333333</v>
      </c>
      <c r="E15" s="78" t="n">
        <v>0.7083333333333334</v>
      </c>
      <c r="F15" s="79" t="n">
        <v>0.75</v>
      </c>
      <c r="G15" s="78" t="n">
        <v/>
      </c>
      <c r="H15" s="79" t="n">
        <v/>
      </c>
      <c r="I15" s="78">
        <f>SUM(D15-C15, F15-E15, H15-G15)</f>
        <v/>
      </c>
      <c r="J15" s="80" t="inlineStr">
        <is>
          <t>OT # 174471. Guaysimi, se recoge a los compañeros de la cuadrilla de Guaysimi, Traslado a El Miasi atención de daños</t>
        </is>
      </c>
      <c r="K15">
        <f>SUM((D15-C15)*1.5*24,(F15-E15)*1.5*24)</f>
        <v/>
      </c>
    </row>
    <row r="16" ht="17.35" customHeight="1" s="47">
      <c r="A16" s="72">
        <f>IF(B16&gt;0,PROPER(TEXT(B16,"dddd")),"")</f>
        <v/>
      </c>
      <c r="B16" s="77" t="n">
        <v>46123</v>
      </c>
      <c r="C16" s="78" t="n">
        <v>0.55625</v>
      </c>
      <c r="D16" s="79" t="n">
        <v>0.7097222222222223</v>
      </c>
      <c r="E16" s="78" t="n">
        <v/>
      </c>
      <c r="F16" s="79" t="n">
        <v/>
      </c>
      <c r="G16" s="78" t="n">
        <v/>
      </c>
      <c r="H16" s="79" t="n">
        <v/>
      </c>
      <c r="I16" s="78">
        <f>SUM(D16-C16, F16-E16, H16-G16)</f>
        <v/>
      </c>
      <c r="J16" s="80" t="inlineStr">
        <is>
          <t>OT # 174548. Yantzaza, Est 273881, se encuentra caja de distribución de RBV en malas condiciones, se cambia fase de acometida. San Francisco, Est 244982, acometida del Med # 18-226698 se cambia 5m, se rehabilita trafo # 13622</t>
        </is>
      </c>
      <c r="K16">
        <f>SUM((D16-C16)*2.0*24)</f>
        <v/>
      </c>
    </row>
    <row r="17" ht="17.35" customHeight="1" s="47">
      <c r="A17" s="72">
        <f>IF(B17&gt;0,PROPER(TEXT(B17,"dddd")),"")</f>
        <v/>
      </c>
      <c r="B17" s="77" t="n">
        <v>46124</v>
      </c>
      <c r="C17" s="78" t="n">
        <v>0.5861111111111111</v>
      </c>
      <c r="D17" s="79" t="n">
        <v>0.6826388888888889</v>
      </c>
      <c r="E17" s="78" t="n">
        <v/>
      </c>
      <c r="F17" s="79" t="n">
        <v/>
      </c>
      <c r="G17" s="78" t="n">
        <v/>
      </c>
      <c r="H17" s="79" t="n">
        <v/>
      </c>
      <c r="I17" s="78">
        <f>SUM(D17-C17, F17-E17, H17-G17)</f>
        <v/>
      </c>
      <c r="J17" s="80" t="inlineStr">
        <is>
          <t>OT # 174581. San Luis, Est 270680 , se rehabilita transformador 24432; Causa: Sobrecarga. Zumbi, Med # 18-215893, se encuentra puentes y conector en malas condiciones, se corrige en cable preensamblado.</t>
        </is>
      </c>
      <c r="K17">
        <f>SUM((D17-C17)*2.0*24)</f>
        <v/>
      </c>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0.2916666666666667</v>
      </c>
      <c r="D20" s="79" t="n">
        <v>0.3333333333333333</v>
      </c>
      <c r="E20" s="78" t="n">
        <v>0.7083333333333334</v>
      </c>
      <c r="F20" s="79" t="n">
        <v>0.7916666666666666</v>
      </c>
      <c r="G20" s="78" t="n">
        <v/>
      </c>
      <c r="H20" s="79" t="n">
        <v/>
      </c>
      <c r="I20" s="78">
        <f>SUM(D20-C20, F20-E20, H20-G20)</f>
        <v/>
      </c>
      <c r="J20" s="80" t="inlineStr">
        <is>
          <t xml:space="preserve">OT # 174770. Traslado a Mariposa – Alto Nangaritza, atención de daños LMV arrancada. </t>
        </is>
      </c>
      <c r="K20">
        <f>SUM((D20-C20)*1.5*24,(F20-E20)*1.5*24)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0.8305555555555556</v>
      </c>
      <c r="D28" s="79" t="n">
        <v>0.8965277777777778</v>
      </c>
      <c r="E28" s="78" t="n">
        <v/>
      </c>
      <c r="F28" s="79" t="n">
        <v/>
      </c>
      <c r="G28" s="78" t="n">
        <v/>
      </c>
      <c r="H28" s="79" t="n">
        <v/>
      </c>
      <c r="I28" s="78">
        <f>SUM(D28-C28, F28-E28, H28-G28)</f>
        <v/>
      </c>
      <c r="J28" s="80" t="inlineStr">
        <is>
          <t>OT # 175382. El Milagro, Est 32658 se recorre LMV hasta 32696, sin novedad; Se repone tirafusible de 6A-T, se reestablece el servicio.</t>
        </is>
      </c>
      <c r="K28">
        <f>SUM((D28-C28)*1.5*24)</f>
        <v/>
      </c>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0.6638888888888889</v>
      </c>
      <c r="D30" s="79" t="n">
        <v>0.875</v>
      </c>
      <c r="E30" s="78" t="n">
        <v/>
      </c>
      <c r="F30" s="79" t="n">
        <v/>
      </c>
      <c r="G30" s="78" t="n">
        <v/>
      </c>
      <c r="H30" s="79" t="n">
        <v/>
      </c>
      <c r="I30" s="78">
        <f>SUM(D30-C30, F30-E30, H30-G30)</f>
        <v/>
      </c>
      <c r="J30" s="80" t="inlineStr">
        <is>
          <t>OT # 175505. Santa Cecilia, Est 34653, se recorre hasta Est 245424, sin novedad; Se repone tirafusible de 6A-T se reestablece el servicio. Guanwintza, Est 34643 Med #1262554 árbol desplomado sobre la acometida, desbroce de vegetación, se empalma 2m de triplex, se rehabilita trafo 15268.</t>
        </is>
      </c>
      <c r="K30">
        <f>SUM((D30-C30)*2.0*24)</f>
        <v/>
      </c>
    </row>
    <row r="31" ht="17.35" customHeight="1" s="47">
      <c r="A31" s="72">
        <f>IF(B31&gt;0,PROPER(TEXT(B31,"dddd")),"")</f>
        <v/>
      </c>
      <c r="B31" s="77" t="n">
        <v>46138</v>
      </c>
      <c r="C31" s="78" t="n">
        <v>0.5784722222222223</v>
      </c>
      <c r="D31" s="79" t="n">
        <v>0.6465277777777778</v>
      </c>
      <c r="E31" s="78" t="n">
        <v/>
      </c>
      <c r="F31" s="79" t="n">
        <v/>
      </c>
      <c r="G31" s="78" t="n">
        <v/>
      </c>
      <c r="H31" s="79" t="n">
        <v/>
      </c>
      <c r="I31" s="78">
        <f>SUM(D31-C31, F31-E31, H31-G31)</f>
        <v/>
      </c>
      <c r="J31" s="80" t="inlineStr">
        <is>
          <t>OT # 175511. Santa Cecilia, se camina a la estructura 34657 (20min), mediciones de voltaje se encuentra transformador 11778 de 3 KVA en mal estado, se planifica cambio.</t>
        </is>
      </c>
      <c r="K31">
        <f>SUM((D31-C31)*2.0*24)</f>
        <v/>
      </c>
    </row>
    <row r="32" ht="17.35" customHeight="1" s="47">
      <c r="A32" s="72">
        <f>IF(B32&gt;0,PROPER(TEXT(B32,"dddd")),"")</f>
        <v/>
      </c>
      <c r="B32" s="77" t="n">
        <v>46139</v>
      </c>
      <c r="C32" s="78" t="n">
        <v>0.8854166666666666</v>
      </c>
      <c r="D32" s="79" t="n">
        <v>0.9993055555555556</v>
      </c>
      <c r="E32" s="78" t="n">
        <v/>
      </c>
      <c r="F32" s="79" t="n">
        <v/>
      </c>
      <c r="G32" s="78" t="n">
        <v/>
      </c>
      <c r="H32" s="79" t="n">
        <v/>
      </c>
      <c r="I32" s="78">
        <f>SUM(D32-C32, F32-E32, H32-G32)</f>
        <v/>
      </c>
      <c r="J32" s="80" t="inlineStr">
        <is>
          <t>OT # 175565. Por comunicado del Ing., Ernesto Palacios se sale atender una incidencia sin SE un sector de Yantzaza, informa el Sr. Celso Ortiz, Traslado a Yantzaza Se llega la lugar y en la estructura 268537 se encuentra el Trafo 16229 de 50KVA bloqueado se revisa la red de BV y se encuentra la red arrancada, se empalma, regula y tensa la red y se reconecta el Breaker del Trafo quedando normal el servicio eléctrico Traslado a la Bodega de Paquisha</t>
        </is>
      </c>
      <c r="K32">
        <f>SUM((D32-C32)*1.5*24)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JARAMILLO PINTA JORGE JOVANNY</t>
        </is>
      </c>
      <c r="I2" s="53">
        <f>SUM(K6:K36)</f>
        <v/>
      </c>
      <c r="J2" s="54" t="inlineStr">
        <is>
          <t>TOTAL</t>
        </is>
      </c>
    </row>
    <row r="3" ht="18.75" customHeight="1" s="47">
      <c r="A3" s="55" t="inlineStr">
        <is>
          <t>Cuadrilla o Agencia:</t>
        </is>
      </c>
      <c r="B3" s="55" t="n"/>
      <c r="C3" s="55" t="n"/>
      <c r="D3" s="55" t="n"/>
      <c r="E3" s="56" t="n"/>
      <c r="F3" s="56" t="n"/>
      <c r="G3" s="56" t="n"/>
      <c r="H3" s="52" t="inlineStr">
        <is>
          <t>Cuadrilla Paquisha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0.7083333333333334</v>
      </c>
      <c r="D14" s="79" t="n">
        <v>0.8125</v>
      </c>
      <c r="E14" s="78" t="n">
        <v/>
      </c>
      <c r="F14" s="79" t="n">
        <v/>
      </c>
      <c r="G14" s="78" t="n">
        <v/>
      </c>
      <c r="H14" s="79" t="n">
        <v/>
      </c>
      <c r="I14" s="78">
        <f>SUM(D14-C14, F14-E14, H14-G14)</f>
        <v/>
      </c>
      <c r="J14" s="80" t="inlineStr">
        <is>
          <t>OT # 174423. Santa Elena, Est 34357 Trafo 14444 bloqueado, se revisa y se encuentra cortocircuito interno en el Med # 270991, se aísla la falla y se reconecta el transformador</t>
        </is>
      </c>
      <c r="K14">
        <f>SUM((D14-C14)*1.5*24)</f>
        <v/>
      </c>
    </row>
    <row r="15" ht="17.35" customHeight="1" s="47">
      <c r="A15" s="72">
        <f>IF(B15&gt;0,PROPER(TEXT(B15,"dddd")),"")</f>
        <v/>
      </c>
      <c r="B15" s="77" t="n">
        <v>46122</v>
      </c>
      <c r="C15" s="78" t="n">
        <v>0.25</v>
      </c>
      <c r="D15" s="79" t="n">
        <v>0.3333333333333333</v>
      </c>
      <c r="E15" s="78" t="n">
        <v>0.7083333333333334</v>
      </c>
      <c r="F15" s="79" t="n">
        <v>0.75</v>
      </c>
      <c r="G15" s="78" t="n">
        <v/>
      </c>
      <c r="H15" s="79" t="n">
        <v/>
      </c>
      <c r="I15" s="78">
        <f>SUM(D15-C15, F15-E15, H15-G15)</f>
        <v/>
      </c>
      <c r="J15" s="80" t="inlineStr">
        <is>
          <t>OT # 174471. Guaysimi, se recoge a los compañeros de la cuadrilla de Guaysimi, Traslado a El Miasi atención de daños</t>
        </is>
      </c>
      <c r="K15">
        <f>SUM((D15-C15)*1.5*24,(F15-E15)*1.5*24)</f>
        <v/>
      </c>
    </row>
    <row r="16" ht="17.35" customHeight="1" s="47">
      <c r="A16" s="72">
        <f>IF(B16&gt;0,PROPER(TEXT(B16,"dddd")),"")</f>
        <v/>
      </c>
      <c r="B16" s="77" t="n">
        <v>46123</v>
      </c>
      <c r="C16" s="78" t="n">
        <v>0.55625</v>
      </c>
      <c r="D16" s="79" t="n">
        <v>0.7097222222222223</v>
      </c>
      <c r="E16" s="78" t="n">
        <v/>
      </c>
      <c r="F16" s="79" t="n">
        <v/>
      </c>
      <c r="G16" s="78" t="n">
        <v/>
      </c>
      <c r="H16" s="79" t="n">
        <v/>
      </c>
      <c r="I16" s="78">
        <f>SUM(D16-C16, F16-E16, H16-G16)</f>
        <v/>
      </c>
      <c r="J16" s="80" t="inlineStr">
        <is>
          <t>OT # 174548. Yantzaza, Est 273881, se encuentra caja de distribución de RBV en malas condiciones, se cambia fase de acometida. San Francisco, Est 244982, acometida del Med # 18-226698 se cambia 5m, se rehabilita trafo # 13622</t>
        </is>
      </c>
      <c r="K16">
        <f>SUM((D16-C16)*2.0*24)</f>
        <v/>
      </c>
    </row>
    <row r="17" ht="17.35" customHeight="1" s="47">
      <c r="A17" s="72">
        <f>IF(B17&gt;0,PROPER(TEXT(B17,"dddd")),"")</f>
        <v/>
      </c>
      <c r="B17" s="77" t="n">
        <v>46124</v>
      </c>
      <c r="C17" s="78" t="n">
        <v>0.5861111111111111</v>
      </c>
      <c r="D17" s="79" t="n">
        <v>0.6826388888888889</v>
      </c>
      <c r="E17" s="78" t="n">
        <v/>
      </c>
      <c r="F17" s="79" t="n">
        <v/>
      </c>
      <c r="G17" s="78" t="n">
        <v/>
      </c>
      <c r="H17" s="79" t="n">
        <v/>
      </c>
      <c r="I17" s="78">
        <f>SUM(D17-C17, F17-E17, H17-G17)</f>
        <v/>
      </c>
      <c r="J17" s="80" t="inlineStr">
        <is>
          <t>OT # 174581. San Luis, Est 270680 , se rehabilita transformador 24432; Causa: Sobrecarga. Zumbi, Med # 18-215893, se encuentra puentes y conector en malas condiciones, se corrige en cable preensamblado.</t>
        </is>
      </c>
      <c r="K17">
        <f>SUM((D17-C17)*2.0*24)</f>
        <v/>
      </c>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0.2916666666666667</v>
      </c>
      <c r="D20" s="79" t="n">
        <v>0.3333333333333333</v>
      </c>
      <c r="E20" s="78" t="n">
        <v>0.7083333333333334</v>
      </c>
      <c r="F20" s="79" t="n">
        <v>0.7916666666666666</v>
      </c>
      <c r="G20" s="78" t="n">
        <v/>
      </c>
      <c r="H20" s="79" t="n">
        <v/>
      </c>
      <c r="I20" s="78">
        <f>SUM(D20-C20, F20-E20, H20-G20)</f>
        <v/>
      </c>
      <c r="J20" s="80" t="inlineStr">
        <is>
          <t xml:space="preserve">OT # 174770. Traslado a Mariposa – Alto Nangaritza, atención de daños LMV arrancada. </t>
        </is>
      </c>
      <c r="K20">
        <f>SUM((D20-C20)*1.5*24,(F20-E20)*1.5*24)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0.6638888888888889</v>
      </c>
      <c r="D30" s="79" t="n">
        <v>0.875</v>
      </c>
      <c r="E30" s="78" t="n">
        <v/>
      </c>
      <c r="F30" s="79" t="n">
        <v/>
      </c>
      <c r="G30" s="78" t="n">
        <v/>
      </c>
      <c r="H30" s="79" t="n">
        <v/>
      </c>
      <c r="I30" s="78">
        <f>SUM(D30-C30, F30-E30, H30-G30)</f>
        <v/>
      </c>
      <c r="J30" s="80" t="inlineStr">
        <is>
          <t>OT # 175505. Santa Cecilia, Est 34653, se recorre hasta Est 245424, sin novedad; Se repone tirafusible de 6A-T se reestablece el servicio. Guanwintza, Est 34643 Med #1262554 árbol desplomado sobre la acometida, desbroce de vegetación, se empalma 2m de triplex, se rehabilita trafo 15268.</t>
        </is>
      </c>
      <c r="K30">
        <f>SUM((D30-C30)*2.0*24)</f>
        <v/>
      </c>
    </row>
    <row r="31" ht="17.35" customHeight="1" s="47">
      <c r="A31" s="72">
        <f>IF(B31&gt;0,PROPER(TEXT(B31,"dddd")),"")</f>
        <v/>
      </c>
      <c r="B31" s="77" t="n">
        <v>46138</v>
      </c>
      <c r="C31" s="78" t="n">
        <v>0.5784722222222223</v>
      </c>
      <c r="D31" s="79" t="n">
        <v>0.6465277777777778</v>
      </c>
      <c r="E31" s="78" t="n">
        <v/>
      </c>
      <c r="F31" s="79" t="n">
        <v/>
      </c>
      <c r="G31" s="78" t="n">
        <v/>
      </c>
      <c r="H31" s="79" t="n">
        <v/>
      </c>
      <c r="I31" s="78">
        <f>SUM(D31-C31, F31-E31, H31-G31)</f>
        <v/>
      </c>
      <c r="J31" s="80" t="inlineStr">
        <is>
          <t>OT # 175511. Santa Cecilia, se camina a la estructura 34657 (20min), mediciones de voltaje se encuentra transformador 11778 de 3 KVA en mal estado, se planifica cambio.</t>
        </is>
      </c>
      <c r="K31">
        <f>SUM((D31-C31)*2.0*24)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QUIROGA ORDONEZ CARLOS HERNAN</t>
        </is>
      </c>
      <c r="I2" s="53">
        <f>SUM(K6:K36)</f>
        <v/>
      </c>
      <c r="J2" s="54" t="inlineStr">
        <is>
          <t>TOTAL</t>
        </is>
      </c>
    </row>
    <row r="3" ht="18.75" customHeight="1" s="47">
      <c r="A3" s="55" t="inlineStr">
        <is>
          <t>Cuadrilla o Agencia:</t>
        </is>
      </c>
      <c r="B3" s="55" t="n"/>
      <c r="C3" s="55" t="n"/>
      <c r="D3" s="55" t="n"/>
      <c r="E3" s="56" t="n"/>
      <c r="F3" s="56" t="n"/>
      <c r="G3" s="56" t="n"/>
      <c r="H3" s="52" t="inlineStr">
        <is>
          <t>Cuadrilla Guayzimi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0.2708333333333333</v>
      </c>
      <c r="D14" s="79" t="n">
        <v>0.3333333333333333</v>
      </c>
      <c r="E14" s="78" t="n">
        <v>0.7083333333333334</v>
      </c>
      <c r="F14" s="79" t="n">
        <v>0.7541666666666667</v>
      </c>
      <c r="G14" s="78" t="n">
        <v/>
      </c>
      <c r="H14" s="79" t="n">
        <v/>
      </c>
      <c r="I14" s="78">
        <f>SUM(D14-C14, F14-E14, H14-G14)</f>
        <v/>
      </c>
      <c r="J14" s="80" t="inlineStr">
        <is>
          <t>OT # 174393. Guayzimi – Yawi, se revisa y encuentra la Est 71535 quebrada por caída de un árbol, se coordina apoyo con Cuadrilla Paquisha</t>
        </is>
      </c>
      <c r="K14">
        <f>SUM((D14-C14)*1.5*24,(F14-E14)*1.5*24)</f>
        <v/>
      </c>
    </row>
    <row r="15" ht="17.35" customHeight="1" s="47">
      <c r="A15" s="72">
        <f>IF(B15&gt;0,PROPER(TEXT(B15,"dddd")),"")</f>
        <v/>
      </c>
      <c r="B15" s="77" t="n">
        <v>46122</v>
      </c>
      <c r="C15" s="78" t="n">
        <v>0.2847222222222222</v>
      </c>
      <c r="D15" s="79" t="n">
        <v>0.3333333333333333</v>
      </c>
      <c r="E15" s="78" t="n">
        <v/>
      </c>
      <c r="F15" s="79" t="n">
        <v/>
      </c>
      <c r="G15" s="78" t="n">
        <v/>
      </c>
      <c r="H15" s="79" t="n">
        <v/>
      </c>
      <c r="I15" s="78">
        <f>SUM(D15-C15, F15-E15, H15-G15)</f>
        <v/>
      </c>
      <c r="J15" s="80" t="inlineStr">
        <is>
          <t>OT # 174473. Yawi, cambio de Est 71535 quebrado por caída de un árbol</t>
        </is>
      </c>
      <c r="K15">
        <f>SUM((D15-C15)*1.5*24)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0.2930555555555556</v>
      </c>
      <c r="D20" s="79" t="n">
        <v>0.3333333333333333</v>
      </c>
      <c r="E20" s="78" t="n">
        <v>0.7083333333333334</v>
      </c>
      <c r="F20" s="79" t="n">
        <v>0.8020833333333334</v>
      </c>
      <c r="G20" s="78" t="n">
        <v/>
      </c>
      <c r="H20" s="79" t="n">
        <v/>
      </c>
      <c r="I20" s="78">
        <f>SUM(D20-C20, F20-E20, H20-G20)</f>
        <v/>
      </c>
      <c r="J20" s="80" t="inlineStr">
        <is>
          <t>OT # 174771. Mariposa, con apoyo de Cuadrilla Paquisha en bote por Río Nangaritza, LMV arrancada por caída de árbol</t>
        </is>
      </c>
      <c r="K20">
        <f>SUM((D20-C20)*1.5*24,(F20-E20)*1.5*24)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0.3243055555555556</v>
      </c>
      <c r="D24" s="79" t="n">
        <v>0.4854166666666667</v>
      </c>
      <c r="E24" s="78" t="n">
        <v/>
      </c>
      <c r="F24" s="79" t="n">
        <v/>
      </c>
      <c r="G24" s="78" t="n">
        <v/>
      </c>
      <c r="H24" s="79" t="n">
        <v/>
      </c>
      <c r="I24" s="78">
        <f>SUM(D24-C24, F24-E24, H24-G24)</f>
        <v/>
      </c>
      <c r="J24" s="80" t="inlineStr">
        <is>
          <t>OT # 175050. Guayzimi, Est 33062 seccionalizador abierto, se recorre LMV,  se energiza por secciones y no se encuentra novedad; Causa: desconocida. Guayzimi, Est 33010 acometida arrancada Med # 1000361578 por vehículo</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0.7083333333333334</v>
      </c>
      <c r="D27" s="79" t="n">
        <v>0.7576388888888889</v>
      </c>
      <c r="E27" s="78" t="n">
        <v/>
      </c>
      <c r="F27" s="79" t="n">
        <v/>
      </c>
      <c r="G27" s="78" t="n">
        <v/>
      </c>
      <c r="H27" s="79" t="n">
        <v/>
      </c>
      <c r="I27" s="78">
        <f>SUM(D27-C27, F27-E27, H27-G27)</f>
        <v/>
      </c>
      <c r="J27" s="80" t="inlineStr">
        <is>
          <t>OT # 175259. De Nuevo Paraíso a Santa Rosa, Est 32723 se rehabilita trafo # 7197; Causa: Acometida cortocircuito y arrancada por vehículo.</t>
        </is>
      </c>
      <c r="K27">
        <f>SUM((D27-C27)*1.5*24)</f>
        <v/>
      </c>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CACAY LUZURIAGA ASDRUBAL HUMBERTO</t>
        </is>
      </c>
      <c r="I2" s="53">
        <f>SUM(K6:K36)</f>
        <v/>
      </c>
      <c r="J2" s="54" t="inlineStr">
        <is>
          <t>TOTAL</t>
        </is>
      </c>
    </row>
    <row r="3" ht="18.75" customHeight="1" s="47">
      <c r="A3" s="55" t="inlineStr">
        <is>
          <t>Cuadrilla o Agencia:</t>
        </is>
      </c>
      <c r="B3" s="55" t="n"/>
      <c r="C3" s="55" t="n"/>
      <c r="D3" s="55" t="n"/>
      <c r="E3" s="56" t="n"/>
      <c r="F3" s="56" t="n"/>
      <c r="G3" s="56" t="n"/>
      <c r="H3" s="52" t="inlineStr">
        <is>
          <t>Cuadrilla Guayzimi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0.2708333333333333</v>
      </c>
      <c r="D14" s="79" t="n">
        <v>0.3333333333333333</v>
      </c>
      <c r="E14" s="78" t="n">
        <v>0.7083333333333334</v>
      </c>
      <c r="F14" s="79" t="n">
        <v>0.7541666666666667</v>
      </c>
      <c r="G14" s="78" t="n">
        <v/>
      </c>
      <c r="H14" s="79" t="n">
        <v/>
      </c>
      <c r="I14" s="78">
        <f>SUM(D14-C14, F14-E14, H14-G14)</f>
        <v/>
      </c>
      <c r="J14" s="80" t="inlineStr">
        <is>
          <t>OT # 174393. Guayzimi – Yawi, se revisa y encuentra la Est 71535 quebrada por caída de un árbol, se coordina apoyo con Cuadrilla Paquisha</t>
        </is>
      </c>
      <c r="K14">
        <f>SUM((D14-C14)*1.5*24,(F14-E14)*1.5*24)</f>
        <v/>
      </c>
    </row>
    <row r="15" ht="17.35" customHeight="1" s="47">
      <c r="A15" s="72">
        <f>IF(B15&gt;0,PROPER(TEXT(B15,"dddd")),"")</f>
        <v/>
      </c>
      <c r="B15" s="77" t="n">
        <v>46122</v>
      </c>
      <c r="C15" s="78" t="n">
        <v>0.2847222222222222</v>
      </c>
      <c r="D15" s="79" t="n">
        <v>0.3333333333333333</v>
      </c>
      <c r="E15" s="78" t="n">
        <v/>
      </c>
      <c r="F15" s="79" t="n">
        <v/>
      </c>
      <c r="G15" s="78" t="n">
        <v/>
      </c>
      <c r="H15" s="79" t="n">
        <v/>
      </c>
      <c r="I15" s="78">
        <f>SUM(D15-C15, F15-E15, H15-G15)</f>
        <v/>
      </c>
      <c r="J15" s="80" t="inlineStr">
        <is>
          <t>OT # 174473. Yawi, cambio de Est 71535 quebrado por caída de un árbol</t>
        </is>
      </c>
      <c r="K15">
        <f>SUM((D15-C15)*1.5*24)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0.2930555555555556</v>
      </c>
      <c r="D20" s="79" t="n">
        <v>0.3333333333333333</v>
      </c>
      <c r="E20" s="78" t="n">
        <v>0.7083333333333334</v>
      </c>
      <c r="F20" s="79" t="n">
        <v>0.8020833333333334</v>
      </c>
      <c r="G20" s="78" t="n">
        <v/>
      </c>
      <c r="H20" s="79" t="n">
        <v/>
      </c>
      <c r="I20" s="78">
        <f>SUM(D20-C20, F20-E20, H20-G20)</f>
        <v/>
      </c>
      <c r="J20" s="80" t="inlineStr">
        <is>
          <t>OT # 174771. Mariposa, con apoyo de Cuadrilla Paquisha en bote por Río Nangaritza, LMV arrancada por caída de árbol</t>
        </is>
      </c>
      <c r="K20">
        <f>SUM((D20-C20)*1.5*24,(F20-E20)*1.5*24)</f>
        <v/>
      </c>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LARA JIMENEZ JAIME PATRICIO</t>
        </is>
      </c>
      <c r="I2" s="53">
        <f>SUM(K6:K36)</f>
        <v/>
      </c>
      <c r="J2" s="54" t="inlineStr">
        <is>
          <t>TOTAL</t>
        </is>
      </c>
    </row>
    <row r="3" ht="18.75" customHeight="1" s="47">
      <c r="A3" s="55" t="inlineStr">
        <is>
          <t>Cuadrilla o Agencia:</t>
        </is>
      </c>
      <c r="B3" s="55" t="n"/>
      <c r="C3" s="55" t="n"/>
      <c r="D3" s="55" t="n"/>
      <c r="E3" s="56" t="n"/>
      <c r="F3" s="56" t="n"/>
      <c r="G3" s="56" t="n"/>
      <c r="H3" s="52" t="inlineStr">
        <is>
          <t>Cuadrilla Guayzimi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0.2708333333333333</v>
      </c>
      <c r="D14" s="79" t="n">
        <v>0.3333333333333333</v>
      </c>
      <c r="E14" s="78" t="n">
        <v>0.7083333333333334</v>
      </c>
      <c r="F14" s="79" t="n">
        <v>0.7541666666666667</v>
      </c>
      <c r="G14" s="78" t="n">
        <v/>
      </c>
      <c r="H14" s="79" t="n">
        <v/>
      </c>
      <c r="I14" s="78">
        <f>SUM(D14-C14, F14-E14, H14-G14)</f>
        <v/>
      </c>
      <c r="J14" s="80" t="inlineStr">
        <is>
          <t>OT # 174393. Guayzimi – Yawi, se revisa y encuentra la Est 71535 quebrada por caída de un árbol, se coordina apoyo con Cuadrilla Paquisha</t>
        </is>
      </c>
      <c r="K14">
        <f>SUM((D14-C14)*1.5*24,(F14-E14)*1.5*24)</f>
        <v/>
      </c>
    </row>
    <row r="15" ht="17.35" customHeight="1" s="47">
      <c r="A15" s="72">
        <f>IF(B15&gt;0,PROPER(TEXT(B15,"dddd")),"")</f>
        <v/>
      </c>
      <c r="B15" s="77" t="n">
        <v>46122</v>
      </c>
      <c r="C15" s="78" t="n">
        <v>0.2847222222222222</v>
      </c>
      <c r="D15" s="79" t="n">
        <v>0.3333333333333333</v>
      </c>
      <c r="E15" s="78" t="n">
        <v>0.7083333333333334</v>
      </c>
      <c r="F15" s="79" t="n">
        <v>0.8729166666666667</v>
      </c>
      <c r="G15" s="78" t="n">
        <v/>
      </c>
      <c r="H15" s="79" t="n">
        <v/>
      </c>
      <c r="I15" s="78">
        <f>SUM(D15-C15, F15-E15, H15-G15)</f>
        <v/>
      </c>
      <c r="J15" s="80" t="inlineStr">
        <is>
          <t>OT # 174473. Yawi, cambio de Est 71535 quebrado por caída de un árbol</t>
        </is>
      </c>
      <c r="K15">
        <f>SUM((D15-C15)*1.5*24,(F15-E15)*1.5*24)</f>
        <v/>
      </c>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0.3243055555555556</v>
      </c>
      <c r="D24" s="79" t="n">
        <v>0.4854166666666667</v>
      </c>
      <c r="E24" s="78" t="n">
        <v/>
      </c>
      <c r="F24" s="79" t="n">
        <v/>
      </c>
      <c r="G24" s="78" t="n">
        <v/>
      </c>
      <c r="H24" s="79" t="n">
        <v/>
      </c>
      <c r="I24" s="78">
        <f>SUM(D24-C24, F24-E24, H24-G24)</f>
        <v/>
      </c>
      <c r="J24" s="80" t="inlineStr">
        <is>
          <t>OT # 175050. Guayzimi, Est 33062 seccionalizador abierto, se recorre LMV,  se energiza por secciones y no se encuentra novedad; Causa: desconocida. Guayzimi, Est 33010 acometida arrancada Med # 1000361578 por vehículo</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0.7083333333333334</v>
      </c>
      <c r="D27" s="79" t="n">
        <v>0.7576388888888889</v>
      </c>
      <c r="E27" s="78" t="n">
        <v/>
      </c>
      <c r="F27" s="79" t="n">
        <v/>
      </c>
      <c r="G27" s="78" t="n">
        <v/>
      </c>
      <c r="H27" s="79" t="n">
        <v/>
      </c>
      <c r="I27" s="78">
        <f>SUM(D27-C27, F27-E27, H27-G27)</f>
        <v/>
      </c>
      <c r="J27" s="80" t="inlineStr">
        <is>
          <t>OT # 175259. De Nuevo Paraíso a Santa Rosa, Est 32723 se rehabilita trafo # 7197; Causa: Acometida cortocircuito y arrancada por vehículo.</t>
        </is>
      </c>
      <c r="K27">
        <f>SUM((D27-C27)*1.5*24)</f>
        <v/>
      </c>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MENDIETA MENDIETA HENRRY ALEXANDER</t>
        </is>
      </c>
      <c r="I2" s="53">
        <f>SUM(K6:K36)</f>
        <v/>
      </c>
      <c r="J2" s="54" t="inlineStr">
        <is>
          <t>TOTAL</t>
        </is>
      </c>
    </row>
    <row r="3" ht="18.75" customHeight="1" s="47">
      <c r="A3" s="55" t="inlineStr">
        <is>
          <t>Cuadrilla o Agencia:</t>
        </is>
      </c>
      <c r="B3" s="55" t="n"/>
      <c r="C3" s="55" t="n"/>
      <c r="D3" s="55" t="n"/>
      <c r="E3" s="56" t="n"/>
      <c r="F3" s="56" t="n"/>
      <c r="G3" s="56" t="n"/>
      <c r="H3" s="52" t="inlineStr">
        <is>
          <t>Cuadrilla El Pangui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0.2868055555555555</v>
      </c>
      <c r="D6" s="75" t="n">
        <v>0.3333333333333333</v>
      </c>
      <c r="E6" s="74" t="n">
        <v/>
      </c>
      <c r="F6" s="75" t="n">
        <v/>
      </c>
      <c r="G6" s="74" t="n">
        <v/>
      </c>
      <c r="H6" s="75" t="n">
        <v/>
      </c>
      <c r="I6" s="74">
        <f>SUM(D6-C6, F6-E6, H6-G6)</f>
        <v/>
      </c>
      <c r="J6" s="76" t="inlineStr">
        <is>
          <t>OT # 173908. San Miguel, Est 208978 se apoya a Cuadrilla Gualaquiza en cambio de estructura colapsada por choque de vehículo.</t>
        </is>
      </c>
      <c r="K6">
        <f>SUM((D6-C6)*1.5*24)</f>
        <v/>
      </c>
    </row>
    <row r="7" ht="17.35" customHeight="1" s="47">
      <c r="A7" s="72">
        <f>IF(B7&gt;0,PROPER(TEXT(B7,"dddd")),"")</f>
        <v/>
      </c>
      <c r="B7" s="77" t="n">
        <v>46114</v>
      </c>
      <c r="C7" s="78" t="n">
        <v>0.8152777777777778</v>
      </c>
      <c r="D7" s="79" t="n">
        <v>0.8354166666666667</v>
      </c>
      <c r="E7" s="78" t="n">
        <v/>
      </c>
      <c r="F7" s="79" t="n">
        <v/>
      </c>
      <c r="G7" s="78" t="n">
        <v/>
      </c>
      <c r="H7" s="79" t="n">
        <v/>
      </c>
      <c r="I7" s="78">
        <f>SUM(D7-C7, F7-E7, H7-G7)</f>
        <v/>
      </c>
      <c r="J7" s="80" t="inlineStr">
        <is>
          <t>OT # 173951. El Pangui, Est 227941 se rehabilita el trafo # 23783; Causa: desconocida</t>
        </is>
      </c>
      <c r="K7">
        <f>SUM((D7-C7)*1.5*24)</f>
        <v/>
      </c>
    </row>
    <row r="8" ht="17.35" customHeight="1" s="47">
      <c r="A8" s="72">
        <f>IF(B8&gt;0,PROPER(TEXT(B8,"dddd")),"")</f>
        <v/>
      </c>
      <c r="B8" s="77" t="n">
        <v>46115</v>
      </c>
      <c r="C8" s="78" t="n">
        <v>0.4784722222222222</v>
      </c>
      <c r="D8" s="79" t="n">
        <v>0.5104166666666666</v>
      </c>
      <c r="E8" s="78" t="n">
        <v/>
      </c>
      <c r="F8" s="79" t="n">
        <v/>
      </c>
      <c r="G8" s="78" t="n">
        <v/>
      </c>
      <c r="H8" s="79" t="n">
        <v/>
      </c>
      <c r="I8" s="78">
        <f>SUM(D8-C8, F8-E8, H8-G8)</f>
        <v/>
      </c>
      <c r="J8" s="80" t="inlineStr">
        <is>
          <t>OT # 174014. DIA FESTIVO “Viernes Santo”. Barrio 8 de Diciembre, Est 71319 se repone 1 tirafusible de 1,3A-SR para el trao 18194; Causa: ave</t>
        </is>
      </c>
      <c r="K8">
        <f>SUM((D8-C8)*2.0*24)</f>
        <v/>
      </c>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0.3069444444444445</v>
      </c>
      <c r="D10" s="79" t="n">
        <v>0.4986111111111111</v>
      </c>
      <c r="E10" s="78" t="n">
        <v/>
      </c>
      <c r="F10" s="79" t="n">
        <v/>
      </c>
      <c r="G10" s="78" t="n">
        <v/>
      </c>
      <c r="H10" s="79" t="n">
        <v/>
      </c>
      <c r="I10" s="78">
        <f>SUM(D10-C10, F10-E10, H10-G10)</f>
        <v/>
      </c>
      <c r="J10" s="80" t="inlineStr">
        <is>
          <t>OT # 174070. Soldado Rivera, sector lejano a pie hasta Est 127591, se revisa y no se encuentra novedad, se repone tirafusible de 1A-SR; Causa: descargas atmosféricas</t>
        </is>
      </c>
      <c r="K10">
        <f>SUM((D10-C10)*2.0*24)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0.7923611111111111</v>
      </c>
      <c r="D18" s="79" t="n">
        <v>0.8847222222222222</v>
      </c>
      <c r="E18" s="78" t="n">
        <v/>
      </c>
      <c r="F18" s="79" t="n">
        <v/>
      </c>
      <c r="G18" s="78" t="n">
        <v/>
      </c>
      <c r="H18" s="79" t="n">
        <v/>
      </c>
      <c r="I18" s="78">
        <f>SUM(D18-C18, F18-E18, H18-G18)</f>
        <v/>
      </c>
      <c r="J18" s="80" t="inlineStr">
        <is>
          <t xml:space="preserve">OT # 174626. cantón El Pangui, recorrido y anota luminarias en mal estado. </t>
        </is>
      </c>
      <c r="K18">
        <f>SUM((D18-C18)*1.5*24)</f>
        <v/>
      </c>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0.6083333333333333</v>
      </c>
      <c r="D23" s="79" t="n">
        <v>0.7798611111111111</v>
      </c>
      <c r="E23" s="78" t="n">
        <v/>
      </c>
      <c r="F23" s="79" t="n">
        <v/>
      </c>
      <c r="G23" s="78" t="n">
        <v/>
      </c>
      <c r="H23" s="79" t="n">
        <v/>
      </c>
      <c r="I23" s="78">
        <f>SUM(D23-C23, F23-E23, H23-G23)</f>
        <v/>
      </c>
      <c r="J23" s="80" t="inlineStr">
        <is>
          <t>OT # 175002. La Yanúa, Est 180275 RBV arrancada por volqueta, se rehabilita el trafo 19822. Shakay, Est 32534, se repone tirafusible de 12 A- K; Causa: descargas atmosféricas. Tiukcha, a pie hasta la Est 247713, se repone tirafusible de 0.4A-SR trafo 24598 de 10 Kva a las 17:20. Traslado en Tiukcha a pie hasta el vehículo 4-118. Tiukcha, trfafo 12478 de 5 KVA se encuentra en mal estado.</t>
        </is>
      </c>
      <c r="K23">
        <f>SUM((D23-C23)*2.0*24)</f>
        <v/>
      </c>
    </row>
    <row r="24" ht="17.35" customHeight="1" s="47">
      <c r="A24" s="72">
        <f>IF(B24&gt;0,PROPER(TEXT(B24,"dddd")),"")</f>
        <v/>
      </c>
      <c r="B24" s="77" t="n">
        <v>46131</v>
      </c>
      <c r="C24" s="78" t="n">
        <v>0.3805555555555555</v>
      </c>
      <c r="D24" s="79" t="n">
        <v>0.5027777777777778</v>
      </c>
      <c r="E24" s="78" t="n">
        <v/>
      </c>
      <c r="F24" s="79" t="n">
        <v/>
      </c>
      <c r="G24" s="78" t="n">
        <v/>
      </c>
      <c r="H24" s="79" t="n">
        <v/>
      </c>
      <c r="I24" s="78">
        <f>SUM(D24-C24, F24-E24, H24-G24)</f>
        <v/>
      </c>
      <c r="J24" s="80" t="inlineStr">
        <is>
          <t>OT # 175025. La Argelia, Est 127460, se repone tirafusible de 6 A-T; Causa: descargas Atmosféricas. Retorno a El Pangui</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0.3083333333333333</v>
      </c>
      <c r="D28" s="79" t="n">
        <v>0.3333333333333333</v>
      </c>
      <c r="E28" s="78" t="n">
        <v/>
      </c>
      <c r="F28" s="79" t="n">
        <v/>
      </c>
      <c r="G28" s="78" t="n">
        <v/>
      </c>
      <c r="H28" s="79" t="n">
        <v/>
      </c>
      <c r="I28" s="78">
        <f>SUM(D28-C28, F28-E28, H28-G28)</f>
        <v/>
      </c>
      <c r="J28" s="80" t="inlineStr">
        <is>
          <t>OT # 175378. Reconectador Chuchumbletza, en coordinación con SCADA se ejecutan maniobras.</t>
        </is>
      </c>
      <c r="K28">
        <f>SUM((D28-C28)*1.5*24)</f>
        <v/>
      </c>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0.7083333333333334</v>
      </c>
      <c r="D32" s="79" t="n">
        <v>0.7777777777777778</v>
      </c>
      <c r="E32" s="78" t="n">
        <v/>
      </c>
      <c r="F32" s="79" t="n">
        <v/>
      </c>
      <c r="G32" s="78" t="n">
        <v/>
      </c>
      <c r="H32" s="79" t="n">
        <v/>
      </c>
      <c r="I32" s="78">
        <f>SUM(D32-C32, F32-E32, H32-G32)</f>
        <v/>
      </c>
      <c r="J32" s="80" t="inlineStr">
        <is>
          <t xml:space="preserve">OT # 175569. Monterrey, Est 127554, se repone tirafusible de 8A-K, no se encuentra novedad. </t>
        </is>
      </c>
      <c r="K32">
        <f>SUM((D32-C32)*1.5*24)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VERA SANCHEZ LIVIO STALIN</t>
        </is>
      </c>
      <c r="I2" s="53">
        <f>SUM(K6:K36)</f>
        <v/>
      </c>
      <c r="J2" s="54" t="inlineStr">
        <is>
          <t>TOTAL</t>
        </is>
      </c>
    </row>
    <row r="3" ht="18.75" customHeight="1" s="47">
      <c r="A3" s="55" t="inlineStr">
        <is>
          <t>Cuadrilla o Agencia:</t>
        </is>
      </c>
      <c r="B3" s="55" t="n"/>
      <c r="C3" s="55" t="n"/>
      <c r="D3" s="55" t="n"/>
      <c r="E3" s="56" t="n"/>
      <c r="F3" s="56" t="n"/>
      <c r="G3" s="56" t="n"/>
      <c r="H3" s="52" t="inlineStr">
        <is>
          <t>Cuadrilla El Pangui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0.2868055555555555</v>
      </c>
      <c r="D6" s="75" t="n">
        <v>0.3333333333333333</v>
      </c>
      <c r="E6" s="74" t="n">
        <v/>
      </c>
      <c r="F6" s="75" t="n">
        <v/>
      </c>
      <c r="G6" s="74" t="n">
        <v/>
      </c>
      <c r="H6" s="75" t="n">
        <v/>
      </c>
      <c r="I6" s="74">
        <f>SUM(D6-C6, F6-E6, H6-G6)</f>
        <v/>
      </c>
      <c r="J6" s="76" t="inlineStr">
        <is>
          <t>OT # 173908. San Miguel, Est 208978 se apoya a Cuadrilla Gualaquiza en cambio de estructura colapsada por choque de vehículo.</t>
        </is>
      </c>
      <c r="K6">
        <f>SUM((D6-C6)*1.5*24)</f>
        <v/>
      </c>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0.3333333333333333</v>
      </c>
      <c r="D30" s="79" t="n">
        <v>0.5833333333333334</v>
      </c>
      <c r="E30" s="78" t="n">
        <v/>
      </c>
      <c r="F30" s="79" t="n">
        <v/>
      </c>
      <c r="G30" s="78" t="n">
        <v/>
      </c>
      <c r="H30" s="79" t="n">
        <v/>
      </c>
      <c r="I30" s="78">
        <f>SUM(D30-C30, F30-E30, H30-G30)</f>
        <v/>
      </c>
      <c r="J30" s="80" t="inlineStr">
        <is>
          <t>OT # 175468. En la agencia se realiza la OT. Traslado a Monterrey Traslado de Monterrey al sector Chatus caminando y llevando herramientas para realizar el arreglo de la red bajo voltaje. Chatus entré los postes 127556,127558 se encuentra arrancada la linea de bajo voltaje daño por vegetación se realiza el arreglo se utiliza 2 varillas de empalme nro 4 En el estructura 127556 se cierra el breker del transformador de 5 kva nro 12081 Traslado a donde queda el vehículo. Traslado de Monterrey a Catacocha Catacocha se cambia el tirafusible de 12A Tipo K, estructura 31777, Causa descargas atmosféricas. Traslado a El Pangui.</t>
        </is>
      </c>
      <c r="K30">
        <f>SUM((D30-C30)*2.0*24)</f>
        <v/>
      </c>
    </row>
    <row r="31" ht="17.35" customHeight="1" s="47">
      <c r="A31" s="72">
        <f>IF(B31&gt;0,PROPER(TEXT(B31,"dddd")),"")</f>
        <v/>
      </c>
      <c r="B31" s="77" t="n">
        <v>46138</v>
      </c>
      <c r="C31" s="78" t="n">
        <v>0.4784722222222222</v>
      </c>
      <c r="D31" s="79" t="n">
        <v>0.5104166666666666</v>
      </c>
      <c r="E31" s="78" t="n">
        <v>0.5111111111111111</v>
      </c>
      <c r="F31" s="79" t="n">
        <v>0.7138888888888889</v>
      </c>
      <c r="G31" s="78" t="n">
        <v>0.7902777777777777</v>
      </c>
      <c r="H31" s="79" t="n">
        <v>0.8701388888888889</v>
      </c>
      <c r="I31" s="78">
        <f>SUM(D31-C31, F31-E31, H31-G31)</f>
        <v/>
      </c>
      <c r="J31" s="80" t="inlineStr">
        <is>
          <t>OT # 175644. Sector Catacocha, se recorre y revisa la LMV en el poste 34723 arrancada la LMV por caída de árbol seco, se lo llama al compañero Fausto Ambuludi para que nos colabore</t>
        </is>
      </c>
      <c r="K31">
        <f>SUM((D31-C31)*2.0*24,(F31-E31)*2.0*24,(H31-G31)*2.0*24)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SALDAÑA PRIETO ANTHONY MICHAEL</t>
        </is>
      </c>
      <c r="I2" s="53">
        <f>SUM(K6:K36)</f>
        <v/>
      </c>
      <c r="J2" s="54" t="inlineStr">
        <is>
          <t>TOTAL</t>
        </is>
      </c>
    </row>
    <row r="3" ht="18.75" customHeight="1" s="47">
      <c r="A3" s="55" t="inlineStr">
        <is>
          <t>Cuadrilla o Agencia:</t>
        </is>
      </c>
      <c r="B3" s="55" t="n"/>
      <c r="C3" s="55" t="n"/>
      <c r="D3" s="55" t="n"/>
      <c r="E3" s="56" t="n"/>
      <c r="F3" s="56" t="n"/>
      <c r="G3" s="56" t="n"/>
      <c r="H3" s="52" t="inlineStr">
        <is>
          <t>Agencia El Pangui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0.2868055555555555</v>
      </c>
      <c r="D6" s="75" t="n">
        <v>0.3333333333333333</v>
      </c>
      <c r="E6" s="74" t="n">
        <v/>
      </c>
      <c r="F6" s="75" t="n">
        <v/>
      </c>
      <c r="G6" s="74" t="n">
        <v/>
      </c>
      <c r="H6" s="75" t="n">
        <v/>
      </c>
      <c r="I6" s="74">
        <f>SUM(D6-C6, F6-E6, H6-G6)</f>
        <v/>
      </c>
      <c r="J6" s="76" t="inlineStr">
        <is>
          <t>OT # 173908. San Miguel, Est 208978 se apoya a Cuadrilla Gualaquiza en cambio de estructura colapsada por choque de vehículo.</t>
        </is>
      </c>
      <c r="K6">
        <f>SUM((D6-C6)*1.5*24)</f>
        <v/>
      </c>
    </row>
    <row r="7" ht="17.35" customHeight="1" s="47">
      <c r="A7" s="72">
        <f>IF(B7&gt;0,PROPER(TEXT(B7,"dddd")),"")</f>
        <v/>
      </c>
      <c r="B7" s="77" t="n">
        <v>46114</v>
      </c>
      <c r="C7" s="78" t="n">
        <v>0.8152777777777778</v>
      </c>
      <c r="D7" s="79" t="n">
        <v>0.8354166666666667</v>
      </c>
      <c r="E7" s="78" t="n">
        <v/>
      </c>
      <c r="F7" s="79" t="n">
        <v/>
      </c>
      <c r="G7" s="78" t="n">
        <v/>
      </c>
      <c r="H7" s="79" t="n">
        <v/>
      </c>
      <c r="I7" s="78">
        <f>SUM(D7-C7, F7-E7, H7-G7)</f>
        <v/>
      </c>
      <c r="J7" s="80" t="inlineStr">
        <is>
          <t>OT # 173951. El Pangui, Est 227941 se rehabilita el trafo # 23783; Causa: desconocida</t>
        </is>
      </c>
      <c r="K7">
        <f>SUM((D7-C7)*1.5*24)</f>
        <v/>
      </c>
    </row>
    <row r="8" ht="17.35" customHeight="1" s="47">
      <c r="A8" s="72">
        <f>IF(B8&gt;0,PROPER(TEXT(B8,"dddd")),"")</f>
        <v/>
      </c>
      <c r="B8" s="77" t="n">
        <v>46115</v>
      </c>
      <c r="C8" s="78" t="n">
        <v>0.4784722222222222</v>
      </c>
      <c r="D8" s="79" t="n">
        <v>0.5104166666666666</v>
      </c>
      <c r="E8" s="78" t="n">
        <v/>
      </c>
      <c r="F8" s="79" t="n">
        <v/>
      </c>
      <c r="G8" s="78" t="n">
        <v/>
      </c>
      <c r="H8" s="79" t="n">
        <v/>
      </c>
      <c r="I8" s="78">
        <f>SUM(D8-C8, F8-E8, H8-G8)</f>
        <v/>
      </c>
      <c r="J8" s="80" t="inlineStr">
        <is>
          <t>OT # 174014. DIA FESTIVO “Viernes Santo”. Barrio 8 de Diciembre, Est 71319 se repone 1 tirafusible de 1,3A-SR para el trao 18194; Causa: ave</t>
        </is>
      </c>
      <c r="K8">
        <f>SUM((D8-C8)*2.0*24)</f>
        <v/>
      </c>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0.3069444444444445</v>
      </c>
      <c r="D10" s="79" t="n">
        <v>0.4986111111111111</v>
      </c>
      <c r="E10" s="78" t="n">
        <v/>
      </c>
      <c r="F10" s="79" t="n">
        <v/>
      </c>
      <c r="G10" s="78" t="n">
        <v/>
      </c>
      <c r="H10" s="79" t="n">
        <v/>
      </c>
      <c r="I10" s="78">
        <f>SUM(D10-C10, F10-E10, H10-G10)</f>
        <v/>
      </c>
      <c r="J10" s="80" t="inlineStr">
        <is>
          <t>OT # 174070. Soldado Rivera, sector lejano a pie hasta Est 127591, se revisa y no se encuentra novedad, se repone tirafusible de 1A-SR; Causa: descargas atmosféricas</t>
        </is>
      </c>
      <c r="K10">
        <f>SUM((D10-C10)*2.0*24)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0.7083333333333334</v>
      </c>
      <c r="D19" s="79" t="n">
        <v>0.7638888888888888</v>
      </c>
      <c r="E19" s="78" t="n">
        <v/>
      </c>
      <c r="F19" s="79" t="n">
        <v/>
      </c>
      <c r="G19" s="78" t="n">
        <v/>
      </c>
      <c r="H19" s="79" t="n">
        <v/>
      </c>
      <c r="I19" s="78">
        <f>SUM(D19-C19, F19-E19, H19-G19)</f>
        <v/>
      </c>
      <c r="J19" s="80" t="inlineStr">
        <is>
          <t>OT # 174710. El Pangui, calle 24 de Mayo, acometida arrancada Med # 18-255815, se empalma y normaliza el servicio.</t>
        </is>
      </c>
      <c r="K19">
        <f>SUM((D19-C19)*1.5*24)</f>
        <v/>
      </c>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0.7597222222222222</v>
      </c>
      <c r="D26" s="79" t="n">
        <v>0.8395833333333333</v>
      </c>
      <c r="E26" s="78" t="n">
        <v/>
      </c>
      <c r="F26" s="79" t="n">
        <v/>
      </c>
      <c r="G26" s="78" t="n">
        <v/>
      </c>
      <c r="H26" s="79" t="n">
        <v/>
      </c>
      <c r="I26" s="78">
        <f>SUM(D26-C26, F26-E26, H26-G26)</f>
        <v/>
      </c>
      <c r="J26" s="80" t="inlineStr">
        <is>
          <t>OT # 175158. El Quimi, se arregla RBV arrancada por volquete entre los postes 195181 y 282295, se rehabilita Trafo # 16802</t>
        </is>
      </c>
      <c r="K26">
        <f>SUM((D26-C26)*1.5*24)</f>
        <v/>
      </c>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0.3333333333333333</v>
      </c>
      <c r="D30" s="79" t="n">
        <v>0.5833333333333334</v>
      </c>
      <c r="E30" s="78" t="n">
        <v/>
      </c>
      <c r="F30" s="79" t="n">
        <v/>
      </c>
      <c r="G30" s="78" t="n">
        <v/>
      </c>
      <c r="H30" s="79" t="n">
        <v/>
      </c>
      <c r="I30" s="78">
        <f>SUM(D30-C30, F30-E30, H30-G30)</f>
        <v/>
      </c>
      <c r="J30" s="80" t="inlineStr">
        <is>
          <t>OT # 175468. En la agencia se realiza la OT. Traslado a Monterrey Traslado de Monterrey al sector Chatus caminando y llevando herramientas para realizar el arreglo de la red bajo voltaje. Chatus entré los postes 127556,127558 se encuentra arrancada la linea de bajo voltaje daño por vegetación se realiza el arreglo se utiliza 2 varillas de empalme nro 4 En el estructura 127556 se cierra el breker del transformador de 5 kva nro 12081 Traslado a donde queda el vehículo. Traslado de Monterrey a Catacocha Catacocha se cambia el tirafusible de 12A Tipo K, estructura 31777, Causa descargas atmosféricas. Traslado a El Pangui.</t>
        </is>
      </c>
      <c r="K30">
        <f>SUM((D30-C30)*2.0*24)</f>
        <v/>
      </c>
    </row>
    <row r="31" ht="17.35" customHeight="1" s="47">
      <c r="A31" s="72">
        <f>IF(B31&gt;0,PROPER(TEXT(B31,"dddd")),"")</f>
        <v/>
      </c>
      <c r="B31" s="77" t="n">
        <v>46138</v>
      </c>
      <c r="C31" s="78" t="n">
        <v>0.4784722222222222</v>
      </c>
      <c r="D31" s="79" t="n">
        <v>0.5104166666666666</v>
      </c>
      <c r="E31" s="78" t="n">
        <v>0.5111111111111111</v>
      </c>
      <c r="F31" s="79" t="n">
        <v>0.7138888888888889</v>
      </c>
      <c r="G31" s="78" t="n">
        <v/>
      </c>
      <c r="H31" s="79" t="n">
        <v/>
      </c>
      <c r="I31" s="78">
        <f>SUM(D31-C31, F31-E31, H31-G31)</f>
        <v/>
      </c>
      <c r="J31" s="80" t="inlineStr">
        <is>
          <t>OT # 175644. Sector Catacocha, se recorre y revisa la LMV en el poste 34723 arrancada la LMV por caída de árbol seco, se lo llama al compañero Fausto Ambuludi para que nos colabore</t>
        </is>
      </c>
      <c r="K31">
        <f>SUM((D31-C31)*2.0*24,(F31-E31)*2.0*24)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DIAS CURAY ANDRES XAVIER</t>
        </is>
      </c>
      <c r="I2" s="53">
        <f>SUM(K6:K36)</f>
        <v/>
      </c>
      <c r="J2" s="54" t="inlineStr">
        <is>
          <t>TOTAL</t>
        </is>
      </c>
    </row>
    <row r="3" ht="18.75" customHeight="1" s="47">
      <c r="A3" s="55" t="inlineStr">
        <is>
          <t>Cuadrilla o Agencia:</t>
        </is>
      </c>
      <c r="B3" s="55" t="n"/>
      <c r="C3" s="55" t="n"/>
      <c r="D3" s="55" t="n"/>
      <c r="E3" s="56" t="n"/>
      <c r="F3" s="56" t="n"/>
      <c r="G3" s="56" t="n"/>
      <c r="H3" s="52" t="inlineStr">
        <is>
          <t>Cuadrilla El Pangui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0.5868055555555556</v>
      </c>
      <c r="D16" s="79" t="n">
        <v>0.7861111111111111</v>
      </c>
      <c r="E16" s="78" t="n">
        <v/>
      </c>
      <c r="F16" s="79" t="n">
        <v/>
      </c>
      <c r="G16" s="78" t="n">
        <v/>
      </c>
      <c r="H16" s="79" t="n">
        <v/>
      </c>
      <c r="I16" s="78">
        <f>SUM(D16-C16, F16-E16, H16-G16)</f>
        <v/>
      </c>
      <c r="J16" s="80" t="inlineStr">
        <is>
          <t>OT # 174595. San Antonio, Med # 18-255976, se ajusta conexiones, se cambia breaker. San Miguel, Med # 18-237378 se revisa y en la Est 215787 se retira vegetación y reemplaza fusible de 6A-T. El Paraíso, difícil acceso, por por margen de quebrada, acometida arrancada por caída de árbol, se repone. Retorno, Agencia El Pangui.</t>
        </is>
      </c>
      <c r="K16">
        <f>SUM((D16-C16)*2.0*24)</f>
        <v/>
      </c>
    </row>
    <row r="17" ht="17.35" customHeight="1" s="47">
      <c r="A17" s="72">
        <f>IF(B17&gt;0,PROPER(TEXT(B17,"dddd")),"")</f>
        <v/>
      </c>
      <c r="B17" s="77" t="n">
        <v>46124</v>
      </c>
      <c r="C17" s="78" t="n">
        <v>0.5868055555555556</v>
      </c>
      <c r="D17" s="79" t="n">
        <v>0.7916666666666666</v>
      </c>
      <c r="E17" s="78" t="n">
        <v/>
      </c>
      <c r="F17" s="79" t="n">
        <v/>
      </c>
      <c r="G17" s="78" t="n">
        <v/>
      </c>
      <c r="H17" s="79" t="n">
        <v/>
      </c>
      <c r="I17" s="78">
        <f>SUM(D17-C17, F17-E17, H17-G17)</f>
        <v/>
      </c>
      <c r="J17" s="80" t="inlineStr">
        <is>
          <t xml:space="preserve">OT # 174643. Los Encuentros, Est 30272 maniobras en coordinación con CC; En la Est 276560 se encuentra vegetación entre la Fase B y Cruceta, se retira y normaliza el AP Los Encuentros. San Roque, Barrio Catacocha, Est 34750, se reemplaza fusible de 1.3 SR y este se quema; se recorre encentra abundante vegetación, se planifica con la Cuadrilla. </t>
        </is>
      </c>
      <c r="K17">
        <f>SUM((D17-C17)*2.0*24)</f>
        <v/>
      </c>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0.3083333333333333</v>
      </c>
      <c r="D28" s="79" t="n">
        <v>0.3333333333333333</v>
      </c>
      <c r="E28" s="78" t="n">
        <v/>
      </c>
      <c r="F28" s="79" t="n">
        <v/>
      </c>
      <c r="G28" s="78" t="n">
        <v/>
      </c>
      <c r="H28" s="79" t="n">
        <v/>
      </c>
      <c r="I28" s="78">
        <f>SUM(D28-C28, F28-E28, H28-G28)</f>
        <v/>
      </c>
      <c r="J28" s="80" t="inlineStr">
        <is>
          <t>OT # 175378. Reconectador Chuchumbletza, en coordinación con SCADA se ejecutan maniobras.</t>
        </is>
      </c>
      <c r="K28">
        <f>SUM((D28-C28)*1.5*24)</f>
        <v/>
      </c>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0.7083333333333334</v>
      </c>
      <c r="D32" s="79" t="n">
        <v>0.7777777777777778</v>
      </c>
      <c r="E32" s="78" t="n">
        <v/>
      </c>
      <c r="F32" s="79" t="n">
        <v/>
      </c>
      <c r="G32" s="78" t="n">
        <v/>
      </c>
      <c r="H32" s="79" t="n">
        <v/>
      </c>
      <c r="I32" s="78">
        <f>SUM(D32-C32, F32-E32, H32-G32)</f>
        <v/>
      </c>
      <c r="J32" s="80" t="inlineStr">
        <is>
          <t xml:space="preserve">OT # 175569. Monterrey, Est 127554, se repone tirafusible de 8A-K, no se encuentra novedad. </t>
        </is>
      </c>
      <c r="K32">
        <f>SUM((D32-C32)*1.5*24)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AMBULUDI SILVA FAUSTO JOEL</t>
        </is>
      </c>
      <c r="I2" s="53">
        <f>SUM(K6:K36)</f>
        <v/>
      </c>
      <c r="J2" s="54" t="inlineStr">
        <is>
          <t>TOTAL</t>
        </is>
      </c>
    </row>
    <row r="3" ht="18.75" customHeight="1" s="47">
      <c r="A3" s="55" t="inlineStr">
        <is>
          <t>Cuadrilla o Agencia:</t>
        </is>
      </c>
      <c r="B3" s="55" t="n"/>
      <c r="C3" s="55" t="n"/>
      <c r="D3" s="55" t="n"/>
      <c r="E3" s="56" t="n"/>
      <c r="F3" s="56" t="n"/>
      <c r="G3" s="56" t="n"/>
      <c r="H3" s="52" t="inlineStr">
        <is>
          <t>Agencia El Pangui</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0.7923611111111111</v>
      </c>
      <c r="D18" s="79" t="n">
        <v>0.8847222222222222</v>
      </c>
      <c r="E18" s="78" t="n">
        <v/>
      </c>
      <c r="F18" s="79" t="n">
        <v/>
      </c>
      <c r="G18" s="78" t="n">
        <v/>
      </c>
      <c r="H18" s="79" t="n">
        <v/>
      </c>
      <c r="I18" s="78">
        <f>SUM(D18-C18, F18-E18, H18-G18)</f>
        <v/>
      </c>
      <c r="J18" s="80" t="inlineStr">
        <is>
          <t xml:space="preserve">OT # 174626. cantón El Pangui, recorrido y anota luminarias en mal estado. </t>
        </is>
      </c>
      <c r="K18">
        <f>SUM((D18-C18)*1.5*24)</f>
        <v/>
      </c>
    </row>
    <row r="19" ht="17.35" customHeight="1" s="47">
      <c r="A19" s="72">
        <f>IF(B19&gt;0,PROPER(TEXT(B19,"dddd")),"")</f>
        <v/>
      </c>
      <c r="B19" s="77" t="n">
        <v>46126</v>
      </c>
      <c r="C19" s="78" t="n">
        <v>0.7083333333333334</v>
      </c>
      <c r="D19" s="79" t="n">
        <v>0.7638888888888888</v>
      </c>
      <c r="E19" s="78" t="n">
        <v/>
      </c>
      <c r="F19" s="79" t="n">
        <v/>
      </c>
      <c r="G19" s="78" t="n">
        <v/>
      </c>
      <c r="H19" s="79" t="n">
        <v/>
      </c>
      <c r="I19" s="78">
        <f>SUM(D19-C19, F19-E19, H19-G19)</f>
        <v/>
      </c>
      <c r="J19" s="80" t="inlineStr">
        <is>
          <t>OT # 174710. El Pangui, calle 24 de Mayo, acometida arrancada Med # 18-255815, se empalma y normaliza el servicio.</t>
        </is>
      </c>
      <c r="K19">
        <f>SUM((D19-C19)*1.5*24)</f>
        <v/>
      </c>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0.6083333333333333</v>
      </c>
      <c r="D23" s="79" t="n">
        <v>0.7798611111111111</v>
      </c>
      <c r="E23" s="78" t="n">
        <v/>
      </c>
      <c r="F23" s="79" t="n">
        <v/>
      </c>
      <c r="G23" s="78" t="n">
        <v/>
      </c>
      <c r="H23" s="79" t="n">
        <v/>
      </c>
      <c r="I23" s="78">
        <f>SUM(D23-C23, F23-E23, H23-G23)</f>
        <v/>
      </c>
      <c r="J23" s="80" t="inlineStr">
        <is>
          <t>OT # 175002. La Yanúa, Est 180275 RBV arrancada por volqueta, se rehabilita el trafo 19822. Shakay, Est 32534, se repone tirafusible de 12 A- K; Causa: descargas atmosféricas. Tiukcha, a pie hasta la Est 247713, se repone tirafusible de 0.4A-SR trafo 24598 de 10 Kva a las 17:20. Traslado en Tiukcha a pie hasta el vehículo 4-118. Tiukcha, trfafo 12478 de 5 KVA se encuentra en mal estado.</t>
        </is>
      </c>
      <c r="K23">
        <f>SUM((D23-C23)*2.0*24)</f>
        <v/>
      </c>
    </row>
    <row r="24" ht="17.35" customHeight="1" s="47">
      <c r="A24" s="72">
        <f>IF(B24&gt;0,PROPER(TEXT(B24,"dddd")),"")</f>
        <v/>
      </c>
      <c r="B24" s="77" t="n">
        <v>46131</v>
      </c>
      <c r="C24" s="78" t="n">
        <v>0.3805555555555555</v>
      </c>
      <c r="D24" s="79" t="n">
        <v>0.5027777777777778</v>
      </c>
      <c r="E24" s="78" t="n">
        <v/>
      </c>
      <c r="F24" s="79" t="n">
        <v/>
      </c>
      <c r="G24" s="78" t="n">
        <v/>
      </c>
      <c r="H24" s="79" t="n">
        <v/>
      </c>
      <c r="I24" s="78">
        <f>SUM(D24-C24, F24-E24, H24-G24)</f>
        <v/>
      </c>
      <c r="J24" s="80" t="inlineStr">
        <is>
          <t>OT # 175025. La Argelia, Est 127460, se repone tirafusible de 6 A-T; Causa: descargas Atmosféricas. Retorno a El Pangui</t>
        </is>
      </c>
      <c r="K24">
        <f>SUM((D24-C24)*2.0*24)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0.7597222222222222</v>
      </c>
      <c r="D26" s="79" t="n">
        <v>0.8395833333333333</v>
      </c>
      <c r="E26" s="78" t="n">
        <v/>
      </c>
      <c r="F26" s="79" t="n">
        <v/>
      </c>
      <c r="G26" s="78" t="n">
        <v/>
      </c>
      <c r="H26" s="79" t="n">
        <v/>
      </c>
      <c r="I26" s="78">
        <f>SUM(D26-C26, F26-E26, H26-G26)</f>
        <v/>
      </c>
      <c r="J26" s="80" t="inlineStr">
        <is>
          <t>OT # 175158. El Quimi, se arregla RBV arrancada por volquete entre los postes 195181 y 282295, se rehabilita Trafo # 16802</t>
        </is>
      </c>
      <c r="K26">
        <f>SUM((D26-C26)*1.5*24)</f>
        <v/>
      </c>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0.5111111111111111</v>
      </c>
      <c r="D31" s="79" t="n">
        <v>0.7138888888888889</v>
      </c>
      <c r="E31" s="78" t="n">
        <v>0.7902777777777777</v>
      </c>
      <c r="F31" s="79" t="n">
        <v>0.8701388888888889</v>
      </c>
      <c r="G31" s="78" t="n">
        <v/>
      </c>
      <c r="H31" s="79" t="n">
        <v/>
      </c>
      <c r="I31" s="78">
        <f>SUM(D31-C31, F31-E31, H31-G31)</f>
        <v/>
      </c>
      <c r="J31" s="80" t="inlineStr">
        <is>
          <t>OT # 175644. Catacocha, se empalma la linea, en la Est 31777 se cambia tirafusible de 12 A-K. El Pangui Est 36772 se cambia acometida del Med # 1000359715 ocasionado por vehículo desconocido.</t>
        </is>
      </c>
      <c r="K31">
        <f>SUM((D31-C31)*2.0*24,(F31-E31)*2.0*24)</f>
        <v/>
      </c>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LOJAN PAZ CARLOS DIEGO</t>
        </is>
      </c>
      <c r="I2" s="53">
        <f>SUM(K6:K36)</f>
        <v/>
      </c>
      <c r="J2" s="54" t="inlineStr">
        <is>
          <t>TOTAL</t>
        </is>
      </c>
    </row>
    <row r="3" ht="18.75" customHeight="1" s="47">
      <c r="A3" s="55" t="inlineStr">
        <is>
          <t>Cuadrilla o Agencia:</t>
        </is>
      </c>
      <c r="B3" s="55" t="n"/>
      <c r="C3" s="55" t="n"/>
      <c r="D3" s="55" t="n"/>
      <c r="E3" s="56" t="n"/>
      <c r="F3" s="56" t="n"/>
      <c r="G3" s="56" t="n"/>
      <c r="H3" s="52" t="inlineStr">
        <is>
          <t>Cuadrilla Gualaquiza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0.7986111111111112</v>
      </c>
      <c r="D11" s="79" t="n">
        <v>0.8854166666666666</v>
      </c>
      <c r="E11" s="78" t="n">
        <v/>
      </c>
      <c r="F11" s="79" t="n">
        <v/>
      </c>
      <c r="G11" s="78" t="n">
        <v/>
      </c>
      <c r="H11" s="79" t="n">
        <v/>
      </c>
      <c r="I11" s="78">
        <f>SUM(D11-C11, F11-E11, H11-G11)</f>
        <v/>
      </c>
      <c r="J11" s="80" t="inlineStr">
        <is>
          <t>OT # 174310. La Pradera, se arregla acometida del Med # 240908, se rehabilita trafo 20916, retorno a Gualaquiza</t>
        </is>
      </c>
      <c r="K11">
        <f>SUM((D11-C11)*1.5*24)</f>
        <v/>
      </c>
    </row>
    <row r="12" ht="17.35" customHeight="1" s="47">
      <c r="A12" s="72">
        <f>IF(B12&gt;0,PROPER(TEXT(B12,"dddd")),"")</f>
        <v/>
      </c>
      <c r="B12" s="77" t="n">
        <v>46119</v>
      </c>
      <c r="C12" s="78" t="n">
        <v>0.75</v>
      </c>
      <c r="D12" s="79" t="n">
        <v>0.8472222222222222</v>
      </c>
      <c r="E12" s="78" t="n">
        <v/>
      </c>
      <c r="F12" s="79" t="n">
        <v/>
      </c>
      <c r="G12" s="78" t="n">
        <v/>
      </c>
      <c r="H12" s="79" t="n">
        <v/>
      </c>
      <c r="I12" s="81">
        <f>SUM(D12-C12, F12-E12, H12-G12)</f>
        <v/>
      </c>
      <c r="J12" s="80" t="inlineStr">
        <is>
          <t>OT # 174313. Shiramentza, se revisa RBV, no se encuentra novedad, se cambia tirafusible de 1,3A-SR en Est 237230 tarfo # 22357</t>
        </is>
      </c>
      <c r="K12">
        <f>SUM((D12-C12)*1.5*24)</f>
        <v/>
      </c>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0.7270833333333333</v>
      </c>
      <c r="D15" s="79" t="n">
        <v>0.8173611111111111</v>
      </c>
      <c r="E15" s="78" t="n">
        <v/>
      </c>
      <c r="F15" s="79" t="n">
        <v/>
      </c>
      <c r="G15" s="78" t="n">
        <v/>
      </c>
      <c r="H15" s="79" t="n">
        <v/>
      </c>
      <c r="I15" s="78">
        <f>SUM(D15-C15, F15-E15, H15-G15)</f>
        <v/>
      </c>
      <c r="J15" s="80" t="inlineStr">
        <is>
          <t>OT # 174486. Tutus, reposición de tirafusible 6A-T Est 91980; Causa: desconocida</t>
        </is>
      </c>
      <c r="K15">
        <f>SUM((D15-C15)*1.5*24)</f>
        <v/>
      </c>
    </row>
    <row r="16" ht="17.35" customHeight="1" s="47">
      <c r="A16" s="72">
        <f>IF(B16&gt;0,PROPER(TEXT(B16,"dddd")),"")</f>
        <v/>
      </c>
      <c r="B16" s="77" t="n">
        <v>46123</v>
      </c>
      <c r="C16" s="78" t="n">
        <v>0.3472222222222222</v>
      </c>
      <c r="D16" s="79" t="n">
        <v>0.5430555555555555</v>
      </c>
      <c r="E16" s="78" t="n">
        <v>0.5854166666666667</v>
      </c>
      <c r="F16" s="79" t="n">
        <v>0.6944444444444444</v>
      </c>
      <c r="G16" s="78" t="n">
        <v>0.8944444444444445</v>
      </c>
      <c r="H16" s="79" t="n">
        <v>0.9375</v>
      </c>
      <c r="I16" s="78">
        <f>SUM(D16-C16, F16-E16, H16-G16)</f>
        <v/>
      </c>
      <c r="J16" s="80" t="inlineStr">
        <is>
          <t>OT # 174555. Guabi Alto, se recupera medidor por caída de tubo, Med # 1223232, se  rehabilita trafo 21485, en la Est 1266959 de 6A-T. Buenos Aires, se repone tirafusible de 6A-T en Est 266482; Causa: desconocida</t>
        </is>
      </c>
      <c r="K16">
        <f>SUM((D16-C16)*2.0*24,(F16-E16)*2.0*24,(H16-G16)*2.0*24)</f>
        <v/>
      </c>
    </row>
    <row r="17" ht="17.35" customHeight="1" s="47">
      <c r="A17" s="72">
        <f>IF(B17&gt;0,PROPER(TEXT(B17,"dddd")),"")</f>
        <v/>
      </c>
      <c r="B17" s="77" t="n">
        <v>46124</v>
      </c>
      <c r="C17" s="78" t="n">
        <v>0.4020833333333333</v>
      </c>
      <c r="D17" s="79" t="n">
        <v>0.4861111111111111</v>
      </c>
      <c r="E17" s="78" t="n">
        <v/>
      </c>
      <c r="F17" s="79" t="n">
        <v/>
      </c>
      <c r="G17" s="78" t="n">
        <v/>
      </c>
      <c r="H17" s="79" t="n">
        <v/>
      </c>
      <c r="I17" s="78">
        <f>SUM(D17-C17, F17-E17, H17-G17)</f>
        <v/>
      </c>
      <c r="J17" s="80" t="inlineStr">
        <is>
          <t>OT # 174743. Nueva Zaruma, Est 127829 cambio tirafusible 8A-T; Causa: desconocida</t>
        </is>
      </c>
      <c r="K17">
        <f>SUM((D17-C17)*2.0*24)</f>
        <v/>
      </c>
    </row>
    <row r="18" ht="17.35" customHeight="1" s="47">
      <c r="A18" s="72">
        <f>IF(B18&gt;0,PROPER(TEXT(B18,"dddd")),"")</f>
        <v/>
      </c>
      <c r="B18" s="77" t="n">
        <v>46125</v>
      </c>
      <c r="C18" s="78" t="n">
        <v>0.84375</v>
      </c>
      <c r="D18" s="79" t="n">
        <v>0.9180555555555555</v>
      </c>
      <c r="E18" s="78" t="n">
        <v/>
      </c>
      <c r="F18" s="79" t="n">
        <v/>
      </c>
      <c r="G18" s="78" t="n">
        <v/>
      </c>
      <c r="H18" s="79" t="n">
        <v/>
      </c>
      <c r="I18" s="78">
        <f>SUM(D18-C18, F18-E18, H18-G18)</f>
        <v/>
      </c>
      <c r="J18" s="80" t="inlineStr">
        <is>
          <t>OT # 174616. Sevilla, por disposicion del Ing. Quezada, mediciones de voltaje en transformador 10622. Marginal Churuyacu, árbol seco caido sobre la RBV estructura 61863-62765, se corta arbol, se regula lineas. Barrio La Union, se repone tirafusible de 6A-T en Est 40595. Barrio Amistad, Est 303711 se rehabilita transformador 14582 de 30 kva (3ø); Causa: sobrecarga</t>
        </is>
      </c>
      <c r="K18">
        <f>SUM((D18-C18)*1.5*24)</f>
        <v/>
      </c>
    </row>
    <row r="19" ht="17.35" customHeight="1" s="47">
      <c r="A19" s="72">
        <f>IF(B19&gt;0,PROPER(TEXT(B19,"dddd")),"")</f>
        <v/>
      </c>
      <c r="B19" s="77" t="n">
        <v>46126</v>
      </c>
      <c r="C19" s="78" t="n">
        <v>0.7083333333333334</v>
      </c>
      <c r="D19" s="79" t="n">
        <v>0.79375</v>
      </c>
      <c r="E19" s="78" t="n">
        <v/>
      </c>
      <c r="F19" s="79" t="n">
        <v/>
      </c>
      <c r="G19" s="78" t="n">
        <v/>
      </c>
      <c r="H19" s="79" t="n">
        <v/>
      </c>
      <c r="I19" s="78">
        <f>SUM(D19-C19, F19-E19, H19-G19)</f>
        <v/>
      </c>
      <c r="J19" s="80" t="inlineStr">
        <is>
          <t>OT # 174708. La Libertad, retiro de árbol sobre LMV, reposición tirafusible de  1,3A-SR Est 161135. Retorno a Gualaquiza</t>
        </is>
      </c>
      <c r="K19">
        <f>SUM((D19-C19)*1.5*24)</f>
        <v/>
      </c>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0.7083333333333334</v>
      </c>
      <c r="D32" s="79" t="n">
        <v>0.8555555555555555</v>
      </c>
      <c r="E32" s="78" t="n">
        <v/>
      </c>
      <c r="F32" s="79" t="n">
        <v/>
      </c>
      <c r="G32" s="78" t="n">
        <v/>
      </c>
      <c r="H32" s="79" t="n">
        <v/>
      </c>
      <c r="I32" s="78">
        <f>SUM(D32-C32, F32-E32, H32-G32)</f>
        <v/>
      </c>
      <c r="J32" s="80" t="inlineStr">
        <is>
          <t>OT # 175568. Av Sixto Duran en la estructura 303796 se realiza trabajos para cambiar estructura chocada, se suelta las fibras opticas, estructura 303711 se abre breaker de tranformador 14582 Av Sixto Duran en la estructura 303796 se realiza desmontaje de lampara, acometidas, lineas, grupo de energizados aislan lineas de M/T para manipular cruceta. Av Sixto Duran en la estructura 303796 se realiza limpiado del hueco, se coloca estructura, se arma cruceta, se coloca red de B/T se monta lampara, estructura 303711 se cierra breaker de tranformador 14582 de 30 Kva , conecta normal el servicio, se verifica que todo este normal. Traslado a la agencia se descarga herramientas</t>
        </is>
      </c>
      <c r="K32">
        <f>SUM((D32-C32)*1.5*24)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CARTUCHE SILVA GERARDO PATRICIO</t>
        </is>
      </c>
      <c r="I2" s="53">
        <f>SUM(K6:K36)</f>
        <v/>
      </c>
      <c r="J2" s="54" t="inlineStr">
        <is>
          <t>TOTAL</t>
        </is>
      </c>
    </row>
    <row r="3" ht="18.75" customHeight="1" s="47">
      <c r="A3" s="55" t="inlineStr">
        <is>
          <t>Cuadrilla o Agencia:</t>
        </is>
      </c>
      <c r="B3" s="55" t="n"/>
      <c r="C3" s="55" t="n"/>
      <c r="D3" s="55" t="n"/>
      <c r="E3" s="56" t="n"/>
      <c r="F3" s="56" t="n"/>
      <c r="G3" s="56" t="n"/>
      <c r="H3" s="52" t="inlineStr">
        <is>
          <t>Agencia Gualaquiza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0.8034722222222223</v>
      </c>
      <c r="D7" s="79" t="n">
        <v>0.8652777777777778</v>
      </c>
      <c r="E7" s="78" t="n">
        <v/>
      </c>
      <c r="F7" s="79" t="n">
        <v/>
      </c>
      <c r="G7" s="78" t="n">
        <v/>
      </c>
      <c r="H7" s="79" t="n">
        <v/>
      </c>
      <c r="I7" s="78">
        <f>SUM(D7-C7, F7-E7, H7-G7)</f>
        <v/>
      </c>
      <c r="J7" s="80" t="inlineStr">
        <is>
          <t>OT # 173960. Guayusal, reivision y limpieza RBV Est 219763, rehabilitación transf 23459 de 10kva, estructura 255869; Causa: vegetación</t>
        </is>
      </c>
      <c r="K7">
        <f>SUM((D7-C7)*1.5*24)</f>
        <v/>
      </c>
    </row>
    <row r="8" ht="17.35" customHeight="1" s="47">
      <c r="A8" s="72">
        <f>IF(B8&gt;0,PROPER(TEXT(B8,"dddd")),"")</f>
        <v/>
      </c>
      <c r="B8" s="77" t="n">
        <v>46115</v>
      </c>
      <c r="C8" s="78" t="n">
        <v>0.3701388888888889</v>
      </c>
      <c r="D8" s="79" t="n">
        <v>0.5520833333333334</v>
      </c>
      <c r="E8" s="78" t="n">
        <v>0.7090277777777778</v>
      </c>
      <c r="F8" s="79" t="n">
        <v>0.7951388888888888</v>
      </c>
      <c r="G8" s="78" t="n">
        <v/>
      </c>
      <c r="H8" s="79" t="n">
        <v/>
      </c>
      <c r="I8" s="78">
        <f>SUM(D8-C8, F8-E8, H8-G8)</f>
        <v/>
      </c>
      <c r="J8" s="80" t="inlineStr">
        <is>
          <t>OT # 174080. DIA FESTIVO “Viernes Santo” Naichap, Est 037299, revision y restitucion medidor 194238 por 18-258039 borneras quemadas. Aguacate, Est 127921, revision y restitucion medidor 194324 por 18-258040</t>
        </is>
      </c>
      <c r="K8">
        <f>SUM((D8-C8)*2.0*24,(F8-E8)*2.0*24)</f>
        <v/>
      </c>
    </row>
    <row r="9" ht="17.35" customHeight="1" s="47">
      <c r="A9" s="72">
        <f>IF(B9&gt;0,PROPER(TEXT(B9,"dddd")),"")</f>
        <v/>
      </c>
      <c r="B9" s="77" t="n">
        <v>46116</v>
      </c>
      <c r="C9" s="78" t="n">
        <v>0.6777777777777778</v>
      </c>
      <c r="D9" s="79" t="n">
        <v>0.7666666666666667</v>
      </c>
      <c r="E9" s="78" t="n">
        <v/>
      </c>
      <c r="F9" s="79" t="n">
        <v/>
      </c>
      <c r="G9" s="78" t="n">
        <v/>
      </c>
      <c r="H9" s="79" t="n">
        <v/>
      </c>
      <c r="I9" s="78">
        <f>SUM(D9-C9, F9-E9, H9-G9)</f>
        <v/>
      </c>
      <c r="J9" s="80" t="inlineStr">
        <is>
          <t>OT # 174083. Guayusal, revision LMV estructuras 291765 a 128632, sin encontrar novedad, en la Est 291765 cambio tirafusible 25A-T; Causa: descargas atmosfericas</t>
        </is>
      </c>
      <c r="K9">
        <f>SUM((D9-C9)*2.0*24)</f>
        <v/>
      </c>
    </row>
    <row r="10" ht="17.35" customHeight="1" s="47">
      <c r="A10" s="72">
        <f>IF(B10&gt;0,PROPER(TEXT(B10,"dddd")),"")</f>
        <v/>
      </c>
      <c r="B10" s="77" t="n">
        <v>46117</v>
      </c>
      <c r="C10" s="78" t="n">
        <v>0.3666666666666666</v>
      </c>
      <c r="D10" s="79" t="n">
        <v>0.4506944444444445</v>
      </c>
      <c r="E10" s="78" t="n">
        <v/>
      </c>
      <c r="F10" s="79" t="n">
        <v/>
      </c>
      <c r="G10" s="78" t="n">
        <v/>
      </c>
      <c r="H10" s="79" t="n">
        <v/>
      </c>
      <c r="I10" s="78">
        <f>SUM(D10-C10, F10-E10, H10-G10)</f>
        <v/>
      </c>
      <c r="J10" s="80" t="inlineStr">
        <is>
          <t>OT # 174084. Chumpias, revision LMV estructuras 028535 a 065848, sin encontrar novedad, Est 028535 cambio tirafusible 25A-T; Causa: descargas atmosfericas</t>
        </is>
      </c>
      <c r="K10">
        <f>SUM((D10-C10)*2.0*24)</f>
        <v/>
      </c>
    </row>
    <row r="11" ht="17.35" customHeight="1" s="47">
      <c r="A11" s="72">
        <f>IF(B11&gt;0,PROPER(TEXT(B11,"dddd")),"")</f>
        <v/>
      </c>
      <c r="B11" s="77" t="n">
        <v>46118</v>
      </c>
      <c r="C11" s="78" t="n">
        <v>0.7986111111111112</v>
      </c>
      <c r="D11" s="79" t="n">
        <v>0.8854166666666666</v>
      </c>
      <c r="E11" s="78" t="n">
        <v/>
      </c>
      <c r="F11" s="79" t="n">
        <v/>
      </c>
      <c r="G11" s="78" t="n">
        <v/>
      </c>
      <c r="H11" s="79" t="n">
        <v/>
      </c>
      <c r="I11" s="78">
        <f>SUM(D11-C11, F11-E11, H11-G11)</f>
        <v/>
      </c>
      <c r="J11" s="80" t="inlineStr">
        <is>
          <t>OT # 174310. La Pradera, se arregla acometida del Med # 240908, se rehabilita trafo 20916, retorno a Gualaquiza</t>
        </is>
      </c>
      <c r="K11">
        <f>SUM((D11-C11)*1.5*24)</f>
        <v/>
      </c>
    </row>
    <row r="12" ht="17.35" customHeight="1" s="47">
      <c r="A12" s="72">
        <f>IF(B12&gt;0,PROPER(TEXT(B12,"dddd")),"")</f>
        <v/>
      </c>
      <c r="B12" s="77" t="n">
        <v>46119</v>
      </c>
      <c r="C12" s="78" t="n">
        <v>0.75</v>
      </c>
      <c r="D12" s="79" t="n">
        <v>0.8472222222222222</v>
      </c>
      <c r="E12" s="78" t="n">
        <v/>
      </c>
      <c r="F12" s="79" t="n">
        <v/>
      </c>
      <c r="G12" s="78" t="n">
        <v/>
      </c>
      <c r="H12" s="79" t="n">
        <v/>
      </c>
      <c r="I12" s="81">
        <f>SUM(D12-C12, F12-E12, H12-G12)</f>
        <v/>
      </c>
      <c r="J12" s="80" t="inlineStr">
        <is>
          <t>OT # 174313. Shiramentza, se revisa RBV, no se encuentra novedad, se cambia tirafusible de 1,3A-SR en Est 237230 tarfo # 22357</t>
        </is>
      </c>
      <c r="K12">
        <f>SUM((D12-C12)*1.5*24)</f>
        <v/>
      </c>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0.7270833333333333</v>
      </c>
      <c r="D15" s="79" t="n">
        <v>0.8173611111111111</v>
      </c>
      <c r="E15" s="78" t="n">
        <v/>
      </c>
      <c r="F15" s="79" t="n">
        <v/>
      </c>
      <c r="G15" s="78" t="n">
        <v/>
      </c>
      <c r="H15" s="79" t="n">
        <v/>
      </c>
      <c r="I15" s="78">
        <f>SUM(D15-C15, F15-E15, H15-G15)</f>
        <v/>
      </c>
      <c r="J15" s="80" t="inlineStr">
        <is>
          <t>OT # 174486. Tutus, reposición de tirafusible 6A-T Est 91980; Causa: desconocida</t>
        </is>
      </c>
      <c r="K15">
        <f>SUM((D15-C15)*1.5*24)</f>
        <v/>
      </c>
    </row>
    <row r="16" ht="17.35" customHeight="1" s="47">
      <c r="A16" s="72">
        <f>IF(B16&gt;0,PROPER(TEXT(B16,"dddd")),"")</f>
        <v/>
      </c>
      <c r="B16" s="77" t="n">
        <v>46123</v>
      </c>
      <c r="C16" s="78" t="n">
        <v>0.3472222222222222</v>
      </c>
      <c r="D16" s="79" t="n">
        <v>0.5430555555555555</v>
      </c>
      <c r="E16" s="78" t="n">
        <v>0.5854166666666667</v>
      </c>
      <c r="F16" s="79" t="n">
        <v>0.6944444444444444</v>
      </c>
      <c r="G16" s="78" t="n">
        <v>0.8944444444444445</v>
      </c>
      <c r="H16" s="79" t="n">
        <v>0.9375</v>
      </c>
      <c r="I16" s="78">
        <f>SUM(D16-C16, F16-E16, H16-G16)</f>
        <v/>
      </c>
      <c r="J16" s="80" t="inlineStr">
        <is>
          <t>OT # 174555. Guabi Alto, se recupera medidor por caída de tubo, Med # 1223232, se  rehabilita trafo 21485, en la Est 1266959 de 6A-T. Buenos Aires, se repone tirafusible de 6A-T en Est 266482; Causa: desconocida</t>
        </is>
      </c>
      <c r="K16">
        <f>SUM((D16-C16)*2.0*24,(F16-E16)*2.0*24,(H16-G16)*2.0*24)</f>
        <v/>
      </c>
    </row>
    <row r="17" ht="17.35" customHeight="1" s="47">
      <c r="A17" s="72">
        <f>IF(B17&gt;0,PROPER(TEXT(B17,"dddd")),"")</f>
        <v/>
      </c>
      <c r="B17" s="77" t="n">
        <v>46124</v>
      </c>
      <c r="C17" s="78" t="n">
        <v>0.4020833333333333</v>
      </c>
      <c r="D17" s="79" t="n">
        <v>0.4861111111111111</v>
      </c>
      <c r="E17" s="78" t="n">
        <v/>
      </c>
      <c r="F17" s="79" t="n">
        <v/>
      </c>
      <c r="G17" s="78" t="n">
        <v/>
      </c>
      <c r="H17" s="79" t="n">
        <v/>
      </c>
      <c r="I17" s="78">
        <f>SUM(D17-C17, F17-E17, H17-G17)</f>
        <v/>
      </c>
      <c r="J17" s="80" t="inlineStr">
        <is>
          <t>OT # 174743. Nueva Zaruma, Est 127829 cambio tirafusible 8A-T; Causa: desconocida</t>
        </is>
      </c>
      <c r="K17">
        <f>SUM((D17-C17)*2.0*24)</f>
        <v/>
      </c>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0.7395833333333334</v>
      </c>
      <c r="D29" s="79" t="n">
        <v>0.8083333333333333</v>
      </c>
      <c r="E29" s="78" t="n">
        <v/>
      </c>
      <c r="F29" s="79" t="n">
        <v/>
      </c>
      <c r="G29" s="78" t="n">
        <v/>
      </c>
      <c r="H29" s="79" t="n">
        <v/>
      </c>
      <c r="I29" s="78">
        <f>SUM(D29-C29, F29-E29, H29-G29)</f>
        <v/>
      </c>
      <c r="J29" s="80" t="inlineStr">
        <is>
          <t>OT # 175420. Bomboiza, acometida arrancada del Med # 1000407925, se reemplaza 18 mts de triplex y se repone caja Anti Hurto, estructura 303905.</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GUZMAN BARROS MARCO FERNANDO</t>
        </is>
      </c>
      <c r="I2" s="53">
        <f>SUM(K6:K36)</f>
        <v/>
      </c>
      <c r="J2" s="54" t="inlineStr">
        <is>
          <t>TOTAL</t>
        </is>
      </c>
    </row>
    <row r="3" ht="18.75" customHeight="1" s="47">
      <c r="A3" s="55" t="inlineStr">
        <is>
          <t>Cuadrilla o Agencia:</t>
        </is>
      </c>
      <c r="B3" s="55" t="n"/>
      <c r="C3" s="55" t="n"/>
      <c r="D3" s="55" t="n"/>
      <c r="E3" s="56" t="n"/>
      <c r="F3" s="56" t="n"/>
      <c r="G3" s="56" t="n"/>
      <c r="H3" s="52" t="inlineStr">
        <is>
          <t>Cuadrilla Gualaquiza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0.84375</v>
      </c>
      <c r="D18" s="79" t="n">
        <v>0.9180555555555555</v>
      </c>
      <c r="E18" s="78" t="n">
        <v/>
      </c>
      <c r="F18" s="79" t="n">
        <v/>
      </c>
      <c r="G18" s="78" t="n">
        <v/>
      </c>
      <c r="H18" s="79" t="n">
        <v/>
      </c>
      <c r="I18" s="78">
        <f>SUM(D18-C18, F18-E18, H18-G18)</f>
        <v/>
      </c>
      <c r="J18" s="80" t="inlineStr">
        <is>
          <t>OT # 174616. Sevilla, por disposicion del Ing. Quezada, mediciones de voltaje en transformador 10622. Marginal Churuyacu, árbol seco caido sobre la RBV estructura 61863-62765, se corta arbol, se regula lineas. Barrio La Union, se repone tirafusible de 6A-T en Est 40595. Barrio Amistad, Est 303711 se rehabilita transformador 14582 de 30 kva (3ø); Causa: sobrecarga</t>
        </is>
      </c>
      <c r="K18">
        <f>SUM((D18-C18)*1.5*24)</f>
        <v/>
      </c>
    </row>
    <row r="19" ht="17.35" customHeight="1" s="47">
      <c r="A19" s="72">
        <f>IF(B19&gt;0,PROPER(TEXT(B19,"dddd")),"")</f>
        <v/>
      </c>
      <c r="B19" s="77" t="n">
        <v>46126</v>
      </c>
      <c r="C19" s="78" t="n">
        <v>0.7083333333333334</v>
      </c>
      <c r="D19" s="79" t="n">
        <v>0.79375</v>
      </c>
      <c r="E19" s="78" t="n">
        <v/>
      </c>
      <c r="F19" s="79" t="n">
        <v/>
      </c>
      <c r="G19" s="78" t="n">
        <v/>
      </c>
      <c r="H19" s="79" t="n">
        <v/>
      </c>
      <c r="I19" s="78">
        <f>SUM(D19-C19, F19-E19, H19-G19)</f>
        <v/>
      </c>
      <c r="J19" s="80" t="inlineStr">
        <is>
          <t>OT # 174708. La Libertad, retiro de árbol sobre LMV, reposición tirafusible de  1,3A-SR Est 161135. Retorno a Gualaquiza</t>
        </is>
      </c>
      <c r="K19">
        <f>SUM((D19-C19)*1.5*24)</f>
        <v/>
      </c>
    </row>
    <row r="20" ht="17.35" customHeight="1" s="47">
      <c r="A20" s="72">
        <f>IF(B20&gt;0,PROPER(TEXT(B20,"dddd")),"")</f>
        <v/>
      </c>
      <c r="B20" s="77" t="n">
        <v>46127</v>
      </c>
      <c r="C20" s="78" t="n">
        <v>0.7083333333333334</v>
      </c>
      <c r="D20" s="79" t="n">
        <v>0.7548611111111111</v>
      </c>
      <c r="E20" s="78" t="n">
        <v/>
      </c>
      <c r="F20" s="79" t="n">
        <v/>
      </c>
      <c r="G20" s="78" t="n">
        <v/>
      </c>
      <c r="H20" s="79" t="n">
        <v/>
      </c>
      <c r="I20" s="78">
        <f>SUM(D20-C20, F20-E20, H20-G20)</f>
        <v/>
      </c>
      <c r="J20" s="80" t="inlineStr">
        <is>
          <t xml:space="preserve">OT # 174783. Yuma, Est 210213 se acometida arrancada por incendio forestal. </t>
        </is>
      </c>
      <c r="K20">
        <f>SUM((D20-C20)*1.5*24)</f>
        <v/>
      </c>
    </row>
    <row r="21" ht="17.35" customHeight="1" s="47">
      <c r="A21" s="72">
        <f>IF(B21&gt;0,PROPER(TEXT(B21,"dddd")),"")</f>
        <v/>
      </c>
      <c r="B21" s="77" t="n">
        <v>46128</v>
      </c>
      <c r="C21" s="78" t="n">
        <v>0.7548611111111111</v>
      </c>
      <c r="D21" s="79" t="n">
        <v>0.7951388888888888</v>
      </c>
      <c r="E21" s="78" t="n">
        <v/>
      </c>
      <c r="F21" s="79" t="n">
        <v/>
      </c>
      <c r="G21" s="78" t="n">
        <v/>
      </c>
      <c r="H21" s="79" t="n">
        <v/>
      </c>
      <c r="I21" s="78">
        <f>SUM(D21-C21, F21-E21, H21-G21)</f>
        <v/>
      </c>
      <c r="J21" s="80" t="inlineStr">
        <is>
          <t>OT # 174872. Gualaquiza, Parque Central, Est 40441 y 40442 se revisa RBV, se rehabilita breaker conectando normal el servicio; CAUSA sobrecarga.</t>
        </is>
      </c>
      <c r="K21">
        <f>SUM((D21-C21)*1.5*24)</f>
        <v/>
      </c>
    </row>
    <row r="22" ht="17.35" customHeight="1" s="47">
      <c r="A22" s="72">
        <f>IF(B22&gt;0,PROPER(TEXT(B22,"dddd")),"")</f>
        <v/>
      </c>
      <c r="B22" s="77" t="n">
        <v>46129</v>
      </c>
      <c r="C22" s="78" t="n">
        <v>0.7777777777777778</v>
      </c>
      <c r="D22" s="79" t="n">
        <v>0.8611111111111112</v>
      </c>
      <c r="E22" s="78" t="n">
        <v/>
      </c>
      <c r="F22" s="79" t="n">
        <v/>
      </c>
      <c r="G22" s="78" t="n">
        <v/>
      </c>
      <c r="H22" s="79" t="n">
        <v/>
      </c>
      <c r="I22" s="78">
        <f>SUM(D22-C22, F22-E22, H22-G22)</f>
        <v/>
      </c>
      <c r="J22" s="80" t="inlineStr">
        <is>
          <t>OT # 174936. Parroquia Mercedes Molina, registro de luminarias apagadas en el sector Sevilla- Tambo Viejo- Relleno Sanitario.</t>
        </is>
      </c>
      <c r="K22">
        <f>SUM((D22-C22)*1.5*24)</f>
        <v/>
      </c>
    </row>
    <row r="23" ht="17.35" customHeight="1" s="47">
      <c r="A23" s="72">
        <f>IF(B23&gt;0,PROPER(TEXT(B23,"dddd")),"")</f>
        <v/>
      </c>
      <c r="B23" s="77" t="n">
        <v>46130</v>
      </c>
      <c r="C23" s="78" t="n">
        <v>0.4055555555555556</v>
      </c>
      <c r="D23" s="79" t="n">
        <v>0.6166666666666667</v>
      </c>
      <c r="E23" s="78" t="n">
        <v/>
      </c>
      <c r="F23" s="79" t="n">
        <v/>
      </c>
      <c r="G23" s="78" t="n">
        <v/>
      </c>
      <c r="H23" s="79" t="n">
        <v/>
      </c>
      <c r="I23" s="78">
        <f>SUM(D23-C23, F23-E23, H23-G23)</f>
        <v/>
      </c>
      <c r="J23" s="80" t="inlineStr">
        <is>
          <t>OT # 175066. San Francisco, Est 224794 se revisa LMV y se repone tirafusible de 12A-T; Causa: descargas. Yawi, se revisa LMV, se repone fusible Est 128175 de 2,1 A-SR ; Causa: vegetacion.</t>
        </is>
      </c>
      <c r="K23">
        <f>SUM((D23-C23)*2.0*24)</f>
        <v/>
      </c>
    </row>
    <row r="24" ht="17.35" customHeight="1" s="47">
      <c r="A24" s="72">
        <f>IF(B24&gt;0,PROPER(TEXT(B24,"dddd")),"")</f>
        <v/>
      </c>
      <c r="B24" s="77" t="n">
        <v>46131</v>
      </c>
      <c r="C24" s="78" t="n">
        <v>0.5902777777777778</v>
      </c>
      <c r="D24" s="79" t="n">
        <v>0.65625</v>
      </c>
      <c r="E24" s="78" t="n">
        <v>0.7763888888888889</v>
      </c>
      <c r="F24" s="79" t="n">
        <v>0.85625</v>
      </c>
      <c r="G24" s="78" t="n">
        <v/>
      </c>
      <c r="H24" s="79" t="n">
        <v/>
      </c>
      <c r="I24" s="78">
        <f>SUM(D24-C24, F24-E24, H24-G24)</f>
        <v/>
      </c>
      <c r="J24" s="80" t="inlineStr">
        <is>
          <t>OT # 175070. Yumaza, Med 251293 Est 62790 se encuentra sulfato en puente de la RBV, se arrergla conexiones.</t>
        </is>
      </c>
      <c r="K24">
        <f>SUM((D24-C24)*2.0*24,(F24-E24)*2.0*24)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0.7083333333333334</v>
      </c>
      <c r="D32" s="79" t="n">
        <v>0.8555555555555555</v>
      </c>
      <c r="E32" s="78" t="n">
        <v/>
      </c>
      <c r="F32" s="79" t="n">
        <v/>
      </c>
      <c r="G32" s="78" t="n">
        <v/>
      </c>
      <c r="H32" s="79" t="n">
        <v/>
      </c>
      <c r="I32" s="78">
        <f>SUM(D32-C32, F32-E32, H32-G32)</f>
        <v/>
      </c>
      <c r="J32" s="80" t="inlineStr">
        <is>
          <t>OT # 175568. Av Sixto Duran en la estructura 303796 se realiza trabajos para cambiar estructura chocada, se suelta las fibras opticas, estructura 303711 se abre breaker de tranformador 14582 Av Sixto Duran en la estructura 303796 se realiza desmontaje de lampara, acometidas, lineas, grupo de energizados aislan lineas de M/T para manipular cruceta. Av Sixto Duran en la estructura 303796 se realiza limpiado del hueco, se coloca estructura, se arma cruceta, se coloca red de B/T se monta lampara, estructura 303711 se cierra breaker de tranformador 14582 de 30 Kva , conecta normal el servicio, se verifica que todo este normal. Traslado a la agencia se descarga herramientas</t>
        </is>
      </c>
      <c r="K32">
        <f>SUM((D32-C32)*1.5*24)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ALMEIDA ENCALADA MANUEL AGUSTIN</t>
        </is>
      </c>
      <c r="I2" s="53">
        <f>SUM(K6:K36)</f>
        <v/>
      </c>
      <c r="J2" s="54" t="inlineStr">
        <is>
          <t>TOTAL</t>
        </is>
      </c>
    </row>
    <row r="3" ht="18.75" customHeight="1" s="47">
      <c r="A3" s="55" t="inlineStr">
        <is>
          <t>Cuadrilla o Agencia:</t>
        </is>
      </c>
      <c r="B3" s="55" t="n"/>
      <c r="C3" s="55" t="n"/>
      <c r="D3" s="55" t="n"/>
      <c r="E3" s="56" t="n"/>
      <c r="F3" s="56" t="n"/>
      <c r="G3" s="56" t="n"/>
      <c r="H3" s="52" t="inlineStr">
        <is>
          <t>Cuadrilla Gualaquiza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
      </c>
      <c r="D7" s="79" t="n">
        <v/>
      </c>
      <c r="E7" s="78" t="n">
        <v/>
      </c>
      <c r="F7" s="79" t="n">
        <v/>
      </c>
      <c r="G7" s="78" t="n">
        <v/>
      </c>
      <c r="H7" s="79" t="n">
        <v/>
      </c>
      <c r="I7" s="78">
        <f>SUM(D7-C7, F7-E7, H7-G7)</f>
        <v/>
      </c>
      <c r="J7" s="80" t="n">
        <v/>
      </c>
      <c r="K7" t="inlineStr"/>
    </row>
    <row r="8" ht="17.35" customHeight="1" s="47">
      <c r="A8" s="72">
        <f>IF(B8&gt;0,PROPER(TEXT(B8,"dddd")),"")</f>
        <v/>
      </c>
      <c r="B8" s="77" t="n">
        <v>46115</v>
      </c>
      <c r="C8" s="78" t="n">
        <v/>
      </c>
      <c r="D8" s="79" t="n">
        <v/>
      </c>
      <c r="E8" s="78" t="n">
        <v/>
      </c>
      <c r="F8" s="79" t="n">
        <v/>
      </c>
      <c r="G8" s="78" t="n">
        <v/>
      </c>
      <c r="H8" s="79" t="n">
        <v/>
      </c>
      <c r="I8" s="78">
        <f>SUM(D8-C8, F8-E8, H8-G8)</f>
        <v/>
      </c>
      <c r="J8" s="80" t="n">
        <v/>
      </c>
      <c r="K8" t="inlineStr"/>
    </row>
    <row r="9" ht="17.35" customHeight="1" s="47">
      <c r="A9" s="72">
        <f>IF(B9&gt;0,PROPER(TEXT(B9,"dddd")),"")</f>
        <v/>
      </c>
      <c r="B9" s="77" t="n">
        <v>46116</v>
      </c>
      <c r="C9" s="78" t="n">
        <v/>
      </c>
      <c r="D9" s="79" t="n">
        <v/>
      </c>
      <c r="E9" s="78" t="n">
        <v/>
      </c>
      <c r="F9" s="79" t="n">
        <v/>
      </c>
      <c r="G9" s="78" t="n">
        <v/>
      </c>
      <c r="H9" s="79" t="n">
        <v/>
      </c>
      <c r="I9" s="78">
        <f>SUM(D9-C9, F9-E9, H9-G9)</f>
        <v/>
      </c>
      <c r="J9" s="80" t="n">
        <v/>
      </c>
      <c r="K9" t="inlineStr"/>
    </row>
    <row r="10" ht="17.35" customHeight="1" s="47">
      <c r="A10" s="72">
        <f>IF(B10&gt;0,PROPER(TEXT(B10,"dddd")),"")</f>
        <v/>
      </c>
      <c r="B10" s="77" t="n">
        <v>46117</v>
      </c>
      <c r="C10" s="78" t="n">
        <v/>
      </c>
      <c r="D10" s="79" t="n">
        <v/>
      </c>
      <c r="E10" s="78" t="n">
        <v/>
      </c>
      <c r="F10" s="79" t="n">
        <v/>
      </c>
      <c r="G10" s="78" t="n">
        <v/>
      </c>
      <c r="H10" s="79" t="n">
        <v/>
      </c>
      <c r="I10" s="78">
        <f>SUM(D10-C10, F10-E10, H10-G10)</f>
        <v/>
      </c>
      <c r="J10" s="80" t="n">
        <v/>
      </c>
      <c r="K10" t="inlineStr"/>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0.7083333333333334</v>
      </c>
      <c r="D19" s="79" t="n">
        <v>0.79375</v>
      </c>
      <c r="E19" s="78" t="n">
        <v/>
      </c>
      <c r="F19" s="79" t="n">
        <v/>
      </c>
      <c r="G19" s="78" t="n">
        <v/>
      </c>
      <c r="H19" s="79" t="n">
        <v/>
      </c>
      <c r="I19" s="78">
        <f>SUM(D19-C19, F19-E19, H19-G19)</f>
        <v/>
      </c>
      <c r="J19" s="80" t="inlineStr">
        <is>
          <t>OT # 174708. La Libertad, retiro de árbol sobre LMV, reposición tirafusible de  1,3A-SR Est 161135. Retorno a Gualaquiza</t>
        </is>
      </c>
      <c r="K19">
        <f>SUM((D19-C19)*1.5*24)</f>
        <v/>
      </c>
    </row>
    <row r="20" ht="17.35" customHeight="1" s="47">
      <c r="A20" s="72">
        <f>IF(B20&gt;0,PROPER(TEXT(B20,"dddd")),"")</f>
        <v/>
      </c>
      <c r="B20" s="77" t="n">
        <v>46127</v>
      </c>
      <c r="C20" s="78" t="n">
        <v>0.7083333333333334</v>
      </c>
      <c r="D20" s="79" t="n">
        <v>0.7548611111111111</v>
      </c>
      <c r="E20" s="78" t="n">
        <v/>
      </c>
      <c r="F20" s="79" t="n">
        <v/>
      </c>
      <c r="G20" s="78" t="n">
        <v/>
      </c>
      <c r="H20" s="79" t="n">
        <v/>
      </c>
      <c r="I20" s="78">
        <f>SUM(D20-C20, F20-E20, H20-G20)</f>
        <v/>
      </c>
      <c r="J20" s="80" t="inlineStr">
        <is>
          <t xml:space="preserve">OT # 174783. Yuma, Est 210213 se acometida arrancada por incendio forestal. </t>
        </is>
      </c>
      <c r="K20">
        <f>SUM((D20-C20)*1.5*24)</f>
        <v/>
      </c>
    </row>
    <row r="21" ht="17.35" customHeight="1" s="47">
      <c r="A21" s="72">
        <f>IF(B21&gt;0,PROPER(TEXT(B21,"dddd")),"")</f>
        <v/>
      </c>
      <c r="B21" s="77" t="n">
        <v>46128</v>
      </c>
      <c r="C21" s="78" t="n">
        <v>0.7548611111111111</v>
      </c>
      <c r="D21" s="79" t="n">
        <v>0.7951388888888888</v>
      </c>
      <c r="E21" s="78" t="n">
        <v/>
      </c>
      <c r="F21" s="79" t="n">
        <v/>
      </c>
      <c r="G21" s="78" t="n">
        <v/>
      </c>
      <c r="H21" s="79" t="n">
        <v/>
      </c>
      <c r="I21" s="78">
        <f>SUM(D21-C21, F21-E21, H21-G21)</f>
        <v/>
      </c>
      <c r="J21" s="80" t="inlineStr">
        <is>
          <t>OT # 174872. Gualaquiza, Parque Central, Est 40441 y 40442 se revisa RBV, se rehabilita breaker conectando normal el servicio; CAUSA sobrecarga.</t>
        </is>
      </c>
      <c r="K21">
        <f>SUM((D21-C21)*1.5*24)</f>
        <v/>
      </c>
    </row>
    <row r="22" ht="17.35" customHeight="1" s="47">
      <c r="A22" s="72">
        <f>IF(B22&gt;0,PROPER(TEXT(B22,"dddd")),"")</f>
        <v/>
      </c>
      <c r="B22" s="77" t="n">
        <v>46129</v>
      </c>
      <c r="C22" s="78" t="n">
        <v>0.7777777777777778</v>
      </c>
      <c r="D22" s="79" t="n">
        <v>0.8611111111111112</v>
      </c>
      <c r="E22" s="78" t="n">
        <v/>
      </c>
      <c r="F22" s="79" t="n">
        <v/>
      </c>
      <c r="G22" s="78" t="n">
        <v/>
      </c>
      <c r="H22" s="79" t="n">
        <v/>
      </c>
      <c r="I22" s="78">
        <f>SUM(D22-C22, F22-E22, H22-G22)</f>
        <v/>
      </c>
      <c r="J22" s="80" t="inlineStr">
        <is>
          <t>OT # 174936. Parroquia Mercedes Molina, registro de luminarias apagadas en el sector Sevilla- Tambo Viejo- Relleno Sanitario.</t>
        </is>
      </c>
      <c r="K22">
        <f>SUM((D22-C22)*1.5*24)</f>
        <v/>
      </c>
    </row>
    <row r="23" ht="17.35" customHeight="1" s="47">
      <c r="A23" s="72">
        <f>IF(B23&gt;0,PROPER(TEXT(B23,"dddd")),"")</f>
        <v/>
      </c>
      <c r="B23" s="77" t="n">
        <v>46130</v>
      </c>
      <c r="C23" s="78" t="n">
        <v>0.4055555555555556</v>
      </c>
      <c r="D23" s="79" t="n">
        <v>0.6166666666666667</v>
      </c>
      <c r="E23" s="78" t="n">
        <v/>
      </c>
      <c r="F23" s="79" t="n">
        <v/>
      </c>
      <c r="G23" s="78" t="n">
        <v/>
      </c>
      <c r="H23" s="79" t="n">
        <v/>
      </c>
      <c r="I23" s="78">
        <f>SUM(D23-C23, F23-E23, H23-G23)</f>
        <v/>
      </c>
      <c r="J23" s="80" t="inlineStr">
        <is>
          <t>OT # 175066. San Francisco, Est 224794 se revisa LMV y se repone tirafusible de 12A-T; Causa: descargas. Yawi, se revisa LMV, se repone fusible Est 128175 de 2,1 A-SR ; Causa: vegetacion.</t>
        </is>
      </c>
      <c r="K23">
        <f>SUM((D23-C23)*2.0*24)</f>
        <v/>
      </c>
    </row>
    <row r="24" ht="17.35" customHeight="1" s="47">
      <c r="A24" s="72">
        <f>IF(B24&gt;0,PROPER(TEXT(B24,"dddd")),"")</f>
        <v/>
      </c>
      <c r="B24" s="77" t="n">
        <v>46131</v>
      </c>
      <c r="C24" s="78" t="n">
        <v>0.5902777777777778</v>
      </c>
      <c r="D24" s="79" t="n">
        <v>0.65625</v>
      </c>
      <c r="E24" s="78" t="n">
        <v>0.7763888888888889</v>
      </c>
      <c r="F24" s="79" t="n">
        <v>0.85625</v>
      </c>
      <c r="G24" s="78" t="n">
        <v/>
      </c>
      <c r="H24" s="79" t="n">
        <v/>
      </c>
      <c r="I24" s="78">
        <f>SUM(D24-C24, F24-E24, H24-G24)</f>
        <v/>
      </c>
      <c r="J24" s="80" t="inlineStr">
        <is>
          <t>OT # 175070. Yumaza, Med 251293 Est 62790 se encuentra sulfato en puente de la RBV, se arrergla conexiones.</t>
        </is>
      </c>
      <c r="K24">
        <f>SUM((D24-C24)*2.0*24,(F24-E24)*2.0*24)</f>
        <v/>
      </c>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0.7395833333333334</v>
      </c>
      <c r="D29" s="79" t="n">
        <v>0.8083333333333333</v>
      </c>
      <c r="E29" s="78" t="n">
        <v/>
      </c>
      <c r="F29" s="79" t="n">
        <v/>
      </c>
      <c r="G29" s="78" t="n">
        <v/>
      </c>
      <c r="H29" s="79" t="n">
        <v/>
      </c>
      <c r="I29" s="78">
        <f>SUM(D29-C29, F29-E29, H29-G29)</f>
        <v/>
      </c>
      <c r="J29" s="80" t="inlineStr">
        <is>
          <t>OT # 175420. Bomboiza, acometida arrancada del Med # 1000407925, se reemplaza 18 mts de triplex y se repone caja Anti Hurto, estructura 303905.</t>
        </is>
      </c>
      <c r="K29">
        <f>SUM((D29-C29)*1.5*24)</f>
        <v/>
      </c>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0.7083333333333334</v>
      </c>
      <c r="D32" s="79" t="n">
        <v>0.8555555555555555</v>
      </c>
      <c r="E32" s="78" t="n">
        <v/>
      </c>
      <c r="F32" s="79" t="n">
        <v/>
      </c>
      <c r="G32" s="78" t="n">
        <v/>
      </c>
      <c r="H32" s="79" t="n">
        <v/>
      </c>
      <c r="I32" s="78">
        <f>SUM(D32-C32, F32-E32, H32-G32)</f>
        <v/>
      </c>
      <c r="J32" s="80" t="inlineStr">
        <is>
          <t>OT # 175568. Av Sixto Duran en la estructura 303796 se realiza trabajos para cambiar estructura chocada, se suelta las fibras opticas, estructura 303711 se abre breaker de tranformador 14582 Av Sixto Duran en la estructura 303796 se realiza desmontaje de lampara, acometidas, lineas, grupo de energizados aislan lineas de M/T para manipular cruceta. Av Sixto Duran en la estructura 303796 se realiza limpiado del hueco, se coloca estructura, se arma cruceta, se coloca red de B/T se monta lampara, estructura 303711 se cierra breaker de tranformador 14582 de 30 Kva , conecta normal el servicio, se verifica que todo este normal. Traslado a la agencia se descarga herramientas</t>
        </is>
      </c>
      <c r="K32">
        <f>SUM((D32-C32)*1.5*24)</f>
        <v/>
      </c>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CHAMBA CANGO PEDRO ROSALINO</t>
        </is>
      </c>
      <c r="I2" s="53">
        <f>SUM(K6:K36)</f>
        <v/>
      </c>
      <c r="J2" s="54" t="inlineStr">
        <is>
          <t>TOTAL</t>
        </is>
      </c>
    </row>
    <row r="3" ht="18.75" customHeight="1" s="47">
      <c r="A3" s="55" t="inlineStr">
        <is>
          <t>Cuadrilla o Agencia:</t>
        </is>
      </c>
      <c r="B3" s="55" t="n"/>
      <c r="C3" s="55" t="n"/>
      <c r="D3" s="55" t="n"/>
      <c r="E3" s="56" t="n"/>
      <c r="F3" s="56" t="n"/>
      <c r="G3" s="56" t="n"/>
      <c r="H3" s="52" t="inlineStr">
        <is>
          <t>Agencia Yantzaza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0.71875</v>
      </c>
      <c r="D7" s="79" t="n">
        <v>0.8229166666666666</v>
      </c>
      <c r="E7" s="78" t="n">
        <v/>
      </c>
      <c r="F7" s="79" t="n">
        <v/>
      </c>
      <c r="G7" s="78" t="n">
        <v/>
      </c>
      <c r="H7" s="79" t="n">
        <v/>
      </c>
      <c r="I7" s="78">
        <f>SUM(D7-C7, F7-E7, H7-G7)</f>
        <v/>
      </c>
      <c r="J7" s="80" t="inlineStr">
        <is>
          <t>OT # 174002. Ungumiatza, Est 30626, se encuentra RBV arrancada; Causa vegetación, se aisla para energizar Trafo 7080, quedan 2 viviendas sin servicio.</t>
        </is>
      </c>
      <c r="K7">
        <f>SUM((D7-C7)*1.5*24)</f>
        <v/>
      </c>
    </row>
    <row r="8" ht="17.35" customHeight="1" s="47">
      <c r="A8" s="72">
        <f>IF(B8&gt;0,PROPER(TEXT(B8,"dddd")),"")</f>
        <v/>
      </c>
      <c r="B8" s="77" t="n">
        <v>46115</v>
      </c>
      <c r="C8" s="78" t="n">
        <v>0.4375</v>
      </c>
      <c r="D8" s="79" t="n">
        <v>0.5416666666666666</v>
      </c>
      <c r="E8" s="78" t="n">
        <v>0.5833333333333334</v>
      </c>
      <c r="F8" s="79" t="n">
        <v>0.7611111111111111</v>
      </c>
      <c r="G8" s="78" t="n">
        <v/>
      </c>
      <c r="H8" s="79" t="n">
        <v/>
      </c>
      <c r="I8" s="78">
        <f>SUM(D8-C8, F8-E8, H8-G8)</f>
        <v/>
      </c>
      <c r="J8" s="80" t="inlineStr">
        <is>
          <t>OT # 174030. DÍA FESTIVO. “Viernes Santo”. Yantzaza – Zamora, se abastece de combustible (2-112). Jesús del Gran Poder, RBV rota, se empalma y regula, se rehabilita Trafo 24273. Traslado hasta Los Encuentros</t>
        </is>
      </c>
      <c r="K8">
        <f>SUM((D8-C8)*2.0*24,(F8-E8)*2.0*24)</f>
        <v/>
      </c>
    </row>
    <row r="9" ht="17.35" customHeight="1" s="47">
      <c r="A9" s="72">
        <f>IF(B9&gt;0,PROPER(TEXT(B9,"dddd")),"")</f>
        <v/>
      </c>
      <c r="B9" s="77" t="n">
        <v>46116</v>
      </c>
      <c r="C9" s="78" t="n">
        <v>0.34375</v>
      </c>
      <c r="D9" s="79" t="n">
        <v>0.5145833333333333</v>
      </c>
      <c r="E9" s="78" t="n">
        <v>0.6048611111111111</v>
      </c>
      <c r="F9" s="79" t="n">
        <v>0.6465277777777778</v>
      </c>
      <c r="G9" s="78" t="n">
        <v>0.6840277777777778</v>
      </c>
      <c r="H9" s="79" t="n">
        <v>0.7673611111111112</v>
      </c>
      <c r="I9" s="78">
        <f>SUM(D9-C9, F9-E9, H9-G9)</f>
        <v/>
      </c>
      <c r="J9" s="80" t="inlineStr">
        <is>
          <t>OT # 174054. Ungumiatza, postes 30626 y 30627 desbroce de vegetación, se empalma la RBV; se rehabilita trafo 7080. Barrio Guayabal, breaker sulfatados Med # 18-214982 y se normaliza el servicio</t>
        </is>
      </c>
      <c r="K9">
        <f>SUM((D9-C9)*2.0*24,(F9-E9)*2.0*24,(H9-G9)*2.0*24)</f>
        <v/>
      </c>
    </row>
    <row r="10" ht="17.35" customHeight="1" s="47">
      <c r="A10" s="72">
        <f>IF(B10&gt;0,PROPER(TEXT(B10,"dddd")),"")</f>
        <v/>
      </c>
      <c r="B10" s="77" t="n">
        <v>46117</v>
      </c>
      <c r="C10" s="78" t="n">
        <v>0.3888888888888889</v>
      </c>
      <c r="D10" s="79" t="n">
        <v>0.5416666666666666</v>
      </c>
      <c r="E10" s="78" t="n">
        <v>0.5833333333333334</v>
      </c>
      <c r="F10" s="79" t="n">
        <v>0.7013888888888888</v>
      </c>
      <c r="G10" s="78" t="n">
        <v>0.7986111111111112</v>
      </c>
      <c r="H10" s="79" t="n">
        <v>0.9027777777777778</v>
      </c>
      <c r="I10" s="78">
        <f>SUM(D10-C10, F10-E10, H10-G10)</f>
        <v/>
      </c>
      <c r="J10" s="80" t="inlineStr">
        <is>
          <t>OT # 174076. Chimbutza, se repone tirafusible 25A-K Est 62399; Causa: ave. Vía a Zarza, en Santa Lucía, trabajos en la vía, Est 33972 se repone tirafusible de 15A tipo T; no se encuentra novedad. El Zarza, Est 33963, Med # 1000024546, tubo doblado por volquete, el cliente ya ha tenido puesto tubo, se reubica el medidor. Retorno a Yantzaza.</t>
        </is>
      </c>
      <c r="K10">
        <f>SUM((D10-C10)*2.0*24,(F10-E10)*2.0*24,(H10-G10)*2.0*24)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0.8375</v>
      </c>
      <c r="D19" s="79" t="n">
        <v>0.8791666666666667</v>
      </c>
      <c r="E19" s="78" t="n">
        <v/>
      </c>
      <c r="F19" s="79" t="n">
        <v/>
      </c>
      <c r="G19" s="78" t="n">
        <v/>
      </c>
      <c r="H19" s="79" t="n">
        <v/>
      </c>
      <c r="I19" s="78">
        <f>SUM(D19-C19, F19-E19, H19-G19)</f>
        <v/>
      </c>
      <c r="J19" s="80" t="inlineStr">
        <is>
          <t>OT # 174727. Vista Hermosa, Trafo 1725 kVA, se rehabilita; Causa: sobrecarga</t>
        </is>
      </c>
      <c r="K19">
        <f>SUM((D19-C19)*1.5*24)</f>
        <v/>
      </c>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CUADRADO LEON RAUL EFREN</t>
        </is>
      </c>
      <c r="I2" s="53">
        <f>SUM(K6:K36)</f>
        <v/>
      </c>
      <c r="J2" s="54" t="inlineStr">
        <is>
          <t>TOTAL</t>
        </is>
      </c>
    </row>
    <row r="3" ht="18.75" customHeight="1" s="47">
      <c r="A3" s="55" t="inlineStr">
        <is>
          <t>Cuadrilla o Agencia:</t>
        </is>
      </c>
      <c r="B3" s="55" t="n"/>
      <c r="C3" s="55" t="n"/>
      <c r="D3" s="55" t="n"/>
      <c r="E3" s="56" t="n"/>
      <c r="F3" s="56" t="n"/>
      <c r="G3" s="56" t="n"/>
      <c r="H3" s="52" t="inlineStr">
        <is>
          <t>Agencia Yantzaza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0.71875</v>
      </c>
      <c r="D7" s="79" t="n">
        <v>0.8229166666666666</v>
      </c>
      <c r="E7" s="78" t="n">
        <v/>
      </c>
      <c r="F7" s="79" t="n">
        <v/>
      </c>
      <c r="G7" s="78" t="n">
        <v/>
      </c>
      <c r="H7" s="79" t="n">
        <v/>
      </c>
      <c r="I7" s="78">
        <f>SUM(D7-C7, F7-E7, H7-G7)</f>
        <v/>
      </c>
      <c r="J7" s="80" t="inlineStr">
        <is>
          <t>OT # 174002. Ungumiatza, Est 30626, se encuentra RBV arrancada; Causa vegetación, se aisla para energizar Trafo 7080, quedan 2 viviendas sin servicio.</t>
        </is>
      </c>
      <c r="K7">
        <f>SUM((D7-C7)*1.5*24)</f>
        <v/>
      </c>
    </row>
    <row r="8" ht="17.35" customHeight="1" s="47">
      <c r="A8" s="72">
        <f>IF(B8&gt;0,PROPER(TEXT(B8,"dddd")),"")</f>
        <v/>
      </c>
      <c r="B8" s="77" t="n">
        <v>46115</v>
      </c>
      <c r="C8" s="78" t="n">
        <v>0.4375</v>
      </c>
      <c r="D8" s="79" t="n">
        <v>0.5416666666666666</v>
      </c>
      <c r="E8" s="78" t="n">
        <v>0.5833333333333334</v>
      </c>
      <c r="F8" s="79" t="n">
        <v>0.7611111111111111</v>
      </c>
      <c r="G8" s="78" t="n">
        <v/>
      </c>
      <c r="H8" s="79" t="n">
        <v/>
      </c>
      <c r="I8" s="78">
        <f>SUM(D8-C8, F8-E8, H8-G8)</f>
        <v/>
      </c>
      <c r="J8" s="80" t="inlineStr">
        <is>
          <t>OT # 174030. DÍA FESTIVO. “Viernes Santo”. Yantzaza – Zamora, se abastece de combustible (2-112). Jesús del Gran Poder, RBV rota, se empalma y regula, se rehabilita Trafo 24273. Traslado hasta Los Encuentros</t>
        </is>
      </c>
      <c r="K8">
        <f>SUM((D8-C8)*2.0*24,(F8-E8)*2.0*24)</f>
        <v/>
      </c>
    </row>
    <row r="9" ht="17.35" customHeight="1" s="47">
      <c r="A9" s="72">
        <f>IF(B9&gt;0,PROPER(TEXT(B9,"dddd")),"")</f>
        <v/>
      </c>
      <c r="B9" s="77" t="n">
        <v>46116</v>
      </c>
      <c r="C9" s="78" t="n">
        <v>0.34375</v>
      </c>
      <c r="D9" s="79" t="n">
        <v>0.5145833333333333</v>
      </c>
      <c r="E9" s="78" t="n">
        <v>0.6048611111111111</v>
      </c>
      <c r="F9" s="79" t="n">
        <v>0.6465277777777778</v>
      </c>
      <c r="G9" s="78" t="n">
        <v>0.6840277777777778</v>
      </c>
      <c r="H9" s="79" t="n">
        <v>0.7673611111111112</v>
      </c>
      <c r="I9" s="78">
        <f>SUM(D9-C9, F9-E9, H9-G9)</f>
        <v/>
      </c>
      <c r="J9" s="80" t="inlineStr">
        <is>
          <t>OT # 174054. Ungumiatza, postes 30626 y 30627 desbroce de vegetación, se empalma la RBV; se rehabilita trafo 7080. Barrio Guayabal, breaker sulfatados Med # 18-214982 y se normaliza el servicio</t>
        </is>
      </c>
      <c r="K9">
        <f>SUM((D9-C9)*2.0*24,(F9-E9)*2.0*24,(H9-G9)*2.0*24)</f>
        <v/>
      </c>
    </row>
    <row r="10" ht="17.35" customHeight="1" s="47">
      <c r="A10" s="72">
        <f>IF(B10&gt;0,PROPER(TEXT(B10,"dddd")),"")</f>
        <v/>
      </c>
      <c r="B10" s="77" t="n">
        <v>46117</v>
      </c>
      <c r="C10" s="78" t="n">
        <v>0.3888888888888889</v>
      </c>
      <c r="D10" s="79" t="n">
        <v>0.5416666666666666</v>
      </c>
      <c r="E10" s="78" t="n">
        <v>0.5833333333333334</v>
      </c>
      <c r="F10" s="79" t="n">
        <v>0.7013888888888888</v>
      </c>
      <c r="G10" s="78" t="n">
        <v>0.7986111111111112</v>
      </c>
      <c r="H10" s="79" t="n">
        <v>0.9027777777777778</v>
      </c>
      <c r="I10" s="78">
        <f>SUM(D10-C10, F10-E10, H10-G10)</f>
        <v/>
      </c>
      <c r="J10" s="80" t="inlineStr">
        <is>
          <t>OT # 174076. Chimbutza, se repone tirafusible 25A-K Est 62399; Causa: ave. Vía a Zarza, en Santa Lucía, trabajos en la vía, Est 33972 se repone tirafusible de 15A tipo T; no se encuentra novedad. El Zarza, Est 33963, Med # 1000024546, tubo doblado por volquete, el cliente ya ha tenido puesto tubo, se reubica el medidor. Retorno a Yantzaza.</t>
        </is>
      </c>
      <c r="K10">
        <f>SUM((D10-C10)*2.0*24,(F10-E10)*2.0*24,(H10-G10)*2.0*24)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N37"/>
  <sheetViews>
    <sheetView workbookViewId="0">
      <selection activeCell="A1" sqref="A1"/>
    </sheetView>
  </sheetViews>
  <sheetFormatPr baseColWidth="8" defaultColWidth="8.8984375" defaultRowHeight="15.75" customHeight="0" zeroHeight="0" outlineLevelRow="0"/>
  <cols>
    <col width="9.300000000000001" customWidth="1" style="45" min="1" max="1"/>
    <col width="11.8" customWidth="1" style="45" min="2" max="2"/>
    <col width="7" customWidth="1" style="45" min="3" max="8"/>
    <col width="9.9" customWidth="1" style="46" min="9" max="9"/>
    <col width="88.06" customWidth="1" style="45" min="10" max="10"/>
    <col hidden="1" width="4.65" customWidth="1" style="45" min="11" max="11"/>
    <col width="8.6" customWidth="1" style="45" min="12" max="12"/>
    <col width="12.2" customWidth="1" style="45" min="13" max="13"/>
    <col width="3.3" customWidth="1" style="45" min="14" max="14"/>
  </cols>
  <sheetData>
    <row r="1" ht="84.75" customHeight="1" s="47">
      <c r="A1" s="48" t="inlineStr">
        <is>
          <t xml:space="preserve">GERENCIA DE OPERACIÓN Y MANTENIMIENTO
SUPERINTENDENCIA DE OPERACIÓN Y MANTENIMIENTO ZONA 1
Reporte Horas Extraordinarias
</t>
        </is>
      </c>
    </row>
    <row r="2" ht="21.75" customHeight="1" s="47">
      <c r="A2" s="49" t="inlineStr">
        <is>
          <t xml:space="preserve">Nombre del trabajador: </t>
        </is>
      </c>
      <c r="B2" s="49" t="n"/>
      <c r="C2" s="49" t="n"/>
      <c r="D2" s="49" t="n"/>
      <c r="E2" s="50" t="n"/>
      <c r="F2" s="50" t="n"/>
      <c r="G2" s="51" t="n"/>
      <c r="H2" s="52" t="inlineStr">
        <is>
          <t>BUELE UYAGUARI CESAR CRISTIAN</t>
        </is>
      </c>
      <c r="I2" s="53">
        <f>SUM(K6:K36)</f>
        <v/>
      </c>
      <c r="J2" s="54" t="inlineStr">
        <is>
          <t>TOTAL</t>
        </is>
      </c>
    </row>
    <row r="3" ht="18.75" customHeight="1" s="47">
      <c r="A3" s="55" t="inlineStr">
        <is>
          <t>Cuadrilla o Agencia:</t>
        </is>
      </c>
      <c r="B3" s="55" t="n"/>
      <c r="C3" s="55" t="n"/>
      <c r="D3" s="55" t="n"/>
      <c r="E3" s="56" t="n"/>
      <c r="F3" s="56" t="n"/>
      <c r="G3" s="56" t="n"/>
      <c r="H3" s="52" t="inlineStr">
        <is>
          <t>Agencia Gualaquiza</t>
        </is>
      </c>
      <c r="I3" s="57">
        <f>SUM(I6:I36)*24</f>
        <v/>
      </c>
      <c r="J3" s="58" t="inlineStr">
        <is>
          <t>(horas reloj)</t>
        </is>
      </c>
      <c r="K3" s="59" t="n"/>
      <c r="L3" s="59" t="n"/>
      <c r="M3" s="59" t="n"/>
      <c r="N3" s="59" t="n"/>
    </row>
    <row r="4" ht="22.5" customFormat="1" customHeight="1" s="60">
      <c r="A4" s="61" t="inlineStr">
        <is>
          <t>Parte:</t>
        </is>
      </c>
      <c r="B4" s="61" t="n"/>
      <c r="C4" s="61" t="n"/>
      <c r="D4" s="61" t="n"/>
      <c r="E4" s="62" t="n"/>
      <c r="F4" s="62" t="n"/>
      <c r="G4" s="62" t="n"/>
      <c r="H4" s="63">
        <f>UPPER(TEXT(B6, "mmmm aaaa"))</f>
        <v/>
      </c>
      <c r="I4" s="64" t="n"/>
      <c r="J4" s="65" t="inlineStr">
        <is>
          <t xml:space="preserve">                      Trabajador                                                         Jefe Zonal                                                          Ingeniero 1                            </t>
        </is>
      </c>
      <c r="K4" s="66" t="n"/>
      <c r="L4" s="66" t="n"/>
      <c r="M4" s="66" t="n"/>
      <c r="N4" s="66" t="n"/>
    </row>
    <row r="5" ht="15.75" customHeight="1" s="47">
      <c r="A5" s="67" t="inlineStr">
        <is>
          <t>DIA</t>
        </is>
      </c>
      <c r="B5" s="68" t="inlineStr">
        <is>
          <t>FECHA</t>
        </is>
      </c>
      <c r="C5" s="69" t="inlineStr">
        <is>
          <t>Extra 1</t>
        </is>
      </c>
      <c r="D5" s="69" t="inlineStr">
        <is>
          <t>Fin 1</t>
        </is>
      </c>
      <c r="E5" s="69" t="inlineStr">
        <is>
          <t>Extra 2</t>
        </is>
      </c>
      <c r="F5" s="68" t="inlineStr">
        <is>
          <t>Fin 2</t>
        </is>
      </c>
      <c r="G5" s="69" t="inlineStr">
        <is>
          <t>Extra 3</t>
        </is>
      </c>
      <c r="H5" s="69" t="inlineStr">
        <is>
          <t>Fin 3</t>
        </is>
      </c>
      <c r="I5" s="69" t="inlineStr">
        <is>
          <t>Horas</t>
        </is>
      </c>
      <c r="J5" s="70" t="inlineStr">
        <is>
          <t>BREVE EXPLICACION</t>
        </is>
      </c>
      <c r="K5" s="71" t="n"/>
      <c r="L5" s="71" t="n"/>
      <c r="M5" s="71" t="n"/>
      <c r="N5" s="71" t="n"/>
    </row>
    <row r="6" ht="17.35" customHeight="1" s="47">
      <c r="A6" s="72">
        <f>IF(B6&gt;0,PROPER(TEXT(B6,"dddd")),"")</f>
        <v/>
      </c>
      <c r="B6" s="73" t="n">
        <v>46113</v>
      </c>
      <c r="C6" s="74" t="n">
        <v/>
      </c>
      <c r="D6" s="75" t="n">
        <v/>
      </c>
      <c r="E6" s="74" t="n">
        <v/>
      </c>
      <c r="F6" s="75" t="n">
        <v/>
      </c>
      <c r="G6" s="74" t="n">
        <v/>
      </c>
      <c r="H6" s="75" t="n">
        <v/>
      </c>
      <c r="I6" s="74">
        <f>SUM(D6-C6, F6-E6, H6-G6)</f>
        <v/>
      </c>
      <c r="J6" s="76" t="n">
        <v/>
      </c>
      <c r="K6" t="inlineStr"/>
    </row>
    <row r="7" ht="17.35" customHeight="1" s="47">
      <c r="A7" s="72">
        <f>IF(B7&gt;0,PROPER(TEXT(B7,"dddd")),"")</f>
        <v/>
      </c>
      <c r="B7" s="77" t="n">
        <v>46114</v>
      </c>
      <c r="C7" s="78" t="n">
        <v>0.8034722222222223</v>
      </c>
      <c r="D7" s="79" t="n">
        <v>0.8652777777777778</v>
      </c>
      <c r="E7" s="78" t="n">
        <v/>
      </c>
      <c r="F7" s="79" t="n">
        <v/>
      </c>
      <c r="G7" s="78" t="n">
        <v/>
      </c>
      <c r="H7" s="79" t="n">
        <v/>
      </c>
      <c r="I7" s="78">
        <f>SUM(D7-C7, F7-E7, H7-G7)</f>
        <v/>
      </c>
      <c r="J7" s="80" t="inlineStr">
        <is>
          <t>OT # 173960. Guayusal, reivision y limpieza RBV Est 219763, rehabilitación transf 23459 de 10kva, estructura 255869; Causa: vegetación</t>
        </is>
      </c>
      <c r="K7">
        <f>SUM((D7-C7)*1.5*24)</f>
        <v/>
      </c>
    </row>
    <row r="8" ht="17.35" customHeight="1" s="47">
      <c r="A8" s="72">
        <f>IF(B8&gt;0,PROPER(TEXT(B8,"dddd")),"")</f>
        <v/>
      </c>
      <c r="B8" s="77" t="n">
        <v>46115</v>
      </c>
      <c r="C8" s="78" t="n">
        <v>0.3701388888888889</v>
      </c>
      <c r="D8" s="79" t="n">
        <v>0.5520833333333334</v>
      </c>
      <c r="E8" s="78" t="n">
        <v>0.7090277777777778</v>
      </c>
      <c r="F8" s="79" t="n">
        <v>0.7951388888888888</v>
      </c>
      <c r="G8" s="78" t="n">
        <v/>
      </c>
      <c r="H8" s="79" t="n">
        <v/>
      </c>
      <c r="I8" s="78">
        <f>SUM(D8-C8, F8-E8, H8-G8)</f>
        <v/>
      </c>
      <c r="J8" s="80" t="inlineStr">
        <is>
          <t>OT # 174080. DIA FESTIVO “Viernes Santo” Naichap, Est 037299, revision y restitucion medidor 194238 por 18-258039 borneras quemadas. Aguacate, Est 127921, revision y restitucion medidor 194324 por 18-258040</t>
        </is>
      </c>
      <c r="K8">
        <f>SUM((D8-C8)*2.0*24,(F8-E8)*2.0*24)</f>
        <v/>
      </c>
    </row>
    <row r="9" ht="17.35" customHeight="1" s="47">
      <c r="A9" s="72">
        <f>IF(B9&gt;0,PROPER(TEXT(B9,"dddd")),"")</f>
        <v/>
      </c>
      <c r="B9" s="77" t="n">
        <v>46116</v>
      </c>
      <c r="C9" s="78" t="n">
        <v>0.6777777777777778</v>
      </c>
      <c r="D9" s="79" t="n">
        <v>0.7666666666666667</v>
      </c>
      <c r="E9" s="78" t="n">
        <v/>
      </c>
      <c r="F9" s="79" t="n">
        <v/>
      </c>
      <c r="G9" s="78" t="n">
        <v/>
      </c>
      <c r="H9" s="79" t="n">
        <v/>
      </c>
      <c r="I9" s="78">
        <f>SUM(D9-C9, F9-E9, H9-G9)</f>
        <v/>
      </c>
      <c r="J9" s="80" t="inlineStr">
        <is>
          <t>OT # 174083. Guayusal, revision LMV estructuras 291765 a 128632, sin encontrar novedad, en la Est 291765 cambio tirafusible 25A-T; Causa: descargas atmosfericas</t>
        </is>
      </c>
      <c r="K9">
        <f>SUM((D9-C9)*2.0*24)</f>
        <v/>
      </c>
    </row>
    <row r="10" ht="17.35" customHeight="1" s="47">
      <c r="A10" s="72">
        <f>IF(B10&gt;0,PROPER(TEXT(B10,"dddd")),"")</f>
        <v/>
      </c>
      <c r="B10" s="77" t="n">
        <v>46117</v>
      </c>
      <c r="C10" s="78" t="n">
        <v>0.3666666666666666</v>
      </c>
      <c r="D10" s="79" t="n">
        <v>0.4506944444444445</v>
      </c>
      <c r="E10" s="78" t="n">
        <v/>
      </c>
      <c r="F10" s="79" t="n">
        <v/>
      </c>
      <c r="G10" s="78" t="n">
        <v/>
      </c>
      <c r="H10" s="79" t="n">
        <v/>
      </c>
      <c r="I10" s="78">
        <f>SUM(D10-C10, F10-E10, H10-G10)</f>
        <v/>
      </c>
      <c r="J10" s="80" t="inlineStr">
        <is>
          <t>OT # 174084. Chumpias, revision LMV estructuras 028535 a 065848, sin encontrar novedad, Est 028535 cambio tirafusible 25A-T; Causa: descargas atmosfericas</t>
        </is>
      </c>
      <c r="K10">
        <f>SUM((D10-C10)*2.0*24)</f>
        <v/>
      </c>
    </row>
    <row r="11" ht="17.35" customHeight="1" s="47">
      <c r="A11" s="72">
        <f>IF(B11&gt;0,PROPER(TEXT(B11,"dddd")),"")</f>
        <v/>
      </c>
      <c r="B11" s="77" t="n">
        <v>46118</v>
      </c>
      <c r="C11" s="78" t="n">
        <v/>
      </c>
      <c r="D11" s="79" t="n">
        <v/>
      </c>
      <c r="E11" s="78" t="n">
        <v/>
      </c>
      <c r="F11" s="79" t="n">
        <v/>
      </c>
      <c r="G11" s="78" t="n">
        <v/>
      </c>
      <c r="H11" s="79" t="n">
        <v/>
      </c>
      <c r="I11" s="78">
        <f>SUM(D11-C11, F11-E11, H11-G11)</f>
        <v/>
      </c>
      <c r="J11" s="80" t="n">
        <v/>
      </c>
      <c r="K11" t="inlineStr"/>
    </row>
    <row r="12" ht="17.35" customHeight="1" s="47">
      <c r="A12" s="72">
        <f>IF(B12&gt;0,PROPER(TEXT(B12,"dddd")),"")</f>
        <v/>
      </c>
      <c r="B12" s="77" t="n">
        <v>46119</v>
      </c>
      <c r="C12" s="78" t="n">
        <v/>
      </c>
      <c r="D12" s="79" t="n">
        <v/>
      </c>
      <c r="E12" s="78" t="n">
        <v/>
      </c>
      <c r="F12" s="79" t="n">
        <v/>
      </c>
      <c r="G12" s="78" t="n">
        <v/>
      </c>
      <c r="H12" s="79" t="n">
        <v/>
      </c>
      <c r="I12" s="81">
        <f>SUM(D12-C12, F12-E12, H12-G12)</f>
        <v/>
      </c>
      <c r="J12" s="80" t="n">
        <v/>
      </c>
      <c r="K12" t="inlineStr"/>
    </row>
    <row r="13" ht="17.35" customHeight="1" s="47">
      <c r="A13" s="72">
        <f>IF(B13&gt;0,PROPER(TEXT(B13,"dddd")),"")</f>
        <v/>
      </c>
      <c r="B13" s="77" t="n">
        <v>46120</v>
      </c>
      <c r="C13" s="78" t="n">
        <v/>
      </c>
      <c r="D13" s="79" t="n">
        <v/>
      </c>
      <c r="E13" s="78" t="n">
        <v/>
      </c>
      <c r="F13" s="79" t="n">
        <v/>
      </c>
      <c r="G13" s="78" t="n">
        <v/>
      </c>
      <c r="H13" s="79" t="n">
        <v/>
      </c>
      <c r="I13" s="78">
        <f>SUM(D13-C13, F13-E13, H13-G13)</f>
        <v/>
      </c>
      <c r="J13" s="80" t="n">
        <v/>
      </c>
      <c r="K13" t="inlineStr"/>
    </row>
    <row r="14" ht="17.35" customHeight="1" s="47">
      <c r="A14" s="72">
        <f>IF(B14&gt;0,PROPER(TEXT(B14,"dddd")),"")</f>
        <v/>
      </c>
      <c r="B14" s="77" t="n">
        <v>46121</v>
      </c>
      <c r="C14" s="78" t="n">
        <v/>
      </c>
      <c r="D14" s="79" t="n">
        <v/>
      </c>
      <c r="E14" s="78" t="n">
        <v/>
      </c>
      <c r="F14" s="79" t="n">
        <v/>
      </c>
      <c r="G14" s="78" t="n">
        <v/>
      </c>
      <c r="H14" s="79" t="n">
        <v/>
      </c>
      <c r="I14" s="78">
        <f>SUM(D14-C14, F14-E14, H14-G14)</f>
        <v/>
      </c>
      <c r="J14" s="80" t="n">
        <v/>
      </c>
      <c r="K14" t="inlineStr"/>
    </row>
    <row r="15" ht="17.35" customHeight="1" s="47">
      <c r="A15" s="72">
        <f>IF(B15&gt;0,PROPER(TEXT(B15,"dddd")),"")</f>
        <v/>
      </c>
      <c r="B15" s="77" t="n">
        <v>46122</v>
      </c>
      <c r="C15" s="78" t="n">
        <v/>
      </c>
      <c r="D15" s="79" t="n">
        <v/>
      </c>
      <c r="E15" s="78" t="n">
        <v/>
      </c>
      <c r="F15" s="79" t="n">
        <v/>
      </c>
      <c r="G15" s="78" t="n">
        <v/>
      </c>
      <c r="H15" s="79" t="n">
        <v/>
      </c>
      <c r="I15" s="78">
        <f>SUM(D15-C15, F15-E15, H15-G15)</f>
        <v/>
      </c>
      <c r="J15" s="80" t="n">
        <v/>
      </c>
      <c r="K15" t="inlineStr"/>
    </row>
    <row r="16" ht="17.35" customHeight="1" s="47">
      <c r="A16" s="72">
        <f>IF(B16&gt;0,PROPER(TEXT(B16,"dddd")),"")</f>
        <v/>
      </c>
      <c r="B16" s="77" t="n">
        <v>46123</v>
      </c>
      <c r="C16" s="78" t="n">
        <v/>
      </c>
      <c r="D16" s="79" t="n">
        <v/>
      </c>
      <c r="E16" s="78" t="n">
        <v/>
      </c>
      <c r="F16" s="79" t="n">
        <v/>
      </c>
      <c r="G16" s="78" t="n">
        <v/>
      </c>
      <c r="H16" s="79" t="n">
        <v/>
      </c>
      <c r="I16" s="78">
        <f>SUM(D16-C16, F16-E16, H16-G16)</f>
        <v/>
      </c>
      <c r="J16" s="80" t="n">
        <v/>
      </c>
      <c r="K16" t="inlineStr"/>
    </row>
    <row r="17" ht="17.35" customHeight="1" s="47">
      <c r="A17" s="72">
        <f>IF(B17&gt;0,PROPER(TEXT(B17,"dddd")),"")</f>
        <v/>
      </c>
      <c r="B17" s="77" t="n">
        <v>46124</v>
      </c>
      <c r="C17" s="78" t="n">
        <v/>
      </c>
      <c r="D17" s="79" t="n">
        <v/>
      </c>
      <c r="E17" s="78" t="n">
        <v/>
      </c>
      <c r="F17" s="79" t="n">
        <v/>
      </c>
      <c r="G17" s="78" t="n">
        <v/>
      </c>
      <c r="H17" s="79" t="n">
        <v/>
      </c>
      <c r="I17" s="78">
        <f>SUM(D17-C17, F17-E17, H17-G17)</f>
        <v/>
      </c>
      <c r="J17" s="80" t="n">
        <v/>
      </c>
      <c r="K17" t="inlineStr"/>
    </row>
    <row r="18" ht="17.35" customHeight="1" s="47">
      <c r="A18" s="72">
        <f>IF(B18&gt;0,PROPER(TEXT(B18,"dddd")),"")</f>
        <v/>
      </c>
      <c r="B18" s="77" t="n">
        <v>46125</v>
      </c>
      <c r="C18" s="78" t="n">
        <v/>
      </c>
      <c r="D18" s="79" t="n">
        <v/>
      </c>
      <c r="E18" s="78" t="n">
        <v/>
      </c>
      <c r="F18" s="79" t="n">
        <v/>
      </c>
      <c r="G18" s="78" t="n">
        <v/>
      </c>
      <c r="H18" s="79" t="n">
        <v/>
      </c>
      <c r="I18" s="78">
        <f>SUM(D18-C18, F18-E18, H18-G18)</f>
        <v/>
      </c>
      <c r="J18" s="80" t="n">
        <v/>
      </c>
      <c r="K18" t="inlineStr"/>
    </row>
    <row r="19" ht="17.35" customHeight="1" s="47">
      <c r="A19" s="72">
        <f>IF(B19&gt;0,PROPER(TEXT(B19,"dddd")),"")</f>
        <v/>
      </c>
      <c r="B19" s="77" t="n">
        <v>46126</v>
      </c>
      <c r="C19" s="78" t="n">
        <v/>
      </c>
      <c r="D19" s="79" t="n">
        <v/>
      </c>
      <c r="E19" s="78" t="n">
        <v/>
      </c>
      <c r="F19" s="79" t="n">
        <v/>
      </c>
      <c r="G19" s="78" t="n">
        <v/>
      </c>
      <c r="H19" s="79" t="n">
        <v/>
      </c>
      <c r="I19" s="78">
        <f>SUM(D19-C19, F19-E19, H19-G19)</f>
        <v/>
      </c>
      <c r="J19" s="80" t="n">
        <v/>
      </c>
      <c r="K19" t="inlineStr"/>
    </row>
    <row r="20" ht="17.35" customHeight="1" s="47">
      <c r="A20" s="72">
        <f>IF(B20&gt;0,PROPER(TEXT(B20,"dddd")),"")</f>
        <v/>
      </c>
      <c r="B20" s="77" t="n">
        <v>46127</v>
      </c>
      <c r="C20" s="78" t="n">
        <v/>
      </c>
      <c r="D20" s="79" t="n">
        <v/>
      </c>
      <c r="E20" s="78" t="n">
        <v/>
      </c>
      <c r="F20" s="79" t="n">
        <v/>
      </c>
      <c r="G20" s="78" t="n">
        <v/>
      </c>
      <c r="H20" s="79" t="n">
        <v/>
      </c>
      <c r="I20" s="78">
        <f>SUM(D20-C20, F20-E20, H20-G20)</f>
        <v/>
      </c>
      <c r="J20" s="80" t="n">
        <v/>
      </c>
      <c r="K20" t="inlineStr"/>
    </row>
    <row r="21" ht="17.35" customHeight="1" s="47">
      <c r="A21" s="72">
        <f>IF(B21&gt;0,PROPER(TEXT(B21,"dddd")),"")</f>
        <v/>
      </c>
      <c r="B21" s="77" t="n">
        <v>46128</v>
      </c>
      <c r="C21" s="78" t="n">
        <v/>
      </c>
      <c r="D21" s="79" t="n">
        <v/>
      </c>
      <c r="E21" s="78" t="n">
        <v/>
      </c>
      <c r="F21" s="79" t="n">
        <v/>
      </c>
      <c r="G21" s="78" t="n">
        <v/>
      </c>
      <c r="H21" s="79" t="n">
        <v/>
      </c>
      <c r="I21" s="78">
        <f>SUM(D21-C21, F21-E21, H21-G21)</f>
        <v/>
      </c>
      <c r="J21" s="80" t="n">
        <v/>
      </c>
      <c r="K21" t="inlineStr"/>
    </row>
    <row r="22" ht="17.35" customHeight="1" s="47">
      <c r="A22" s="72">
        <f>IF(B22&gt;0,PROPER(TEXT(B22,"dddd")),"")</f>
        <v/>
      </c>
      <c r="B22" s="77" t="n">
        <v>46129</v>
      </c>
      <c r="C22" s="78" t="n">
        <v/>
      </c>
      <c r="D22" s="79" t="n">
        <v/>
      </c>
      <c r="E22" s="78" t="n">
        <v/>
      </c>
      <c r="F22" s="79" t="n">
        <v/>
      </c>
      <c r="G22" s="78" t="n">
        <v/>
      </c>
      <c r="H22" s="79" t="n">
        <v/>
      </c>
      <c r="I22" s="78">
        <f>SUM(D22-C22, F22-E22, H22-G22)</f>
        <v/>
      </c>
      <c r="J22" s="80" t="n">
        <v/>
      </c>
      <c r="K22" t="inlineStr"/>
    </row>
    <row r="23" ht="17.35" customHeight="1" s="47">
      <c r="A23" s="72">
        <f>IF(B23&gt;0,PROPER(TEXT(B23,"dddd")),"")</f>
        <v/>
      </c>
      <c r="B23" s="77" t="n">
        <v>46130</v>
      </c>
      <c r="C23" s="78" t="n">
        <v/>
      </c>
      <c r="D23" s="79" t="n">
        <v/>
      </c>
      <c r="E23" s="78" t="n">
        <v/>
      </c>
      <c r="F23" s="79" t="n">
        <v/>
      </c>
      <c r="G23" s="78" t="n">
        <v/>
      </c>
      <c r="H23" s="79" t="n">
        <v/>
      </c>
      <c r="I23" s="78">
        <f>SUM(D23-C23, F23-E23, H23-G23)</f>
        <v/>
      </c>
      <c r="J23" s="80" t="n">
        <v/>
      </c>
      <c r="K23" t="inlineStr"/>
    </row>
    <row r="24" ht="17.35" customHeight="1" s="47">
      <c r="A24" s="72">
        <f>IF(B24&gt;0,PROPER(TEXT(B24,"dddd")),"")</f>
        <v/>
      </c>
      <c r="B24" s="77" t="n">
        <v>46131</v>
      </c>
      <c r="C24" s="78" t="n">
        <v/>
      </c>
      <c r="D24" s="79" t="n">
        <v/>
      </c>
      <c r="E24" s="78" t="n">
        <v/>
      </c>
      <c r="F24" s="79" t="n">
        <v/>
      </c>
      <c r="G24" s="78" t="n">
        <v/>
      </c>
      <c r="H24" s="79" t="n">
        <v/>
      </c>
      <c r="I24" s="78">
        <f>SUM(D24-C24, F24-E24, H24-G24)</f>
        <v/>
      </c>
      <c r="J24" s="80" t="n">
        <v/>
      </c>
      <c r="K24" t="inlineStr"/>
    </row>
    <row r="25" ht="17.35" customHeight="1" s="47">
      <c r="A25" s="72">
        <f>IF(B25&gt;0,PROPER(TEXT(B25,"dddd")),"")</f>
        <v/>
      </c>
      <c r="B25" s="77" t="n">
        <v>46132</v>
      </c>
      <c r="C25" s="78" t="n">
        <v/>
      </c>
      <c r="D25" s="79" t="n">
        <v/>
      </c>
      <c r="E25" s="78" t="n">
        <v/>
      </c>
      <c r="F25" s="79" t="n">
        <v/>
      </c>
      <c r="G25" s="78" t="n">
        <v/>
      </c>
      <c r="H25" s="79" t="n">
        <v/>
      </c>
      <c r="I25" s="78">
        <f>SUM(D25-C25, F25-E25, H25-G25)</f>
        <v/>
      </c>
      <c r="J25" s="80" t="n">
        <v/>
      </c>
      <c r="K25" t="inlineStr"/>
    </row>
    <row r="26" ht="17.35" customHeight="1" s="47">
      <c r="A26" s="72">
        <f>IF(B26&gt;0,PROPER(TEXT(B26,"dddd")),"")</f>
        <v/>
      </c>
      <c r="B26" s="77" t="n">
        <v>46133</v>
      </c>
      <c r="C26" s="78" t="n">
        <v/>
      </c>
      <c r="D26" s="79" t="n">
        <v/>
      </c>
      <c r="E26" s="78" t="n">
        <v/>
      </c>
      <c r="F26" s="79" t="n">
        <v/>
      </c>
      <c r="G26" s="78" t="n">
        <v/>
      </c>
      <c r="H26" s="79" t="n">
        <v/>
      </c>
      <c r="I26" s="78">
        <f>SUM(D26-C26, F26-E26, H26-G26)</f>
        <v/>
      </c>
      <c r="J26" s="80" t="n">
        <v/>
      </c>
      <c r="K26" t="inlineStr"/>
    </row>
    <row r="27" ht="17.35" customHeight="1" s="47">
      <c r="A27" s="72">
        <f>IF(B27&gt;0,PROPER(TEXT(B27,"dddd")),"")</f>
        <v/>
      </c>
      <c r="B27" s="77" t="n">
        <v>46134</v>
      </c>
      <c r="C27" s="78" t="n">
        <v/>
      </c>
      <c r="D27" s="79" t="n">
        <v/>
      </c>
      <c r="E27" s="78" t="n">
        <v/>
      </c>
      <c r="F27" s="79" t="n">
        <v/>
      </c>
      <c r="G27" s="78" t="n">
        <v/>
      </c>
      <c r="H27" s="79" t="n">
        <v/>
      </c>
      <c r="I27" s="78">
        <f>SUM(D27-C27, F27-E27, H27-G27)</f>
        <v/>
      </c>
      <c r="J27" s="80" t="n">
        <v/>
      </c>
      <c r="K27" t="inlineStr"/>
    </row>
    <row r="28" ht="17.35" customHeight="1" s="47">
      <c r="A28" s="72">
        <f>IF(B28&gt;0,PROPER(TEXT(B28,"dddd")),"")</f>
        <v/>
      </c>
      <c r="B28" s="77" t="n">
        <v>46135</v>
      </c>
      <c r="C28" s="78" t="n">
        <v/>
      </c>
      <c r="D28" s="79" t="n">
        <v/>
      </c>
      <c r="E28" s="78" t="n">
        <v/>
      </c>
      <c r="F28" s="79" t="n">
        <v/>
      </c>
      <c r="G28" s="78" t="n">
        <v/>
      </c>
      <c r="H28" s="79" t="n">
        <v/>
      </c>
      <c r="I28" s="78">
        <f>SUM(D28-C28, F28-E28, H28-G28)</f>
        <v/>
      </c>
      <c r="J28" s="80" t="n">
        <v/>
      </c>
      <c r="K28" t="inlineStr"/>
    </row>
    <row r="29" ht="17.35" customHeight="1" s="47">
      <c r="A29" s="72">
        <f>IF(B29&gt;0,PROPER(TEXT(B29,"dddd")),"")</f>
        <v/>
      </c>
      <c r="B29" s="77" t="n">
        <v>46136</v>
      </c>
      <c r="C29" s="78" t="n">
        <v/>
      </c>
      <c r="D29" s="79" t="n">
        <v/>
      </c>
      <c r="E29" s="78" t="n">
        <v/>
      </c>
      <c r="F29" s="79" t="n">
        <v/>
      </c>
      <c r="G29" s="78" t="n">
        <v/>
      </c>
      <c r="H29" s="79" t="n">
        <v/>
      </c>
      <c r="I29" s="78">
        <f>SUM(D29-C29, F29-E29, H29-G29)</f>
        <v/>
      </c>
      <c r="J29" s="80" t="n">
        <v/>
      </c>
      <c r="K29" t="inlineStr"/>
    </row>
    <row r="30" ht="17.35" customHeight="1" s="47">
      <c r="A30" s="72">
        <f>IF(B30&gt;0,PROPER(TEXT(B30,"dddd")),"")</f>
        <v/>
      </c>
      <c r="B30" s="77" t="n">
        <v>46137</v>
      </c>
      <c r="C30" s="78" t="n">
        <v/>
      </c>
      <c r="D30" s="79" t="n">
        <v/>
      </c>
      <c r="E30" s="78" t="n">
        <v/>
      </c>
      <c r="F30" s="79" t="n">
        <v/>
      </c>
      <c r="G30" s="78" t="n">
        <v/>
      </c>
      <c r="H30" s="79" t="n">
        <v/>
      </c>
      <c r="I30" s="78">
        <f>SUM(D30-C30, F30-E30, H30-G30)</f>
        <v/>
      </c>
      <c r="J30" s="80" t="n">
        <v/>
      </c>
      <c r="K30" t="inlineStr"/>
    </row>
    <row r="31" ht="17.35" customHeight="1" s="47">
      <c r="A31" s="72">
        <f>IF(B31&gt;0,PROPER(TEXT(B31,"dddd")),"")</f>
        <v/>
      </c>
      <c r="B31" s="77" t="n">
        <v>46138</v>
      </c>
      <c r="C31" s="78" t="n">
        <v/>
      </c>
      <c r="D31" s="79" t="n">
        <v/>
      </c>
      <c r="E31" s="78" t="n">
        <v/>
      </c>
      <c r="F31" s="79" t="n">
        <v/>
      </c>
      <c r="G31" s="78" t="n">
        <v/>
      </c>
      <c r="H31" s="79" t="n">
        <v/>
      </c>
      <c r="I31" s="78">
        <f>SUM(D31-C31, F31-E31, H31-G31)</f>
        <v/>
      </c>
      <c r="J31" s="80" t="n">
        <v/>
      </c>
      <c r="K31" t="inlineStr"/>
    </row>
    <row r="32" ht="17.35" customHeight="1" s="47">
      <c r="A32" s="72">
        <f>IF(B32&gt;0,PROPER(TEXT(B32,"dddd")),"")</f>
        <v/>
      </c>
      <c r="B32" s="77" t="n">
        <v>46139</v>
      </c>
      <c r="C32" s="78" t="n">
        <v/>
      </c>
      <c r="D32" s="79" t="n">
        <v/>
      </c>
      <c r="E32" s="78" t="n">
        <v/>
      </c>
      <c r="F32" s="79" t="n">
        <v/>
      </c>
      <c r="G32" s="78" t="n">
        <v/>
      </c>
      <c r="H32" s="79" t="n">
        <v/>
      </c>
      <c r="I32" s="78">
        <f>SUM(D32-C32, F32-E32, H32-G32)</f>
        <v/>
      </c>
      <c r="J32" s="80" t="n">
        <v/>
      </c>
      <c r="K32" t="inlineStr"/>
    </row>
    <row r="33" ht="17.35" customHeight="1" s="47">
      <c r="A33" s="72">
        <f>IF(B33&gt;0,PROPER(TEXT(B33,"dddd")),"")</f>
        <v/>
      </c>
      <c r="B33" s="77" t="n">
        <v>46140</v>
      </c>
      <c r="C33" s="78" t="n">
        <v/>
      </c>
      <c r="D33" s="79" t="n">
        <v/>
      </c>
      <c r="E33" s="78" t="n">
        <v/>
      </c>
      <c r="F33" s="79" t="n">
        <v/>
      </c>
      <c r="G33" s="78" t="n">
        <v/>
      </c>
      <c r="H33" s="79" t="n">
        <v/>
      </c>
      <c r="I33" s="78">
        <f>SUM(D33-C33, F33-E33, H33-G33)</f>
        <v/>
      </c>
      <c r="J33" s="80" t="n">
        <v/>
      </c>
      <c r="K33" t="inlineStr"/>
    </row>
    <row r="34" ht="17.35" customHeight="1" s="47">
      <c r="A34" s="72">
        <f>IF(B34&gt;0,PROPER(TEXT(B34,"dddd")),"")</f>
        <v/>
      </c>
      <c r="B34" s="77" t="n">
        <v>46141</v>
      </c>
      <c r="C34" s="78" t="n">
        <v/>
      </c>
      <c r="D34" s="79" t="n">
        <v/>
      </c>
      <c r="E34" s="78" t="n">
        <v/>
      </c>
      <c r="F34" s="79" t="n">
        <v/>
      </c>
      <c r="G34" s="78" t="n">
        <v/>
      </c>
      <c r="H34" s="79" t="n">
        <v/>
      </c>
      <c r="I34" s="78">
        <f>SUM(D34-C34, F34-E34, H34-G34)</f>
        <v/>
      </c>
      <c r="J34" s="80" t="n">
        <v/>
      </c>
      <c r="K34" t="inlineStr"/>
    </row>
    <row r="35" ht="17.35" customHeight="1" s="47">
      <c r="A35" s="72">
        <f>IF(B35&gt;0,PROPER(TEXT(B35,"dddd")),"")</f>
        <v/>
      </c>
      <c r="B35" s="77" t="n">
        <v>46142</v>
      </c>
      <c r="C35" s="78" t="n">
        <v/>
      </c>
      <c r="D35" s="79" t="n">
        <v/>
      </c>
      <c r="E35" s="78" t="n">
        <v/>
      </c>
      <c r="F35" s="79" t="n">
        <v/>
      </c>
      <c r="G35" s="78" t="n">
        <v/>
      </c>
      <c r="H35" s="79" t="n">
        <v/>
      </c>
      <c r="I35" s="78">
        <f>SUM(D35-C35, F35-E35, H35-G35)</f>
        <v/>
      </c>
      <c r="J35" s="80" t="n">
        <v/>
      </c>
      <c r="K35" t="inlineStr"/>
    </row>
    <row r="36" ht="17.35" customHeight="1" s="47">
      <c r="A36" s="82">
        <f>IF(B36&gt;0,PROPER(TEXT(B36,"dddd")),"")</f>
        <v/>
      </c>
      <c r="B36" s="83" t="n"/>
      <c r="C36" s="84" t="n"/>
      <c r="D36" s="85" t="n"/>
      <c r="E36" s="84" t="n"/>
      <c r="F36" s="85" t="n"/>
      <c r="G36" s="84" t="n"/>
      <c r="H36" s="85" t="n"/>
      <c r="I36" s="84">
        <f>SUM(C36:H36)</f>
        <v/>
      </c>
      <c r="J36" s="86" t="n"/>
    </row>
    <row r="37" ht="15.75" customHeight="1" s="47">
      <c r="A37" s="87" t="n"/>
      <c r="B37" s="88" t="n"/>
      <c r="C37" s="88" t="n"/>
      <c r="D37" s="88" t="n"/>
      <c r="E37" s="88" t="n"/>
      <c r="F37" s="88" t="n"/>
      <c r="G37" s="88" t="n"/>
      <c r="H37" s="88" t="n"/>
      <c r="I37" s="89" t="n"/>
      <c r="J37" s="88" t="n"/>
    </row>
  </sheetData>
  <mergeCells count="1">
    <mergeCell ref="A1:J1"/>
  </mergeCells>
  <conditionalFormatting sqref="A6:J36">
    <cfRule type="expression" priority="1" dxfId="0" stopIfTrue="0">
      <formula>=OR(WEEKDAY($B6, 2) &gt; 5, ISNUMBER(SEARCH("FESTIVO", $J6)))</formula>
    </cfRule>
  </conditionalFormatting>
  <conditionalFormatting sqref="A6:I36">
    <cfRule type="expression" priority="2" dxfId="1" stopIfTrue="0">
      <formula>=ISNUMBER(SEARCH("FESTIVO", $J6))</formula>
    </cfRule>
  </conditionalFormatting>
  <printOptions horizontalCentered="1" verticalCentered="0" headings="0" gridLines="0" gridLinesSet="1"/>
  <pageMargins left="0.275694444444444" right="0.275694444444444" top="0.236111111111111" bottom="0.55" header="0.511811023622047" footer="0.42"/>
  <pageSetup orientation="landscape" paperSize="9" scale="65"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Planificación</dc:creator>
  <dc:language>es-EC</dc:language>
  <dcterms:created xsi:type="dcterms:W3CDTF">1999-03-18T09:31:00Z</dcterms:created>
  <dcterms:modified xsi:type="dcterms:W3CDTF">2026-04-28T21:12:27Z</dcterms:modified>
  <cp:lastModifiedBy>Ernesto Palacios</cp:lastModifiedBy>
  <cp:revision>15</cp:revision>
  <cp:lastPrinted>2026-04-28T17:48:40Z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
  </property>
  <property name="KSOProductBuildVer" fmtid="{D5CDD505-2E9C-101B-9397-08002B2CF9AE}" pid="3">
    <vt:lpwstr>1033-11.1.0.11723</vt:lpwstr>
  </property>
</Properties>
</file>