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11" documentId="11_41761B8D21D2EEAE43EF3D9DC35675E21816ECB9" xr6:coauthVersionLast="47" xr6:coauthVersionMax="47" xr10:uidLastSave="{24ECD905-F368-41B2-BF9B-5B74840A2AF8}"/>
  <bookViews>
    <workbookView xWindow="-120" yWindow="-120" windowWidth="23865" windowHeight="15390" tabRatio="500" activeTab="1" xr2:uid="{00000000-000D-0000-FFFF-FFFF00000000}"/>
  </bookViews>
  <sheets>
    <sheet name="Revisar_primero" sheetId="1" r:id="rId1"/>
    <sheet name="result" sheetId="2" r:id="rId2"/>
  </sheets>
  <definedNames>
    <definedName name="_xlnm._FilterDatabase" localSheetId="1" hidden="1">result!$A$1:$M$173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G173" i="2" l="1"/>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sharedStrings.xml><?xml version="1.0" encoding="utf-8"?>
<sst xmlns="http://schemas.openxmlformats.org/spreadsheetml/2006/main" count="1127" uniqueCount="438">
  <si>
    <t>Aplica</t>
  </si>
  <si>
    <t>Fecha</t>
  </si>
  <si>
    <t>Etiqueta</t>
  </si>
  <si>
    <t>Cuentas</t>
  </si>
  <si>
    <t>Colores</t>
  </si>
  <si>
    <t>Reglas de colores aplicadas al documento</t>
  </si>
  <si>
    <t>TODOS</t>
  </si>
  <si>
    <t>“Año Nuevo”</t>
  </si>
  <si>
    <t>sábado</t>
  </si>
  <si>
    <t>“Oriente”</t>
  </si>
  <si>
    <t xml:space="preserve"> REDES</t>
  </si>
  <si>
    <t>domingo</t>
  </si>
  <si>
    <t>“Carnaval L”</t>
  </si>
  <si>
    <t xml:space="preserve"> ALUMBRADO</t>
  </si>
  <si>
    <t>feriado</t>
  </si>
  <si>
    <t>“Carnaval M”</t>
  </si>
  <si>
    <t xml:space="preserve"> ACOMETIDAS</t>
  </si>
  <si>
    <t>madrugada</t>
  </si>
  <si>
    <t>“Viernes Santo”</t>
  </si>
  <si>
    <t xml:space="preserve"> MEDIDORES</t>
  </si>
  <si>
    <t>revisar hora inicio</t>
  </si>
  <si>
    <t>debería ser hasta 08:00 am</t>
  </si>
  <si>
    <t>“Trabajo”</t>
  </si>
  <si>
    <t xml:space="preserve"> informativa</t>
  </si>
  <si>
    <t>revisar hora final</t>
  </si>
  <si>
    <t>debería ser desde 17:00 pm</t>
  </si>
  <si>
    <t>“Pichincha”</t>
  </si>
  <si>
    <t xml:space="preserve"> transporte</t>
  </si>
  <si>
    <t xml:space="preserve">“Independencia” </t>
  </si>
  <si>
    <t xml:space="preserve"> SUBESTACION</t>
  </si>
  <si>
    <t xml:space="preserve">“Guayaquil” </t>
  </si>
  <si>
    <t xml:space="preserve"> SUBTRANSMISION</t>
  </si>
  <si>
    <t>“Difuntos”</t>
  </si>
  <si>
    <t xml:space="preserve"> Servicios_Ocasional</t>
  </si>
  <si>
    <t>“Cuenca”</t>
  </si>
  <si>
    <t xml:space="preserve"> PLANILL</t>
  </si>
  <si>
    <t>“Provincializacion”</t>
  </si>
  <si>
    <t xml:space="preserve"> Nuevos_Servici</t>
  </si>
  <si>
    <t>“Navidad”</t>
  </si>
  <si>
    <t xml:space="preserve"> se_labora</t>
  </si>
  <si>
    <t>Zamora Z1 (Cuadrilla. Nro. 6)</t>
  </si>
  <si>
    <t>“Cantonizacion”</t>
  </si>
  <si>
    <t xml:space="preserve"> lunch</t>
  </si>
  <si>
    <t>Zamora Z1 (Cuadrilla. AP Nro. 4)</t>
  </si>
  <si>
    <t xml:space="preserve"> ?</t>
  </si>
  <si>
    <t>Zamora (Agencia)</t>
  </si>
  <si>
    <t>Jefatura Zonal Zamora</t>
  </si>
  <si>
    <t>Yacuambi Z1 (Cuadrilla. Nro. 8)</t>
  </si>
  <si>
    <t>Yantzaza Z1 (Cuadrilla. Nro. 5)</t>
  </si>
  <si>
    <t>Líneas Energizadas (Cuadrilla  Nro.6)</t>
  </si>
  <si>
    <t>Yantzaza (Agencia)</t>
  </si>
  <si>
    <t>Paquisha Z1 (Cuadrilla Nro. 10)</t>
  </si>
  <si>
    <t>Guayzimi Z1 (Cuadrilla. Nro. 7)</t>
  </si>
  <si>
    <t>El Pangui Z1 (Cuadrilla. Nro. 4)</t>
  </si>
  <si>
    <t>El Pangui (Agencia)</t>
  </si>
  <si>
    <t>Gualaquiza Z1 (Cuadrilla. Nro. 3)</t>
  </si>
  <si>
    <t>“Cantonización”</t>
  </si>
  <si>
    <t>Gualaquiza (Agencia)</t>
  </si>
  <si>
    <t>Cuadrilla</t>
  </si>
  <si>
    <t>Responsable</t>
  </si>
  <si>
    <t>Dia</t>
  </si>
  <si>
    <t>InicioEvento</t>
  </si>
  <si>
    <t>FinEvento</t>
  </si>
  <si>
    <t>Duracion</t>
  </si>
  <si>
    <t>Evento</t>
  </si>
  <si>
    <t>Cuenta</t>
  </si>
  <si>
    <t>id_ot</t>
  </si>
  <si>
    <t>Items</t>
  </si>
  <si>
    <t>Num_Filas</t>
  </si>
  <si>
    <t>Archivo</t>
  </si>
  <si>
    <t>RS, JCR</t>
  </si>
  <si>
    <t>lunes</t>
  </si>
  <si>
    <t>San Carlos de las Minas, arreglo de conexiones y cambio de breaker del M# 297664 desde la Est # 245700</t>
  </si>
  <si>
    <t>OT [01] Cuadrilla Zamora 2026-03-02 (007) RS.pdf</t>
  </si>
  <si>
    <t>FR, RS, LL, VZH, JCR</t>
  </si>
  <si>
    <t>martes</t>
  </si>
  <si>
    <t>Los Cedrales, se coordina con Personal de GEGEA y Centro de Maniobras, en la estructura 27803 se cierra seccionador y normaliza el servicio eléctrico</t>
  </si>
  <si>
    <t>OT [01] Cuadrilla Zamora 2026-03-03 (006) FR.pdf</t>
  </si>
  <si>
    <t>FR, RS, JCR</t>
  </si>
  <si>
    <t>miércoles</t>
  </si>
  <si>
    <t>El Tambo, en la Est 34831 se cambia fusible de 25A-T Fase A, causa: descargas atmosféricas</t>
  </si>
  <si>
    <t>OT [01] Cuadrilla Zamora 2026-03-04 (006) FR.pdf</t>
  </si>
  <si>
    <t>Jamboe, se revisa y arregla conexión arrancada por recalentamiento del M# 18518314 desde la Est # 273221.</t>
  </si>
  <si>
    <t>OT [01] Cuadrilla Zamora 2026-03-04 (007) RS.pdf</t>
  </si>
  <si>
    <t>Napintza, previa revisión de la LMT 1F entre las estructuras 217134 y 217133 se encuentra material aglomerado de minería cerca a la LMT 1F; se hace desalojar parte del material antes de energizar, en la Est 191853 se cambia tirafusible de 25 A-T Fase C.</t>
  </si>
  <si>
    <t>OT [01] Cuadrilla Zamora 2026-03-07 (007) RS.pdf</t>
  </si>
  <si>
    <t>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</si>
  <si>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</si>
  <si>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OT [01] Cuadrilla Zamora 2026-03-08 (007) RS.pdf</t>
  </si>
  <si>
    <t>Rio Blanco, se revisa, detecta y despeja falla en el M# 18-238241 de la Est # 210898 trafo SICAP 9579 de 5KVA. Traslado a vía Jamboe, se revisa y retira en la estructura. 273205 rama desplomada por fuertes vientos y cambia en la Est # 273612 tirafusible de 12-T.</t>
  </si>
  <si>
    <t>Tranposrte, nos trasladamos desde agencia EERSSA Zamora a la calle Diego de Vaca, continua al siguiente día.</t>
  </si>
  <si>
    <t>Zamora calle Diego de Vaca, se revisa M# 248193 y arregla recalentamiento en puente a causa de conexión floja.</t>
  </si>
  <si>
    <t>OT [01] Cuadrilla Zamora 2026-03-09 (007) RS.pdf</t>
  </si>
  <si>
    <t>FR, RS</t>
  </si>
  <si>
    <t>Agencia Zamora, se carga 2 transformadores de 15KVA para cambio en apoyo a Cuadrilla Yacuambi; desde la Agencia Zamora nos trasladamos hacia Yacuambi</t>
  </si>
  <si>
    <t>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</si>
  <si>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</si>
  <si>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FR, LL, VZH, JCR</t>
  </si>
  <si>
    <t>viernes</t>
  </si>
  <si>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</si>
  <si>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OT [01] Cuadrilla Zamora 2026-03-13 (006) FR.pdf</t>
  </si>
  <si>
    <t>LL, SO</t>
  </si>
  <si>
    <t>Sakantza, M# 18-237293 breaker dañado, se cambia breaker y se normaliza el servicio eléctrico.</t>
  </si>
  <si>
    <t>OT [01] Cuadrilla Zamora 2026-03-16 (006) FR.pdf</t>
  </si>
  <si>
    <t xml:space="preserve">San Carlos, M# 1-51490 se encuentra acometida sulfatado, se arregla y despeja la falla y se normaliza el servicio eléctrico. </t>
  </si>
  <si>
    <t>OT [01] Cuadrilla Zamora 2026-03-18 (006) FR.pdf</t>
  </si>
  <si>
    <t>jueves</t>
  </si>
  <si>
    <t xml:space="preserve">Barrio La Unión, Est # 252977 trafo 21060 de 25KVA, se habilita, acometida arrancada por vehículo, M# 233917. Namirez Bajo, M# 241868 conexiones de breaker flojas se despeja la falla. </t>
  </si>
  <si>
    <t>OT [01] Cuadrilla Zamora 2026-03-19 (006) FR.pdf</t>
  </si>
  <si>
    <t>FR, VZH, JCR</t>
  </si>
  <si>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</si>
  <si>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OT [01] Cuadrilla Zamora 2026-03-20 (006) FR.pdf</t>
  </si>
  <si>
    <t>FR, RS, GJ</t>
  </si>
  <si>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</si>
  <si>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OT [01] Cuadrilla Zamora 2026-03-21 (006) FR.pdf</t>
  </si>
  <si>
    <t>Desde Panguintza, nos trasladamos hacia la Agencia Zamora</t>
  </si>
  <si>
    <t>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</si>
  <si>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OT [01] Cuadrilla Zamora 2026-03-21 (008) LL.pdf</t>
  </si>
  <si>
    <t>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</si>
  <si>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Carmelo de Guadalupe, daño reportado por Centro de Control; reclamante Edwin Cabrera, No se pudo dar con la falla ya que es un lugar rural, oscuridad y abundante vegetación no nos permitio solucionarlo, queda pendiente para el siguiente día.</t>
  </si>
  <si>
    <t>Agencia Zamora, se equipa vehículo de materiales y herramientas. Soapaca, se coordina trabajo con el Ing Andrew Quezada. Panguintza, Est # 221730-221731, se coloca crucetas de 1,20m, con pies de amigos, se eleva puentes con cadena de aisladores, limpieza de discos de aisladores.</t>
  </si>
  <si>
    <t>OT [01] Cuadrilla Zamora 2026-03-22 (006) FR.pdf</t>
  </si>
  <si>
    <t>OT [01] Cuadrilla Zamora 2026-03-22 (008) LL.pdf</t>
  </si>
  <si>
    <t>Carmelo de Guadalupe, se revisa linea al Carmelo, se cambia fusible quemado de 8A-T en la Est # 235933, se normaliza el servicio eléctrico al Carmelo.</t>
  </si>
  <si>
    <t>LM, JCH, MC</t>
  </si>
  <si>
    <t>Piuntza de Guadalupe, Est # 179690, se arregla conexiones recalentadas en bajantes del trafo 19567 de 37,5 kVA. Kantzama de Guadalupe, Est # 38462, se arregla conexiones sulfatadas del M# 18-251396.</t>
  </si>
  <si>
    <t>OT [02] Alumbrado Zamora 2026-03-10 (012) LM.pdf</t>
  </si>
  <si>
    <t xml:space="preserve"> </t>
  </si>
  <si>
    <t>La Florida de Yantzaza, arreglo de luminarias en mal estado, traslado desde el barrio playa de La Florida hacia Zamora.</t>
  </si>
  <si>
    <t>OT [02] Alumbrado Zamora 2026-03-11 (012) LM.pdf</t>
  </si>
  <si>
    <t>Calle Sevilla de Oro y Francisco de Orellana, Est # 27284 se repone tirafusible 6A-T derivación monofásica de dos transformadores de 15 KVA; causa: ave electrocutada. Continua, al siguiente día.</t>
  </si>
  <si>
    <t>Calle Sevilla de Oro y Francisco de Orellana, Est # 27284 se repone tirafusible 6A-T derivación monofásica de dos transformadores de 15 KVA; causa: ave electrocutada, se verifica el servicio.</t>
  </si>
  <si>
    <t>OT [02] Alumbrado Zamora 2026-03-12 (012) LM.pdf</t>
  </si>
  <si>
    <t>LM, RY, JCH</t>
  </si>
  <si>
    <t xml:space="preserve">Sector de Campanillas, San Carlos de Las Minas en el vano entre las Est # 211768, 252347, se revisa y se arregla línea neutro picada y retorna a Zamora. </t>
  </si>
  <si>
    <t>OT [02] Alumbrado Zamora 2026-03-14 (012) LM.pdf</t>
  </si>
  <si>
    <t>RY, JCH</t>
  </si>
  <si>
    <t>La Pituca, se recorre LMT desde el arranque hasta La Pituca en Est # 38972, sin presentar novedad; Est # 38807 se encuentra fusible quemado, se presume descarga eléctrica por fuertes lluvias, se repone tirafusible 6A-T.</t>
  </si>
  <si>
    <t>OT [02] Alumbrado Zamora 2026-03-15 (013) RY.pdf</t>
  </si>
  <si>
    <t>LM, MC</t>
  </si>
  <si>
    <t>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</si>
  <si>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OT [02] Alumbrado Zamora 2026-03-19 (012) LM.pdf</t>
  </si>
  <si>
    <t>INC No. 11041012368. Atendido, luminaria de 70 W Na en mal estado, Repotenciación, se reemplaza por 150W Na 2NP Nos trasladamos desde el barrio La Unión de Chicaña hacia Los Encuentros.</t>
  </si>
  <si>
    <t>LM, RY, JCH, MC</t>
  </si>
  <si>
    <t>Transporte desde Gualaquiza hasta Zamora luego de atender incidencias de Alumbrado,.</t>
  </si>
  <si>
    <t>OT [02] Alumbrado Zamora 2026-03-20 (012) LM.pdf</t>
  </si>
  <si>
    <t>NL, WC</t>
  </si>
  <si>
    <t>Jembuentza, se encuentra breaker de caja moldeada carbonizado de los Med 1000379108, 207709, se coordina con el cliente quien nos entrega un breaker nuevo, se restablece el servicio eléctrico.</t>
  </si>
  <si>
    <t>OT [03] Cuadrilla Yacuambi 2026-03-07 (017) NL.pdf</t>
  </si>
  <si>
    <t>Napurak, Est # 39204 se repone tirafusible 25A-T. Cambana, trafo 24856 de 15KVA, se revisa encontrando RBV pegadas por maquinaria de minería, se corrige y repone tirafusible de 0,7SR.</t>
  </si>
  <si>
    <t>OT [03] Cuadrilla Yacuambi 2026-03-08 (017) NL.pdf</t>
  </si>
  <si>
    <t>NL, WC, NR, VZH, JCR</t>
  </si>
  <si>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</si>
  <si>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</si>
  <si>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</si>
  <si>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OT [03] Cuadrilla Yacuambi 2026-03-11 (017) NL.pdf</t>
  </si>
  <si>
    <t>NL, WC, NR</t>
  </si>
  <si>
    <t>Traslado desde Barbascal de Chivatos hasta San José Chico, se encuentra Med 1000383227 acometida arrancada por caída de vegetación, se restablece\nel servicio eléctrico.</t>
  </si>
  <si>
    <t>OT [03] Cuadrilla Yacuambi 2026-03-13 (017) NL.pdf</t>
  </si>
  <si>
    <t>Piuntza Alto de La Paz, en la Est # 276154 se abre puentes de LBT para división de circuitos, en la Est 275803 se viste transformador SICAP 17242 de 10KVA, se retorna a Yacuambi.</t>
  </si>
  <si>
    <t>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</si>
  <si>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</si>
  <si>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OT [03] Cuadrilla Yacuambi 2026-03-20 (017) NL.pdf</t>
  </si>
  <si>
    <t>En Agencia Zamora, se coordina trabajos con el Ing Anderw Quezada, se equipa vehículo de herramientas, materiales, sector Chamico se labora en conjunto con la Cuadrilla de Loja trabajos planificados de la LST Cumbaratza Yantzaza.</t>
  </si>
  <si>
    <t>OT [03] Cuadrilla Yacuambi 2026-03-21 (017) NL.pdf</t>
  </si>
  <si>
    <t>Chamico, se continua con labores con la Cuadrilla de Loja trabajos planificados de la LST Cumbaratza Yantzaza.</t>
  </si>
  <si>
    <t>OT [03] Cuadrilla Yacuambi 2026-03-22 (017) NL.pdf</t>
  </si>
  <si>
    <t>WC, NR</t>
  </si>
  <si>
    <t>Traslado desde Bodega hasta Kantzama Bajo, en la Est # 70782 se revisa y repone tirafusible de 0,4SR del transformador SICAP 18219 de 5KVA, se revisa se repone.</t>
  </si>
  <si>
    <t>OT [03] Cuadrilla Yacuambi 2026-03-22 (018) WC.pdf</t>
  </si>
  <si>
    <t>SB, JLC</t>
  </si>
  <si>
    <t>Barrio Klever Herrera, se reajusta conexiones de medidor 23435 bornera recalentada, se informa que es necesario restituir breker trifásico de 50 A, se reestablece el servicio.</t>
  </si>
  <si>
    <t>OT [04] Cuadrilla Yantzaza 2026-03-01 (021) SB.pdf</t>
  </si>
  <si>
    <t>La Delicia, estructura 161991, se rehabilita transformador # 7129 de 10KVA a las 20:00. Causa: sobrecarga temporal.</t>
  </si>
  <si>
    <t>AA, RCL</t>
  </si>
  <si>
    <t>Vista Hermosa, estructura 64365, se rehabilita el trafo 17252 de 10 KVA, se verifica que todo quede normalizado.</t>
  </si>
  <si>
    <t>OT [04] Cuadrilla Yantzaza 2026-03-09 (022) AA.pdf</t>
  </si>
  <si>
    <t>Vista Hermosa, se revisa el medidor 1000410526, se encuentra con breaker en mal estado, el cliente adquiere un nuevo y se lo repone.</t>
  </si>
  <si>
    <t xml:space="preserve">San Juan de Chicaña, estructura 280028, se resetea el transformador 7049 de 10 KVA por sobrecarga. </t>
  </si>
  <si>
    <t>OT [04] Cuadrilla Yantzaza 2026-03-12 (022) AA.pdf</t>
  </si>
  <si>
    <t>Los Encuentros, medidor 18-208577, se encuentra cortado por falta de pago, queda sin servicios hasta su cancelación.</t>
  </si>
  <si>
    <t>OT [04] Cuadrilla Yantzaza 2026-03-13 (022) AA.pdf</t>
  </si>
  <si>
    <t>Nos trasladamos de la agencia Yantzaza a Los Encuentros, por falla del Reconectador Bellavista, continúa.</t>
  </si>
  <si>
    <t>Se recorre y revisa, entre las estructura 31834 y 31835 se encuentra un derrumbo en la vía y un árbol sobre la LMT 3Ø, se retira el árbol, se cierra los seccionadores en la estructura 31578 y se normaliza el servicio.</t>
  </si>
  <si>
    <t>OT [04] Cuadrilla Yantzaza 2026-03-14 (022) AA.pdf</t>
  </si>
  <si>
    <t>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</si>
  <si>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</si>
  <si>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</si>
  <si>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OT [04] Cuadrilla Yantzaza 2026-03-15 (022) AA.pdf</t>
  </si>
  <si>
    <t>San Francisco, estructura 273816, se revisa el medidor 20222056199, se ajusta las borneras del breaker y medidor, se resetea el breaker.</t>
  </si>
  <si>
    <t>SB, GT</t>
  </si>
  <si>
    <t>La Centza, estructura 33907 se encuentra fusible quemado en derivación al mismo sector, se revisa y encuentra vegetación, se repone tirafusible\nde 25A- K.</t>
  </si>
  <si>
    <t>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</si>
  <si>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</si>
  <si>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OT [04] Cuadrilla Yantzaza 2026-03-17 (021) SB.pdf</t>
  </si>
  <si>
    <t>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</si>
  <si>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OT [04] Cuadrilla Yantzaza 2026-03-18 (021) SB.pdf</t>
  </si>
  <si>
    <t>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</si>
  <si>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OT [04] Cuadrilla Yantzaza 2026-03-19 (021) SB.pdf</t>
  </si>
  <si>
    <t>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</si>
  <si>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OT [04] Cuadrilla Yantzaza 2026-03-20 (021) SB.pdf</t>
  </si>
  <si>
    <t>SB, AO, GT, JLC, LP, PCH</t>
  </si>
  <si>
    <t>En Agencia Yantzaza, trabajos programados en LST Cumbaratza - Yantzaza, en San Pablo, trabajos en  Est 221761. 221760 montaje de extensiones y reubicación de crucetas.</t>
  </si>
  <si>
    <t>OT [04] Cuadrilla Yantzaza 2026-03-21 (021) SB.pdf</t>
  </si>
  <si>
    <t xml:space="preserve">Yantzaza, calles 1 de Diciembre e Ivan Riofrio reajuste de conexiones del medidor 1000022485. </t>
  </si>
  <si>
    <t>El Mirador del Pincho, estructura 32516 se rehabilita transformador # 12475 de 5KVA a las 21.00 Causa: acometida de medidor: 282887 en cortocircuito.</t>
  </si>
  <si>
    <t>Subestación Yantzaza, por trabajos planificados, en coordinación con el Centro de Maniobras se procede al cierre de puesta tierra. Chimbutza, estructura 227441, se empalma, monta y regula la segunda fase de la RBV, se rehabilita el transformador 14693 de 15 KVA.</t>
  </si>
  <si>
    <t>OT [04] Cuadrilla Yantzaza 2026-03-21 (022) AA.pdf</t>
  </si>
  <si>
    <t>Subestación Yantzaza, por presentarse una falla en la LMT alimentador Yantzaza damos apoyo en trabajos a la Cuadrilla Energizada.</t>
  </si>
  <si>
    <t>Subestación Yantzaza, se ejecuta maniobras en coordinacion con el Centro de Control.</t>
  </si>
  <si>
    <t>San Pablo, en estructura 221764-221765 se inician trabajos programados, montaje de extensiones y reubicación de crucetas de LST Cumbaratza. Yantzaza 69 Kv, en estructura: 221764-64.</t>
  </si>
  <si>
    <t>OT [04] Cuadrilla Yantzaza 2026-03-22 (021) SB.pdf</t>
  </si>
  <si>
    <t>En Chimbutza, estructura 32287, se rehabilita Trafo # 99933 de 10 KVA, causa: sobrecarga.</t>
  </si>
  <si>
    <t>GLE</t>
  </si>
  <si>
    <t>OT [05] Energizados Yantzaza 2026-03-02 (027) LA.pdf</t>
  </si>
  <si>
    <t>OT [05] Energizados Yantzaza 2026-03-03 (027) LA.pdf</t>
  </si>
  <si>
    <t>OT [05] Energizados Yantzaza 2026-03-04 (027) LA.pdf</t>
  </si>
  <si>
    <t>OT [05] Energizados Yantzaza 2026-03-05 (027) LA.pdf</t>
  </si>
  <si>
    <t>OT [05] Energizados Yantzaza 2026-03-06 (027) LA.pdf</t>
  </si>
  <si>
    <t>OT [05] Energizados Yantzaza 2026-03-09 (027) LA.pdf</t>
  </si>
  <si>
    <t>OT [05] Energizados Yantzaza 2026-03-10 (027) LA.pdf</t>
  </si>
  <si>
    <t>OT [05] Energizados Yantzaza 2026-03-11 (027) LA.pdf</t>
  </si>
  <si>
    <t>OT [05] Energizados Yantzaza 2026-03-16 (027) LA.pdf</t>
  </si>
  <si>
    <t>OT [05] Energizados Yantzaza 2026-03-17 (027) LA.pdf</t>
  </si>
  <si>
    <t>OT [05] Energizados Yantzaza 2026-03-18 (027) LA.pdf</t>
  </si>
  <si>
    <t>OT [05] Energizados Yantzaza 2026-03-19 (027) LA.pdf</t>
  </si>
  <si>
    <t>OT [05] Energizados Yantzaza 2026-03-20 (027) LA.pdf</t>
  </si>
  <si>
    <t>OT [05] Energizados Yantzaza 2026-03-21 (027) LA.pdf</t>
  </si>
  <si>
    <t>JA, MS</t>
  </si>
  <si>
    <t>La Libertad, se revisa el M# 260878 y se encuentra el tubo doblado, se corta 3 metros de acometida y se empalma quedando normal.</t>
  </si>
  <si>
    <t>OT [06] Cuadrilla Paquisha 2026-03-02 (034) JA.pdf</t>
  </si>
  <si>
    <t>JA, DG</t>
  </si>
  <si>
    <t>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</si>
  <si>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OT [06] Cuadrilla Paquisha 2026-03-07 (034) JA.pdf</t>
  </si>
  <si>
    <t>El Placer, estructura # 32450 se encuentra el Trafo # 8113 de 5KVA bloqueado se revisa la red de BV no se encuentra ninguna novedad, se reconecta sin novedad.</t>
  </si>
  <si>
    <t>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</si>
  <si>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</si>
  <si>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OT [06] Cuadrilla Paquisha 2026-03-15 (034) JA.pdf</t>
  </si>
  <si>
    <t>DG, MS</t>
  </si>
  <si>
    <t xml:space="preserve">La Independencia, estructura 29595, acometida en cortocircuito, se empalma y se rehabilita trafo # 17676 de 5KVA. Paquisha, Med # 1000417813, estructura 29679, acometida acometida arrancada por paso de maquinaria desconocida, se cambia 75 m. </t>
  </si>
  <si>
    <t>OT [06] Cuadrilla Paquisha 2026-03-17 (036) DG.pdf</t>
  </si>
  <si>
    <t xml:space="preserve">Zumbi, estructura 235266, se rehabilita transformador # 10844 Causa: sobrecarga, se verifica que se encuentre normal el servicio. </t>
  </si>
  <si>
    <t>OT [06] Cuadrilla Paquisha 2026-03-18 (036) DG.pdf</t>
  </si>
  <si>
    <t>La Wintza, se cambia 50m de linea #2 en la estructura 219893, se rehabilita transformador #15033 de 10 KVA,causa: paso de maquinaria.</t>
  </si>
  <si>
    <t>OT [06] Cuadrilla Paquisha 2026-03-19 (036) DG.pdf</t>
  </si>
  <si>
    <t>JA, DG, MS, JJ</t>
  </si>
  <si>
    <t xml:space="preserve">San Pablo, se colabora a la cuadrilla de Línea energizada trabajos planificados en la linea de subtransmision 69KV. </t>
  </si>
  <si>
    <t>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</si>
  <si>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</si>
  <si>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Zumbi, ejecución del plan de maniobras. Paquisha, estructura 29846, se cambia conectores y se reajusta todas las conexiones del trafo # 7002, se rehabilita, causa: conectores en mal estado</t>
  </si>
  <si>
    <t>OT [06] Cuadrilla Paquisha 2026-03-22 (036) DG.pdf</t>
  </si>
  <si>
    <t>Paquisha, estructura 28938 ejecución del plan de maniobras, se espera confirmación por parte de Centro de Control y ejecuta maniobras.</t>
  </si>
  <si>
    <t>CQ, JL</t>
  </si>
  <si>
    <t>La Wintza, Santa Elena, inspección nocturna de las luminarias en mal estado ubicadas en las redes de distribución del AP La Saquea.</t>
  </si>
  <si>
    <t>OT [07] Cuadrilla Guayzimi 2026-03-02 (038) CQ.pdf</t>
  </si>
  <si>
    <t>CQ, AC, JL</t>
  </si>
  <si>
    <t>El Miasi - Guayzimi, estructura 33005 arregla acometida arrancada de medidor 1000378182 por paso de vehículo plataforma versión de abonado.</t>
  </si>
  <si>
    <t>OT [07] Cuadrilla Guayzimi 2026-03-03 (038) CQ.pdf</t>
  </si>
  <si>
    <t xml:space="preserve">Transporte a Mariposa, Alto Nangaritza, Est 61956 tirafusible quemado toma medidas de seguridad se recorre en bote rio Nangaritza. </t>
  </si>
  <si>
    <t>OT [07] Cuadrilla Guayzimi 2026-03-04 (038) CQ.pdf</t>
  </si>
  <si>
    <t>Mariposa, trabajos de reubicación de estructura a lugar mas seguro, finalizados los trabajos retornamos al punto de arranque estructura 61956 se repone tirafusible de 6A-T.</t>
  </si>
  <si>
    <t>San Jose, estructura 32981 tirafusible quemado Causa: fuertes lluvias, se repone tirafusible de 12A-T.</t>
  </si>
  <si>
    <t>OT [07] Cuadrilla Guayzimi 2026-03-05 (038) CQ.pdf</t>
  </si>
  <si>
    <t>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</si>
  <si>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OT [07] Cuadrilla Guayzimi 2026-03-08 (038) CQ.pdf</t>
  </si>
  <si>
    <t>Guayzimi, estructura 32995 revisa transformador Sicap 22768 de 25KVA abierto, causa; LBT arrancada, vehículo con carga elevada tramo estructura 329996 - 32997, se corrige y rehabilita.</t>
  </si>
  <si>
    <t>OT [07] Cuadrilla Guayzimi 2026-03-16 (038) CQ.pdf</t>
  </si>
  <si>
    <t>Transporte desde Selva Alegre a Guayzimi, En Guayzimi estructura 33135, revisa medidor 268509 causa: Tablero de medidor destruido por arco eléctrico y medidor quemado, se habilita servicio directo para posterior arreglo de tablero y cambio de medidor.</t>
  </si>
  <si>
    <t>OT [07] Cuadrilla Guayzimi 2026-03-17 (038) CQ.pdf</t>
  </si>
  <si>
    <t>Transporte de Selva Alegre - Guayzimi, estructura 32925 arregla acometida arrancada por paso de vehículo de medidor 1000366373.</t>
  </si>
  <si>
    <t>OT [07] Cuadrilla Guayzimi 2026-03-20 (038) CQ.pdf</t>
  </si>
  <si>
    <t>CQ</t>
  </si>
  <si>
    <t>Guayzimi, se rehabilita transformador # 8107 de 5KVA Causa: LBT F1 y F2 enredada. Santa Elena, estructura 34236 se revisa medidor 1000370303 por falla conexiones con sulfato de salida del breaker del medidor.</t>
  </si>
  <si>
    <t>OT [07] Cuadrilla Guayzimi 2026-03-21 (038) CQ.pdf</t>
  </si>
  <si>
    <t>Guayzimi, estructura 25430, se rehabilita transformador # OID18252 de 5KVA, Causa: conexión informal, versión abonados.</t>
  </si>
  <si>
    <t>LV, FA, AS</t>
  </si>
  <si>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</si>
  <si>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OT [08] Cuadrilla El Pangui 2026-03-01 (043) LV.pdf</t>
  </si>
  <si>
    <t>Chuchumbletza, estructura 32025 transformador 12595 de 10kva, se realiza el arreglo de la acometida arrancada del medidor nro 234177, causa maquinaria retroexcavadora.</t>
  </si>
  <si>
    <t>HM, AS</t>
  </si>
  <si>
    <t xml:space="preserve">Soldado Rivera, se revisa hasta la estructura 127607, se encuentra con servicio normal, queda pendiente revisar hacia la estructura 127611 por falta de tiempo y por ser lejano, queda pendiente. </t>
  </si>
  <si>
    <t>OT [08] Cuadrilla El Pangui 2026-03-02 (042) HM.pdf</t>
  </si>
  <si>
    <t>HM, LV, AS</t>
  </si>
  <si>
    <t xml:space="preserve">Chantzas, estructura 178710, Medidor 240186, se arregla acometida arrancada por caída de árbol. </t>
  </si>
  <si>
    <t>OT [08] Cuadrilla El Pangui 2026-03-05 (042) HM.pdf</t>
  </si>
  <si>
    <t>HM, AD, AS</t>
  </si>
  <si>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</si>
  <si>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OT [08] Cuadrilla El Pangui 2026-03-07 (042) HM.pdf</t>
  </si>
  <si>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</si>
  <si>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OT [08] Cuadrilla El Pangui 2026-03-08 (042) HM.pdf</t>
  </si>
  <si>
    <t>HM, LV, AD, AS</t>
  </si>
  <si>
    <t>Traslado desde Soldado Rivera hasta El Pangui, estructura 27990, medidor # 232158 se resetea el breaker general. Causa: cortocircuito interno</t>
  </si>
  <si>
    <t>OT [08] Cuadrilla El Pangui 2026-03-10 (042) HM.pdf</t>
  </si>
  <si>
    <t>LV, FA</t>
  </si>
  <si>
    <t>El Pangui, estructura 27990 transformador de 37.5 kva nro 25442, se encuentra los conectores de la bajante del bushing en mal estado, se cambia.</t>
  </si>
  <si>
    <t>OT [08] Cuadrilla El Pangui 2026-03-14 (043) LV.pdf</t>
  </si>
  <si>
    <t>LV, FA, MS</t>
  </si>
  <si>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</si>
  <si>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Traslado a Gualaquiza, se colabora en arreglo de RBV daño ocasionado por vehículo desconocido.</t>
  </si>
  <si>
    <t>OT [08] Cuadrilla El Pangui 2026-03-15 (043) LV.pdf</t>
  </si>
  <si>
    <t>Traslado desde Gualaquiza al sector El Mirador, entre los postes 32521 a 32523 se encuentra arrancada RBV ocasionado por maquinaria desconocida, se realiza empalmado y montaje de la linea; Se energiza trafo 16799 de 10kva.</t>
  </si>
  <si>
    <t>HM, AD</t>
  </si>
  <si>
    <t>El Pangui, la estructura 227941 se rehabilita el transformador # 23783 de 37.5 KVA; Causa: desconocida</t>
  </si>
  <si>
    <t>OT [08] Cuadrilla El Pangui 2026-03-16 (042) HM.pdf</t>
  </si>
  <si>
    <t>HM, AS, LV</t>
  </si>
  <si>
    <t>Quebrada del Miassi, estructura 27106 se desbroza vegetación y se arregla LMT arrancada por caída de árbol. Santa Rosa, estructura 281526 se repone tirafusible 6-K; Causa: vegetación.</t>
  </si>
  <si>
    <t>OT [08] Cuadrilla El Pangui 2026-03-17 (042) HM.pdf</t>
  </si>
  <si>
    <t>Tsarunts, zona rural, se revisa la LMV y en la estructura 195097 se encuentra 1 aislador pin 56-1 fogoneado, se planifica para cambiarlo el día de mañana, via cerrada por derrumbes dificulta maniobras de desenergización.</t>
  </si>
  <si>
    <t>OT [08] Cuadrilla El Pangui 2026-03-19 (042) HM.pdf</t>
  </si>
  <si>
    <t>Atención de daños en Tsarunts, desde El Pangui hasta Valle Hermoso (Yantzaza) a causa de que no hay paso por El Guismi.</t>
  </si>
  <si>
    <t>OT [08] Cuadrilla El Pangui 2026-03-20 (042) HM.pdf</t>
  </si>
  <si>
    <t xml:space="preserve">El Pangui, estructura 28013 se rehabilita el transformador 22234 de 37.5 kVA; Causa: sobrecarga; censo de cargas N: 12A; F1: 149; F2: 160. </t>
  </si>
  <si>
    <t>CLP, CG</t>
  </si>
  <si>
    <t>San Francisco, se revisa red de MV desde la estructura 254209 hasta 220990, se cambia tirafusible en Est # 128372 de 15 A-K.</t>
  </si>
  <si>
    <t>OT [09] Cuadrilla Gualaquiza 2026-03-01 (047) CLP.pdf</t>
  </si>
  <si>
    <t>Guayusal, se revisa red de MV desde la estructura 128372 hasta 128632 se retira vegetación entre la estructura 128629 - 12828, se cambia tirafusible de 15 A-K en la estructura 128372</t>
  </si>
  <si>
    <t>Barrio La Unión, se recorre RBV, se cambia fusible NH quemados, en la estructura 40554, en el transformador# 40611 de 45 kVA; Causa: sobrecarga. Calle Cuenca, via al porton, se revisa RBV y se rehabilita transformador 15790 de 25 kVA en la estructura 268490.</t>
  </si>
  <si>
    <t>FG, CLP, MA</t>
  </si>
  <si>
    <t>San Francisco, se revisa red de MV y se encuentra conexión del seccionador floja en estructura 128476; se empalma linea picada por conexión floja de la grapa, se ajusta puente del seccionador,  Se repone fusible de 12A-T.</t>
  </si>
  <si>
    <t>OT [09] Cuadrilla Gualaquiza 2026-03-02 (045) FG.pdf</t>
  </si>
  <si>
    <t>Sector Zapotillo, se desbroza vegetación, se realiza montaje de transformador de 10 kVA, se coloca puesta a tierra. Traslado a Cuchipamba, se cierra seccionador en estructura 128090, se verifica voltajes.</t>
  </si>
  <si>
    <t>OT [09] Cuadrilla Gualaquiza 2026-03-03 (045) FG.pdf</t>
  </si>
  <si>
    <t>FG, CLP</t>
  </si>
  <si>
    <t>Sector Pasaje, se revisa medidor 1000422986 estructura 500641 red subterránea, se encuentra conector flojo en transformador 10474 de 50 kva estructura 26845, se ajusta conexión</t>
  </si>
  <si>
    <t>OT [09] Cuadrilla Gualaquiza 2026-03-04 (045) FG.pdf</t>
  </si>
  <si>
    <t>Las Peñas, en la estructura 64727 se encuentra roto el neutro, se realiza trocha, se empalma linea, se arregla acometidas sueltas; Causa: linea rota por caída de árbol</t>
  </si>
  <si>
    <t>OT [09] Cuadrilla Gualaquiza 2026-03-05 (045) FG.pdf</t>
  </si>
  <si>
    <t>FG, MA</t>
  </si>
  <si>
    <t xml:space="preserve">El Belén, en la estructura 127785 se revisa RBV se resetea el transformador 5994 de 5 Kva, conectando normal el servicio. Causa: sobrecarga temporal. </t>
  </si>
  <si>
    <t>OT [09] Cuadrilla Gualaquiza 2026-03-06 (045) FG.pdf</t>
  </si>
  <si>
    <t>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</si>
  <si>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OT [09] Cuadrilla Gualaquiza 2026-03-07 (045) FG.pdf</t>
  </si>
  <si>
    <t>La Pradera, en la estructura 265102 se revisa RBV, moradores informan que maquina había chocado los cables, se resetea transformador 16877 de 15 Kva en estructura 257670.</t>
  </si>
  <si>
    <t>OT [09] Cuadrilla Gualaquiza 2026-03-08 (045) FG.pdf</t>
  </si>
  <si>
    <t>El Rosario, se realiza montaje del transformador 27201 de 15 Kva, mismo sector, estructura 128717 se revisa conexiones; traslado a la agencia.</t>
  </si>
  <si>
    <t>OT [09] Cuadrilla Gualaquiza 2026-03-12 (045) FG.pdf</t>
  </si>
  <si>
    <t>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</si>
  <si>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</si>
  <si>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OT [09] Cuadrilla Gualaquiza 2026-03-14 (062) GC.pdf</t>
  </si>
  <si>
    <t>La Pradera, desbroce de maleza de la estructura 127909 a 127907 tráfo 10602, se empalma RBV arrancada por árboles y vegetación, se normaliza servicio.</t>
  </si>
  <si>
    <t>Sevilla, se revisa RBV conectores flojos en transformador # 15698 estructura 40408, se procede a ajustar y se normaliza servicio.</t>
  </si>
  <si>
    <t>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</si>
  <si>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OT [09] Cuadrilla Gualaquiza 2026-03-15 (062) GC.pdf</t>
  </si>
  <si>
    <t>Sevilla, se revisa RBV y acometidas desde la estructura 40408, 42846 y 42844; se detecta cortocircuito en acometida interna del medidor 2014203866, se informa al cliente y se resetea transformador # 15698 estructura 40408.</t>
  </si>
  <si>
    <t>FG, MA, CLP</t>
  </si>
  <si>
    <t xml:space="preserve">Tutus, se revisa red de MV se encuentra quemado fusible en arranque, se repone fusible de 1,2-SR , en la estructura 91980 se verifica que todo este normal. </t>
  </si>
  <si>
    <t>OT [09] Cuadrilla Gualaquiza 2026-03-18 (045) FG.pdf</t>
  </si>
  <si>
    <t>CLP, MA</t>
  </si>
  <si>
    <t>El Rosario, se recorre red de BV, se localiza vegetación, se retira y se cambia tirafusible de 1.3 A SR en la Est 128717; Transformador 27201.</t>
  </si>
  <si>
    <t>OT [09] Cuadrilla Gualaquiza 2026-03-18 (047) CLP.pdf</t>
  </si>
  <si>
    <t>La Unión, se revisa red de BV, conexiones de bajantes de transformador 15925 (3ø) en las estructras 303738- 040594, reseteamos breker trifásico, medimos cargas. F1: 105A F2: 160A F3: 145A.</t>
  </si>
  <si>
    <t>OT [09] Cuadrilla Gualaquiza 2026-03-19 (047) CLP.pdf</t>
  </si>
  <si>
    <t>Tsaurunts, en coordinacion con Henry Mendieta y Ing. Quezada se apoya a reparar red de MV, Traslado a Tsarunts, se realiza revison de Estructura 195097, cambio de aislador Pin 56-1 y se amarra la linea, se corta enredaderas de los tensores.</t>
  </si>
  <si>
    <t>OT [09] Cuadrilla Gualaquiza 2026-03-20 (045) FG.pdf</t>
  </si>
  <si>
    <t>Shiramentza, estructura 68960 se revisa red de BV se resetea transformador de 5 kVA, se verifica que todo este normal. Causa: sobrecarga.</t>
  </si>
  <si>
    <t>San Miguel, se atiende emergencia por choque de vehiculo en estructura 208978, se coordina con centro de control para abrir seccionadores, se asegura estructura 208978 se amarra lineas.</t>
  </si>
  <si>
    <t>OT [09] Cuadrilla Gualaquiza 2026-03-21 (045) FG.pdf</t>
  </si>
  <si>
    <t>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</si>
  <si>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San Jose de Piuntz, conector suelto, falta de una fase, se cambia conector del transformador 18865 de 37.5 kVA en la estructura 195168, se retrasan los trabajos por esperar a que se realicen maniobras en LST 69kV.</t>
  </si>
  <si>
    <t>OT [09] Cuadrilla Gualaquiza 2026-03-21 (047) CLP.pdf</t>
  </si>
  <si>
    <t>Calle 12 de febrero y Cuenca, cortocircuito, se realiza cambio de breker quemado del medidor 207015 se restablece servicio.</t>
  </si>
  <si>
    <t>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</si>
  <si>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Proveduria - Tutus, se recorre LMV, desde la partida hasta Tutus, se retira vegetación, estructura 161619 - 161620; se cambia tirafusible de 12 A-K por uno de 12 A-T, en la estructura 127160.</t>
  </si>
  <si>
    <t>OT [09] Cuadrilla Gualaquiza 2026-03-22 (047) CLP.pdf</t>
  </si>
  <si>
    <t>Sakanas, se retira lata en la red de MV en la estructura 33308, cambiamos tirafusible de 6A-T en la estructura 244338.</t>
  </si>
  <si>
    <t>GJ, SO</t>
  </si>
  <si>
    <t>Guadalupe, se reubica y se restituye medidor por display quemado 1000021836 por el 18-258945 Nota: no se puede avanzar con el trabajo por fuerte temporal invernal.</t>
  </si>
  <si>
    <t>OT [21] Agencia Zamora 2026-03-04 (050) GJ.pdf</t>
  </si>
  <si>
    <t>GJ, LL, SO, VZH</t>
  </si>
  <si>
    <t>Antenas del Líbano, realizando la restitución del medidor 18-258946 y en la estructura 27507 se coloca un seccionador portafusible.</t>
  </si>
  <si>
    <t>OT [21] Agencia Zamora 2026-03-05 (050) GJ.pdf</t>
  </si>
  <si>
    <t>GJ, RS</t>
  </si>
  <si>
    <t>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</si>
  <si>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OT [21] Agencia Zamora 2026-03-06 (050) GJ.pdf</t>
  </si>
  <si>
    <t>GJ, LL</t>
  </si>
  <si>
    <t>San José del Progreso, se realiza inspección para N/S solicitado por el Sr. Manuel Jiménez. El Progreso, se realiza inspección para S/O solicitado por el Sr Santos Rodríguez, estructura 28704.</t>
  </si>
  <si>
    <t>OT [21] Agencia Zamora 2026-03-12 (050) GJ.pdf</t>
  </si>
  <si>
    <t>LP, PCH</t>
  </si>
  <si>
    <t>Chimbutza, se revisa y se restea breaker del medidor 18-230465. Ungumiatza, se revisa y se reconecta el transformador # 7080 de 5 kva estructura 30626. Zumbi, se revisa y se cambia 12 metros de acometida recalentada de los medidores # 268446 y 214951.</t>
  </si>
  <si>
    <t>OT [22] Agencia Yantzaza 2026-03-02 (056) LP.pdf</t>
  </si>
  <si>
    <t>PCH, LP</t>
  </si>
  <si>
    <t>San Juan de Chicaña,  estructura # 280028 transformador 7049 de 10 kVA, se revisa la RBV, no se encuentra novedad, se rehabilita transformador.</t>
  </si>
  <si>
    <t>OT [22] Agencia Yantzaza 2026-03-04 (055) PCH.pdf</t>
  </si>
  <si>
    <t>Los Hachos, se recorre la línea y se repone tirafusible de 12 A-K en la estructura 274794 y se normaliza el servicio sin novedad.</t>
  </si>
  <si>
    <t>OT [22] Agencia Yantzaza 2026-03-04 (056) LP.pdf</t>
  </si>
  <si>
    <t>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</si>
  <si>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OT [22] Agencia Yantzaza 2026-03-06 (056) LP.pdf</t>
  </si>
  <si>
    <t>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</si>
  <si>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OT [22] Agencia Yantzaza 2026-03-07 (055) PCH.pdf</t>
  </si>
  <si>
    <t>PCH, DG</t>
  </si>
  <si>
    <t>La Delicia, estructura 161991, se rehabilita el transformador 7129, causa: sobrecarga.</t>
  </si>
  <si>
    <t>El Dorado, se encuentra sin servicio, causa borneras sobrecalentadas del medidor 1000386109, ajuste de borneras,  se normaliza el servicio.</t>
  </si>
  <si>
    <t>OT [22] Agencia Yantzaza 2026-03-08 (055) PCH.pdf</t>
  </si>
  <si>
    <t>RCL, PCH</t>
  </si>
  <si>
    <t>Zumbi, se instala Servicio Ocasional para el Coliseo.</t>
  </si>
  <si>
    <t>OT [22] Agencia Yantzaza 2026-03-18 (054) RCL.pdf</t>
  </si>
  <si>
    <t>FA, AD</t>
  </si>
  <si>
    <t>Tundayme, acometida arrancada del medidor 1000363577, se restituye acometida y caja plástica destruidas por paso de volqueta. El Pangui, medidor# 145868 sin energía, se arregla acometida arrancada por sulfatación en empalme, se normaliza el servicio.</t>
  </si>
  <si>
    <t>OT [23] Agencia El Pangui 2026-03-02 (058) FA.pdf</t>
  </si>
  <si>
    <t>El Pangui, se recorre RBV no se encuentra ninguna novedad, se resetea el transformador 22234 de 37.5 KVA en el estructura 28013.</t>
  </si>
  <si>
    <t>OT [23] Agencia El Pangui 2026-03-03 (058) FA.pdf</t>
  </si>
  <si>
    <t>GC, RCL</t>
  </si>
  <si>
    <t>Gualaquiza, arreglo de acometida medidor 125930, Estructura 128638 y se resetea trafo # 14217 estructura 128632.</t>
  </si>
  <si>
    <t>OT [24] Agencia Gualaquiza 2026-03-10 (062) GC.pdf</t>
  </si>
  <si>
    <t>GC, CB</t>
  </si>
  <si>
    <t>Guayusal, revision RBV estructura 255873, 255866, retiro de ramas en la estructura 219743 - Transformador 23459 de 10KVA, estructura 255869.</t>
  </si>
  <si>
    <t>Luis Casiragui y Velasco Ibarra, estructura 303745 revision medidor 213468, revision y arreglo LBT, estructura 040553 cambio NHs quemado fases A/B, reestablece servicio.</t>
  </si>
  <si>
    <t>OT [24] Agencia Gualaquiza 2026-03-13 (061) CB.pdf</t>
  </si>
  <si>
    <t>Guayusal, revision RBV, estructura 218078, 218105 limpieza arboles sobre la red, estructura 255869 energizacion transformador 23459 de 10 kVA. Kunchaime, estructura 204231, arreglo acometida medidor 1000026966, arrancada por caida de arbol.</t>
  </si>
  <si>
    <t>ACOMETIDAS</t>
  </si>
  <si>
    <t>REDES</t>
  </si>
  <si>
    <t>REDES:70, ACOMETIDAS:30</t>
  </si>
  <si>
    <t>REDES:90,ACOMETIDAS:10</t>
  </si>
  <si>
    <t>SUBTRANSMISION</t>
  </si>
  <si>
    <t>ALUMBRADO</t>
  </si>
  <si>
    <t>REDES:50, ACOMETIDAS:50</t>
  </si>
  <si>
    <t>REDES, REDES</t>
  </si>
  <si>
    <t>informativa</t>
  </si>
  <si>
    <t>?</t>
  </si>
  <si>
    <t>transporte</t>
  </si>
  <si>
    <t>REDES:90, ACOMETIDAS:10</t>
  </si>
  <si>
    <t>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</si>
  <si>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San Roque: estructura # 311147 se puentea derivación monofasica, se abre y cierra puentes y realiza maniobras para des energiza un tramo de linea de media tension para entrar con linea a las nuevas estructu</t>
  </si>
  <si>
    <t>Agencia El Pangui: Se carga combustible ya que hay en la Agencia Yantzaza y retiro de solicitud de materiales y retorno a la Yantzaza. Laboran: LA, CB, RM, CO de 06:30 a 18:00 SR de 08:00 a 18:00. CCH- LOJA. Kilometraje canasta 2-21: Inicial: 122710 final:122766</t>
  </si>
  <si>
    <t>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</si>
  <si>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Gualaquiza: Se coordina con Ing. Jonny Márquez , focalizadores y contratista de obras de la Empresa se realiza inspecciones para realizar trabajos con lineas energizadas.</t>
  </si>
  <si>
    <t>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</si>
  <si>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</si>
  <si>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</si>
  <si>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</si>
  <si>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Edificio Central se coordina trabajos con el Ing, Jorge Zaruma y Nelson Sanmartin hasta las 18: 00 y viaje de retorno a Yantzaza. Laboran: LA, CB, RM, CO, SR, de 08:00 a 21:00. Kilometraje canasta 2-146 : inicial : 777 final: 883</t>
  </si>
  <si>
    <t>Yantzaza - Vía Tutupali.</t>
  </si>
  <si>
    <t>estructura # 128815, se pasa linea existente a nueva estructura, se instala estribo, se retira estructura existente, se instala seccionador y cruceta de 1,20m para derivación, cierra puentes.</t>
  </si>
  <si>
    <t>Redondel Gualaquiza: Se realiza el izado de una estructura entre # 181599- 179231 de 12m de 2000kg.</t>
  </si>
  <si>
    <t>Bomboiza: estructura # 250241 se instala seccionador fusible y estribo para derivacion monofásica. Laboran: LA, CB, RM, CO, SR de 08:00 a 18:00. se pernota en Gualaquiza. Kilometraje canasta 2-146: inicial: 970 final: 1026</t>
  </si>
  <si>
    <t>Se elabora OT. Se coordina trabajos con el Jefe inmediato y centro de control. Bomboiza: Se realiza maniobras en reguladores de voltaje, mallado interno del Alimentador las Peñas y Reconectodor Nueva Tarquí.</t>
  </si>
  <si>
    <t>Gualaquiza - Subestación Yantzaza - Yantzaza. Laboran: LA, CB, RM, CO, SR de 07:00 a 19:45. Retorno Yantzaza. Kilometraje canasta 2- 146: Inicial: 1026 final: 1120</t>
  </si>
  <si>
    <t>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</si>
</sst>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d&quot;,  &quot;dd&quot; de &quot;mmmm&quot; de &quot;yyyy"/>
    <numFmt numFmtId="165" formatCode="dd/mm/yy"/>
    <numFmt numFmtId="166" formatCode="dd/mmm\ yyyy"/>
    <numFmt numFmtId="167" formatCode="hh:mm"/>
    <numFmt numFmtId="168" formatCode="[$-F400]h:mm:ss\ AM/PM"/>
  </numFmts>
  <fonts count="4" x14ac:knownFonts="1">
    <font>
      <sz val="10"/>
      <name val="Arial"/>
      <family val="2"/>
      <charset val="1"/>
    </font>
    <font>
      <b/>
      <sz val="10"/>
      <name val="Arial"/>
      <family val="2"/>
      <charset val="1"/>
    </font>
    <font>
      <b/>
      <sz val="14"/>
      <name val="Arial"/>
      <family val="2"/>
      <charset val="1"/>
    </font>
    <font>
      <sz val="10"/>
      <color rgb="FF000000"/>
      <name val="Arial"/>
      <charset val="1"/>
    </font>
  </fonts>
  <fills count="9">
    <fill>
      <patternFill patternType="none"/>
    </fill>
    <fill>
      <patternFill patternType="gray125"/>
    </fill>
    <fill>
      <patternFill patternType="solid">
        <fgColor rgb="FFB4C7DC"/>
        <bgColor rgb="FFCCCCFF"/>
      </patternFill>
    </fill>
    <fill>
      <patternFill patternType="solid">
        <fgColor theme="8" tint="0.79989013336588644"/>
        <bgColor rgb="FFFFFFFF"/>
      </patternFill>
    </fill>
    <fill>
      <patternFill patternType="solid">
        <fgColor theme="8" tint="0.59987182226020086"/>
        <bgColor rgb="FFFFD546"/>
      </patternFill>
    </fill>
    <fill>
      <patternFill patternType="solid">
        <fgColor theme="4" tint="0.79989013336588644"/>
        <bgColor rgb="FFCCFFFF"/>
      </patternFill>
    </fill>
    <fill>
      <patternFill patternType="solid">
        <fgColor theme="5" tint="0.79989013336588644"/>
        <bgColor rgb="FFCCFFFF"/>
      </patternFill>
    </fill>
    <fill>
      <patternFill patternType="solid">
        <fgColor theme="9" tint="0.79989013336588644"/>
        <bgColor rgb="FFFFF1C1"/>
      </patternFill>
    </fill>
    <fill>
      <patternFill patternType="solid">
        <fgColor theme="9" tint="0.59987182226020086"/>
        <bgColor rgb="FFFF8080"/>
      </patternFill>
    </fill>
  </fills>
  <borders count="1">
    <border>
      <left/>
      <right/>
      <top/>
      <bottom/>
      <diagonal/>
    </border>
  </borders>
  <cellStyleXfs count="1">
    <xf numFmtId="0" fontId="0" fillId="0" borderId="0"/>
  </cellStyleXfs>
  <cellXfs count="25">
    <xf numFmtId="0" fontId="0" fillId="0" borderId="0" xfId="0"/>
    <xf numFmtId="164" fontId="0" fillId="0" borderId="0" xfId="0" applyNumberFormat="1"/>
    <xf numFmtId="0" fontId="1" fillId="0" borderId="0" xfId="0" applyFont="1" applyAlignment="1">
      <alignment horizontal="left" indent="1"/>
    </xf>
    <xf numFmtId="165" fontId="0" fillId="0" borderId="0" xfId="0" applyNumberFormat="1"/>
    <xf numFmtId="0" fontId="2" fillId="0" borderId="0" xfId="0" applyFont="1" applyAlignment="1">
      <alignment horizontal="center" vertical="center"/>
    </xf>
    <xf numFmtId="0" fontId="1" fillId="2" borderId="0" xfId="0" applyFont="1" applyFill="1" applyAlignment="1">
      <alignment horizontal="left" indent="1"/>
    </xf>
    <xf numFmtId="165" fontId="0" fillId="3" borderId="0" xfId="0" applyNumberFormat="1" applyFill="1"/>
    <xf numFmtId="165" fontId="0" fillId="4" borderId="0" xfId="0" applyNumberFormat="1" applyFill="1"/>
    <xf numFmtId="165" fontId="0" fillId="5" borderId="0" xfId="0" applyNumberFormat="1" applyFill="1"/>
    <xf numFmtId="165" fontId="0" fillId="6" borderId="0" xfId="0" applyNumberFormat="1" applyFill="1"/>
    <xf numFmtId="165" fontId="0" fillId="7" borderId="0" xfId="0" applyNumberFormat="1" applyFill="1"/>
    <xf numFmtId="165" fontId="0" fillId="8" borderId="0" xfId="0" applyNumberFormat="1" applyFill="1"/>
    <xf numFmtId="0" fontId="0" fillId="0" borderId="0" xfId="0" applyAlignment="1">
      <alignment horizontal="right"/>
    </xf>
    <xf numFmtId="166" fontId="0" fillId="0" borderId="0" xfId="0" applyNumberFormat="1" applyAlignment="1">
      <alignment horizontal="center"/>
    </xf>
    <xf numFmtId="167" fontId="0" fillId="0" borderId="0" xfId="0" applyNumberFormat="1" applyAlignment="1">
      <alignment horizontal="center"/>
    </xf>
    <xf numFmtId="168" fontId="1" fillId="0" borderId="0" xfId="0" applyNumberFormat="1" applyFont="1" applyAlignment="1">
      <alignment horizontal="center"/>
    </xf>
    <xf numFmtId="0" fontId="1" fillId="0" borderId="0" xfId="0" applyFont="1"/>
    <xf numFmtId="0" fontId="1" fillId="0" borderId="0" xfId="0" applyFont="1" applyAlignment="1">
      <alignment horizontal="right" indent="1"/>
    </xf>
    <xf numFmtId="166" fontId="1" fillId="0" borderId="0" xfId="0" applyNumberFormat="1" applyFont="1" applyAlignment="1">
      <alignment horizontal="center"/>
    </xf>
    <xf numFmtId="167" fontId="1" fillId="0" borderId="0" xfId="0" applyNumberFormat="1" applyFont="1" applyAlignment="1">
      <alignment horizontal="center"/>
    </xf>
    <xf numFmtId="168" fontId="1" fillId="0" borderId="0" xfId="0" applyNumberFormat="1" applyFont="1" applyAlignment="1">
      <alignment horizontal="left" indent="1"/>
    </xf>
    <xf numFmtId="0" fontId="3" fillId="0" borderId="0" xfId="0" applyFont="1"/>
    <xf numFmtId="0" fontId="3" fillId="0" borderId="0" xfId="0" applyFont="1" applyAlignment="1">
      <alignment wrapText="1"/>
    </xf>
    <xf numFmtId="4" fontId="1" fillId="0" borderId="0" xfId="0" applyNumberFormat="1" applyFont="1" applyAlignment="1">
      <alignment horizontal="center"/>
    </xf>
    <xf numFmtId="167" fontId="0" fillId="0" borderId="0" xfId="0" applyNumberFormat="1" applyFont="1" applyAlignment="1">
      <alignment horizontal="center"/>
    </xf>
  </cellXfs>
  <cellStyles count="1">
    <cellStyle name="Normal" xfId="0" builtinId="0"/>
  </cellStyles>
  <dxfs count="8">
    <dxf>
      <fill>
        <patternFill>
          <bgColor theme="9" tint="0.59987182226020086"/>
        </patternFill>
      </fill>
    </dxf>
    <dxf>
      <fill>
        <patternFill>
          <bgColor theme="9" tint="0.79989013336588644"/>
        </patternFill>
      </fill>
    </dxf>
    <dxf>
      <fill>
        <patternFill>
          <bgColor theme="5" tint="0.79989013336588644"/>
        </patternFill>
      </fill>
    </dxf>
    <dxf>
      <fill>
        <patternFill>
          <bgColor theme="4" tint="0.79989013336588644"/>
        </patternFill>
      </fill>
    </dxf>
    <dxf>
      <fill>
        <patternFill>
          <bgColor theme="4" tint="0.79989013336588644"/>
        </patternFill>
      </fill>
    </dxf>
    <dxf>
      <fill>
        <patternFill>
          <bgColor theme="8" tint="0.39988402966399123"/>
        </patternFill>
      </fill>
    </dxf>
    <dxf>
      <fill>
        <patternFill>
          <bgColor theme="8" tint="0.79989013336588644"/>
        </patternFill>
      </fill>
    </dxf>
    <dxf>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1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zoomScale="80" zoomScaleNormal="80" workbookViewId="0">
      <selection activeCell="D19" sqref="D19"/>
    </sheetView>
  </sheetViews>
  <sheetFormatPr baseColWidth="10" defaultColWidth="11.5703125" defaultRowHeight="12.75" x14ac:dyDescent="0.2"/>
  <cols>
    <col min="1" max="1" width="43.140625" customWidth="1"/>
    <col min="2" max="2" width="35.140625" style="1" customWidth="1"/>
    <col min="3" max="3" width="23" customWidth="1"/>
    <col min="4" max="4" width="29.7109375" style="2" customWidth="1"/>
    <col min="5" max="5" width="15.85546875" style="3" customWidth="1"/>
    <col min="6" max="6" width="18.7109375" customWidth="1"/>
    <col min="7" max="7" width="32.85546875" style="2" customWidth="1"/>
    <col min="8" max="8" width="15.85546875" style="3" customWidth="1"/>
    <col min="9" max="9" width="17.5703125" customWidth="1"/>
  </cols>
  <sheetData>
    <row r="1" spans="1:7" ht="31.5" customHeight="1" x14ac:dyDescent="0.2">
      <c r="A1" s="4" t="s">
        <v>0</v>
      </c>
      <c r="B1" s="4" t="s">
        <v>1</v>
      </c>
      <c r="C1" s="4" t="s">
        <v>2</v>
      </c>
      <c r="D1" s="4" t="s">
        <v>3</v>
      </c>
      <c r="E1" s="4" t="s">
        <v>4</v>
      </c>
      <c r="G1" s="4" t="s">
        <v>5</v>
      </c>
    </row>
    <row r="2" spans="1:7" x14ac:dyDescent="0.2">
      <c r="A2" s="5" t="s">
        <v>6</v>
      </c>
      <c r="B2" s="1">
        <v>46023</v>
      </c>
      <c r="C2" t="s">
        <v>7</v>
      </c>
      <c r="E2" s="6"/>
      <c r="F2" t="s">
        <v>8</v>
      </c>
    </row>
    <row r="3" spans="1:7" x14ac:dyDescent="0.2">
      <c r="A3" s="5" t="s">
        <v>6</v>
      </c>
      <c r="B3" s="1">
        <v>46066</v>
      </c>
      <c r="C3" t="s">
        <v>9</v>
      </c>
      <c r="D3" s="2" t="s">
        <v>10</v>
      </c>
      <c r="E3" s="7"/>
      <c r="F3" t="s">
        <v>11</v>
      </c>
    </row>
    <row r="4" spans="1:7" x14ac:dyDescent="0.2">
      <c r="A4" s="5" t="s">
        <v>6</v>
      </c>
      <c r="B4" s="1">
        <v>46069</v>
      </c>
      <c r="C4" t="s">
        <v>12</v>
      </c>
      <c r="D4" s="2" t="s">
        <v>13</v>
      </c>
      <c r="E4" s="8"/>
      <c r="F4" t="s">
        <v>14</v>
      </c>
    </row>
    <row r="5" spans="1:7" x14ac:dyDescent="0.2">
      <c r="A5" s="5" t="s">
        <v>6</v>
      </c>
      <c r="B5" s="1">
        <v>46070</v>
      </c>
      <c r="C5" t="s">
        <v>15</v>
      </c>
      <c r="D5" s="2" t="s">
        <v>16</v>
      </c>
      <c r="E5" s="9"/>
      <c r="F5" t="s">
        <v>17</v>
      </c>
    </row>
    <row r="6" spans="1:7" x14ac:dyDescent="0.2">
      <c r="A6" s="5" t="s">
        <v>6</v>
      </c>
      <c r="B6" s="1">
        <v>46115</v>
      </c>
      <c r="C6" t="s">
        <v>18</v>
      </c>
      <c r="D6" s="2" t="s">
        <v>19</v>
      </c>
      <c r="E6" s="10"/>
      <c r="F6" t="s">
        <v>20</v>
      </c>
      <c r="G6" s="2" t="s">
        <v>21</v>
      </c>
    </row>
    <row r="7" spans="1:7" x14ac:dyDescent="0.2">
      <c r="A7" s="5" t="s">
        <v>6</v>
      </c>
      <c r="B7" s="1">
        <v>46143</v>
      </c>
      <c r="C7" t="s">
        <v>22</v>
      </c>
      <c r="D7" s="2" t="s">
        <v>23</v>
      </c>
      <c r="E7" s="11"/>
      <c r="F7" t="s">
        <v>24</v>
      </c>
      <c r="G7" s="2" t="s">
        <v>25</v>
      </c>
    </row>
    <row r="8" spans="1:7" x14ac:dyDescent="0.2">
      <c r="A8" s="5" t="s">
        <v>6</v>
      </c>
      <c r="B8" s="1">
        <v>46167</v>
      </c>
      <c r="C8" t="s">
        <v>26</v>
      </c>
      <c r="D8" s="2" t="s">
        <v>27</v>
      </c>
    </row>
    <row r="9" spans="1:7" x14ac:dyDescent="0.2">
      <c r="A9" s="5" t="s">
        <v>6</v>
      </c>
      <c r="B9" s="1">
        <v>46244</v>
      </c>
      <c r="C9" t="s">
        <v>28</v>
      </c>
      <c r="D9" s="2" t="s">
        <v>29</v>
      </c>
    </row>
    <row r="10" spans="1:7" x14ac:dyDescent="0.2">
      <c r="A10" s="5" t="s">
        <v>6</v>
      </c>
      <c r="B10" s="1">
        <v>46304</v>
      </c>
      <c r="C10" t="s">
        <v>30</v>
      </c>
      <c r="D10" s="2" t="s">
        <v>31</v>
      </c>
    </row>
    <row r="11" spans="1:7" x14ac:dyDescent="0.2">
      <c r="A11" s="5" t="s">
        <v>6</v>
      </c>
      <c r="B11" s="1">
        <v>46328</v>
      </c>
      <c r="C11" t="s">
        <v>32</v>
      </c>
      <c r="D11" s="2" t="s">
        <v>33</v>
      </c>
    </row>
    <row r="12" spans="1:7" x14ac:dyDescent="0.2">
      <c r="A12" s="5" t="s">
        <v>6</v>
      </c>
      <c r="B12" s="1">
        <v>46329</v>
      </c>
      <c r="C12" t="s">
        <v>34</v>
      </c>
      <c r="D12" s="2" t="s">
        <v>35</v>
      </c>
    </row>
    <row r="13" spans="1:7" x14ac:dyDescent="0.2">
      <c r="A13" s="5" t="s">
        <v>6</v>
      </c>
      <c r="B13" s="1">
        <v>46335</v>
      </c>
      <c r="C13" t="s">
        <v>36</v>
      </c>
      <c r="D13" s="2" t="s">
        <v>37</v>
      </c>
    </row>
    <row r="14" spans="1:7" x14ac:dyDescent="0.2">
      <c r="A14" s="5" t="s">
        <v>6</v>
      </c>
      <c r="B14" s="1">
        <v>46381</v>
      </c>
      <c r="C14" t="s">
        <v>38</v>
      </c>
      <c r="D14" s="2" t="s">
        <v>39</v>
      </c>
    </row>
    <row r="15" spans="1:7" x14ac:dyDescent="0.2">
      <c r="A15" s="5" t="s">
        <v>40</v>
      </c>
      <c r="B15" s="1">
        <v>46300</v>
      </c>
      <c r="C15" t="s">
        <v>41</v>
      </c>
      <c r="D15" s="2" t="s">
        <v>42</v>
      </c>
    </row>
    <row r="16" spans="1:7" x14ac:dyDescent="0.2">
      <c r="A16" s="5" t="s">
        <v>43</v>
      </c>
      <c r="B16" s="1">
        <v>46300</v>
      </c>
      <c r="C16" t="s">
        <v>41</v>
      </c>
      <c r="D16" s="2" t="s">
        <v>44</v>
      </c>
    </row>
    <row r="17" spans="1:3" x14ac:dyDescent="0.2">
      <c r="A17" s="5" t="s">
        <v>45</v>
      </c>
      <c r="B17" s="1">
        <v>46300</v>
      </c>
      <c r="C17" t="s">
        <v>41</v>
      </c>
    </row>
    <row r="18" spans="1:3" x14ac:dyDescent="0.2">
      <c r="A18" s="5" t="s">
        <v>46</v>
      </c>
      <c r="B18" s="1">
        <v>46300</v>
      </c>
      <c r="C18" t="s">
        <v>41</v>
      </c>
    </row>
    <row r="19" spans="1:3" x14ac:dyDescent="0.2">
      <c r="A19" s="5" t="s">
        <v>47</v>
      </c>
      <c r="B19" s="1">
        <v>46031</v>
      </c>
      <c r="C19" t="s">
        <v>41</v>
      </c>
    </row>
    <row r="20" spans="1:3" x14ac:dyDescent="0.2">
      <c r="A20" s="5" t="s">
        <v>48</v>
      </c>
      <c r="B20" s="1">
        <v>46080</v>
      </c>
      <c r="C20" t="s">
        <v>41</v>
      </c>
    </row>
    <row r="21" spans="1:3" x14ac:dyDescent="0.2">
      <c r="A21" s="5" t="s">
        <v>49</v>
      </c>
      <c r="B21" s="1">
        <v>46080</v>
      </c>
      <c r="C21" t="s">
        <v>41</v>
      </c>
    </row>
    <row r="22" spans="1:3" x14ac:dyDescent="0.2">
      <c r="A22" s="5" t="s">
        <v>50</v>
      </c>
      <c r="B22" s="1">
        <v>46080</v>
      </c>
      <c r="C22" t="s">
        <v>41</v>
      </c>
    </row>
    <row r="23" spans="1:3" x14ac:dyDescent="0.2">
      <c r="A23" s="5" t="s">
        <v>51</v>
      </c>
      <c r="B23" s="1">
        <v>46319</v>
      </c>
      <c r="C23" t="s">
        <v>41</v>
      </c>
    </row>
    <row r="24" spans="1:3" x14ac:dyDescent="0.2">
      <c r="A24" s="5" t="s">
        <v>52</v>
      </c>
      <c r="B24" s="1">
        <v>46353</v>
      </c>
      <c r="C24" t="s">
        <v>41</v>
      </c>
    </row>
    <row r="25" spans="1:3" x14ac:dyDescent="0.2">
      <c r="A25" s="5" t="s">
        <v>53</v>
      </c>
      <c r="B25" s="1">
        <v>46065</v>
      </c>
      <c r="C25" t="s">
        <v>41</v>
      </c>
    </row>
    <row r="26" spans="1:3" x14ac:dyDescent="0.2">
      <c r="A26" s="5" t="s">
        <v>54</v>
      </c>
      <c r="B26" s="1">
        <v>46065</v>
      </c>
      <c r="C26" t="s">
        <v>41</v>
      </c>
    </row>
    <row r="27" spans="1:3" x14ac:dyDescent="0.2">
      <c r="A27" s="5" t="s">
        <v>55</v>
      </c>
      <c r="B27" s="1">
        <v>46251</v>
      </c>
      <c r="C27" t="s">
        <v>56</v>
      </c>
    </row>
    <row r="28" spans="1:3" x14ac:dyDescent="0.2">
      <c r="A28" s="5" t="s">
        <v>57</v>
      </c>
      <c r="B28" s="1">
        <v>46251</v>
      </c>
      <c r="C28" t="s">
        <v>56</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75"/>
  <sheetViews>
    <sheetView tabSelected="1" zoomScale="80" zoomScaleNormal="80" workbookViewId="0">
      <selection activeCell="H13" sqref="H13"/>
    </sheetView>
  </sheetViews>
  <sheetFormatPr baseColWidth="10" defaultColWidth="11.5703125" defaultRowHeight="12.75" x14ac:dyDescent="0.2"/>
  <cols>
    <col min="1" max="1" width="31.5703125" customWidth="1"/>
    <col min="2" max="2" width="39.7109375" customWidth="1"/>
    <col min="3" max="3" width="14.42578125" style="12" customWidth="1"/>
    <col min="4" max="4" width="16.5703125" style="13" customWidth="1"/>
    <col min="5" max="5" width="14.5703125" style="14" customWidth="1"/>
    <col min="6" max="6" width="13.42578125" style="14" customWidth="1"/>
    <col min="7" max="7" width="19.7109375" style="15" customWidth="1"/>
    <col min="8" max="8" width="170.28515625" style="16" customWidth="1"/>
    <col min="9" max="9" width="38" customWidth="1"/>
    <col min="10" max="10" width="7.42578125" customWidth="1"/>
    <col min="11" max="12" width="10.140625" customWidth="1"/>
    <col min="13" max="13" width="55.85546875" customWidth="1"/>
  </cols>
  <sheetData>
    <row r="1" spans="1:13" x14ac:dyDescent="0.2">
      <c r="A1" s="2" t="s">
        <v>58</v>
      </c>
      <c r="B1" s="2" t="s">
        <v>59</v>
      </c>
      <c r="C1" s="17" t="s">
        <v>60</v>
      </c>
      <c r="D1" s="18" t="s">
        <v>1</v>
      </c>
      <c r="E1" s="19" t="s">
        <v>61</v>
      </c>
      <c r="F1" s="19" t="s">
        <v>62</v>
      </c>
      <c r="G1" s="20" t="s">
        <v>63</v>
      </c>
      <c r="H1" s="2" t="s">
        <v>64</v>
      </c>
      <c r="I1" s="2" t="s">
        <v>65</v>
      </c>
      <c r="J1" s="2" t="s">
        <v>66</v>
      </c>
      <c r="K1" s="2" t="s">
        <v>67</v>
      </c>
      <c r="L1" s="2" t="s">
        <v>68</v>
      </c>
      <c r="M1" s="2" t="s">
        <v>69</v>
      </c>
    </row>
    <row r="2" spans="1:13" x14ac:dyDescent="0.2">
      <c r="A2" t="s">
        <v>40</v>
      </c>
      <c r="B2" t="s">
        <v>70</v>
      </c>
      <c r="C2" s="12" t="s">
        <v>71</v>
      </c>
      <c r="D2" s="13">
        <v>46083</v>
      </c>
      <c r="E2" s="14">
        <v>0.89375000000000004</v>
      </c>
      <c r="F2" s="24">
        <v>0.99930555555555556</v>
      </c>
      <c r="G2" s="15">
        <f t="shared" ref="G2:G33" si="0">F2-E2</f>
        <v>0.10555555555555551</v>
      </c>
      <c r="H2" s="21" t="s">
        <v>72</v>
      </c>
      <c r="I2" t="s">
        <v>409</v>
      </c>
      <c r="J2">
        <v>172309</v>
      </c>
      <c r="L2">
        <v>3</v>
      </c>
      <c r="M2" t="s">
        <v>73</v>
      </c>
    </row>
    <row r="3" spans="1:13" x14ac:dyDescent="0.2">
      <c r="A3" t="s">
        <v>40</v>
      </c>
      <c r="B3" t="s">
        <v>74</v>
      </c>
      <c r="C3" s="12" t="s">
        <v>75</v>
      </c>
      <c r="D3" s="13">
        <v>46084</v>
      </c>
      <c r="E3" s="14">
        <v>0.70833333333333337</v>
      </c>
      <c r="F3" s="24">
        <v>0.77986111111111112</v>
      </c>
      <c r="G3" s="15">
        <f t="shared" si="0"/>
        <v>7.1527777777777746E-2</v>
      </c>
      <c r="H3" t="s">
        <v>76</v>
      </c>
      <c r="I3" t="s">
        <v>410</v>
      </c>
      <c r="J3">
        <v>171915</v>
      </c>
      <c r="L3">
        <v>1</v>
      </c>
      <c r="M3" t="s">
        <v>77</v>
      </c>
    </row>
    <row r="4" spans="1:13" x14ac:dyDescent="0.2">
      <c r="A4" t="s">
        <v>40</v>
      </c>
      <c r="B4" t="s">
        <v>78</v>
      </c>
      <c r="C4" s="12" t="s">
        <v>79</v>
      </c>
      <c r="D4" s="13">
        <v>46085</v>
      </c>
      <c r="E4" s="14">
        <v>0.28125</v>
      </c>
      <c r="F4" s="24">
        <v>0.33333333333333331</v>
      </c>
      <c r="G4" s="15">
        <f t="shared" si="0"/>
        <v>5.2083333333333315E-2</v>
      </c>
      <c r="H4" s="21" t="s">
        <v>80</v>
      </c>
      <c r="I4" t="s">
        <v>410</v>
      </c>
      <c r="J4">
        <v>172008</v>
      </c>
      <c r="L4">
        <v>2</v>
      </c>
      <c r="M4" t="s">
        <v>81</v>
      </c>
    </row>
    <row r="5" spans="1:13" x14ac:dyDescent="0.2">
      <c r="A5" t="s">
        <v>40</v>
      </c>
      <c r="B5" t="s">
        <v>70</v>
      </c>
      <c r="C5" s="12" t="s">
        <v>79</v>
      </c>
      <c r="D5" s="13">
        <v>46085</v>
      </c>
      <c r="E5" s="14">
        <v>0.8520833333333333</v>
      </c>
      <c r="F5" s="24">
        <v>0.9145833333333333</v>
      </c>
      <c r="G5" s="15">
        <f t="shared" si="0"/>
        <v>6.25E-2</v>
      </c>
      <c r="H5" s="21" t="s">
        <v>82</v>
      </c>
      <c r="I5" t="s">
        <v>409</v>
      </c>
      <c r="J5">
        <v>172310</v>
      </c>
      <c r="L5">
        <v>3</v>
      </c>
      <c r="M5" t="s">
        <v>83</v>
      </c>
    </row>
    <row r="6" spans="1:13" ht="34.5" customHeight="1" x14ac:dyDescent="0.2">
      <c r="A6" t="s">
        <v>40</v>
      </c>
      <c r="B6" t="s">
        <v>70</v>
      </c>
      <c r="C6" s="12" t="s">
        <v>8</v>
      </c>
      <c r="D6" s="13">
        <v>46088</v>
      </c>
      <c r="E6" s="14">
        <v>0.4236111111111111</v>
      </c>
      <c r="F6" s="24">
        <v>0.56736111111111109</v>
      </c>
      <c r="G6" s="15">
        <f t="shared" si="0"/>
        <v>0.14374999999999999</v>
      </c>
      <c r="H6" s="22" t="s">
        <v>84</v>
      </c>
      <c r="I6" t="s">
        <v>410</v>
      </c>
      <c r="J6">
        <v>172367</v>
      </c>
      <c r="L6">
        <v>3</v>
      </c>
      <c r="M6" t="s">
        <v>85</v>
      </c>
    </row>
    <row r="7" spans="1:13" ht="25.5" x14ac:dyDescent="0.2">
      <c r="A7" t="s">
        <v>40</v>
      </c>
      <c r="B7" t="s">
        <v>70</v>
      </c>
      <c r="C7" s="12" t="s">
        <v>8</v>
      </c>
      <c r="D7" s="13">
        <v>46088</v>
      </c>
      <c r="E7" s="14">
        <v>0.68402777777777779</v>
      </c>
      <c r="F7" s="24">
        <v>0.77847222222222223</v>
      </c>
      <c r="G7" s="15">
        <f t="shared" si="0"/>
        <v>9.4444444444444442E-2</v>
      </c>
      <c r="H7" s="22" t="s">
        <v>86</v>
      </c>
      <c r="I7" t="s">
        <v>409</v>
      </c>
      <c r="J7">
        <v>172367</v>
      </c>
      <c r="L7">
        <v>3</v>
      </c>
      <c r="M7" t="s">
        <v>85</v>
      </c>
    </row>
    <row r="8" spans="1:13" ht="31.5" customHeight="1" x14ac:dyDescent="0.2">
      <c r="A8" t="s">
        <v>40</v>
      </c>
      <c r="B8" t="s">
        <v>70</v>
      </c>
      <c r="C8" s="12" t="s">
        <v>11</v>
      </c>
      <c r="D8" s="13">
        <v>46089</v>
      </c>
      <c r="E8" s="14">
        <v>0.47083333333333333</v>
      </c>
      <c r="F8" s="24">
        <v>0.58333333333333337</v>
      </c>
      <c r="G8" s="15">
        <f t="shared" si="0"/>
        <v>0.11250000000000004</v>
      </c>
      <c r="H8" s="22" t="s">
        <v>87</v>
      </c>
      <c r="I8" t="s">
        <v>410</v>
      </c>
      <c r="J8">
        <v>172769</v>
      </c>
      <c r="L8">
        <v>12</v>
      </c>
      <c r="M8" t="s">
        <v>88</v>
      </c>
    </row>
    <row r="9" spans="1:13" ht="34.5" customHeight="1" x14ac:dyDescent="0.2">
      <c r="A9" t="s">
        <v>40</v>
      </c>
      <c r="B9" t="s">
        <v>70</v>
      </c>
      <c r="C9" s="12" t="s">
        <v>11</v>
      </c>
      <c r="D9" s="13">
        <v>46089</v>
      </c>
      <c r="E9" s="14">
        <v>0.625</v>
      </c>
      <c r="F9" s="24">
        <v>0.78055555555555556</v>
      </c>
      <c r="G9" s="15">
        <f t="shared" si="0"/>
        <v>0.15555555555555556</v>
      </c>
      <c r="H9" s="22" t="s">
        <v>89</v>
      </c>
      <c r="I9" t="s">
        <v>410</v>
      </c>
      <c r="J9">
        <v>172769</v>
      </c>
      <c r="L9">
        <v>12</v>
      </c>
      <c r="M9" t="s">
        <v>88</v>
      </c>
    </row>
    <row r="10" spans="1:13" x14ac:dyDescent="0.2">
      <c r="A10" t="s">
        <v>40</v>
      </c>
      <c r="B10" t="s">
        <v>70</v>
      </c>
      <c r="C10" s="12" t="s">
        <v>11</v>
      </c>
      <c r="D10" s="13">
        <v>46089</v>
      </c>
      <c r="E10" s="14">
        <v>0.99652777777777779</v>
      </c>
      <c r="F10" s="24">
        <v>0.99930555555555556</v>
      </c>
      <c r="G10" s="15">
        <f t="shared" si="0"/>
        <v>2.7777777777777679E-3</v>
      </c>
      <c r="H10" s="21" t="s">
        <v>90</v>
      </c>
      <c r="I10" t="s">
        <v>409</v>
      </c>
      <c r="J10">
        <v>172769</v>
      </c>
      <c r="L10">
        <v>1</v>
      </c>
      <c r="M10" t="s">
        <v>88</v>
      </c>
    </row>
    <row r="11" spans="1:13" x14ac:dyDescent="0.2">
      <c r="A11" t="s">
        <v>40</v>
      </c>
      <c r="B11" t="s">
        <v>70</v>
      </c>
      <c r="C11" s="12" t="s">
        <v>71</v>
      </c>
      <c r="D11" s="13">
        <v>46090</v>
      </c>
      <c r="E11" s="14">
        <v>0</v>
      </c>
      <c r="F11" s="24">
        <v>3.4027777777777775E-2</v>
      </c>
      <c r="G11" s="15">
        <f t="shared" si="0"/>
        <v>3.4027777777777775E-2</v>
      </c>
      <c r="H11" s="21" t="s">
        <v>91</v>
      </c>
      <c r="I11" t="s">
        <v>409</v>
      </c>
      <c r="J11">
        <v>172862</v>
      </c>
      <c r="L11">
        <v>2</v>
      </c>
      <c r="M11" t="s">
        <v>92</v>
      </c>
    </row>
    <row r="12" spans="1:13" x14ac:dyDescent="0.2">
      <c r="A12" t="s">
        <v>40</v>
      </c>
      <c r="B12" t="s">
        <v>93</v>
      </c>
      <c r="C12" s="12" t="s">
        <v>79</v>
      </c>
      <c r="D12" s="13">
        <v>46092</v>
      </c>
      <c r="E12" s="14">
        <v>0.29166666666666669</v>
      </c>
      <c r="F12" s="24">
        <v>0.33333333333333331</v>
      </c>
      <c r="G12" s="15">
        <f t="shared" si="0"/>
        <v>4.166666666666663E-2</v>
      </c>
      <c r="H12" s="21" t="s">
        <v>94</v>
      </c>
      <c r="I12" t="s">
        <v>410</v>
      </c>
      <c r="J12">
        <v>172478</v>
      </c>
      <c r="L12">
        <v>2</v>
      </c>
      <c r="M12" t="s">
        <v>95</v>
      </c>
    </row>
    <row r="13" spans="1:13" ht="30" customHeight="1" x14ac:dyDescent="0.2">
      <c r="A13" t="s">
        <v>40</v>
      </c>
      <c r="B13" t="s">
        <v>93</v>
      </c>
      <c r="C13" s="12" t="s">
        <v>79</v>
      </c>
      <c r="D13" s="13">
        <v>46092</v>
      </c>
      <c r="E13" s="14">
        <v>0.72916666666666663</v>
      </c>
      <c r="F13" s="24">
        <v>0.80069444444444449</v>
      </c>
      <c r="G13" s="15">
        <f t="shared" si="0"/>
        <v>7.1527777777777857E-2</v>
      </c>
      <c r="H13" s="22" t="s">
        <v>96</v>
      </c>
      <c r="I13" t="s">
        <v>410</v>
      </c>
      <c r="J13">
        <v>172478</v>
      </c>
      <c r="L13">
        <v>3</v>
      </c>
      <c r="M13" t="s">
        <v>95</v>
      </c>
    </row>
    <row r="14" spans="1:13" ht="25.5" x14ac:dyDescent="0.2">
      <c r="A14" t="s">
        <v>40</v>
      </c>
      <c r="B14" t="s">
        <v>97</v>
      </c>
      <c r="C14" s="12" t="s">
        <v>98</v>
      </c>
      <c r="D14" s="13">
        <v>46094</v>
      </c>
      <c r="E14" s="14">
        <v>0.25347222222222221</v>
      </c>
      <c r="F14" s="24">
        <v>0.33333333333333331</v>
      </c>
      <c r="G14" s="15">
        <f t="shared" si="0"/>
        <v>7.9861111111111105E-2</v>
      </c>
      <c r="H14" s="22" t="s">
        <v>99</v>
      </c>
      <c r="I14" t="s">
        <v>410</v>
      </c>
      <c r="J14">
        <v>172720</v>
      </c>
      <c r="L14">
        <v>2</v>
      </c>
      <c r="M14" t="s">
        <v>100</v>
      </c>
    </row>
    <row r="15" spans="1:13" x14ac:dyDescent="0.2">
      <c r="A15" t="s">
        <v>40</v>
      </c>
      <c r="B15" t="s">
        <v>101</v>
      </c>
      <c r="C15" s="12" t="s">
        <v>71</v>
      </c>
      <c r="D15" s="13">
        <v>46097</v>
      </c>
      <c r="E15" s="14">
        <v>0.71180555555555558</v>
      </c>
      <c r="F15" s="24">
        <v>0.77708333333333335</v>
      </c>
      <c r="G15" s="15">
        <f t="shared" si="0"/>
        <v>6.5277777777777768E-2</v>
      </c>
      <c r="H15" s="21" t="s">
        <v>102</v>
      </c>
      <c r="I15" t="s">
        <v>409</v>
      </c>
      <c r="J15">
        <v>172774</v>
      </c>
      <c r="L15">
        <v>1</v>
      </c>
      <c r="M15" t="s">
        <v>103</v>
      </c>
    </row>
    <row r="16" spans="1:13" x14ac:dyDescent="0.2">
      <c r="A16" t="s">
        <v>40</v>
      </c>
      <c r="B16" t="s">
        <v>101</v>
      </c>
      <c r="C16" s="12" t="s">
        <v>79</v>
      </c>
      <c r="D16" s="13">
        <v>46099</v>
      </c>
      <c r="E16" s="14">
        <v>0.70833333333333337</v>
      </c>
      <c r="F16" s="24">
        <v>0.85486111111111107</v>
      </c>
      <c r="G16" s="15">
        <f t="shared" si="0"/>
        <v>0.1465277777777777</v>
      </c>
      <c r="H16" s="21" t="s">
        <v>104</v>
      </c>
      <c r="I16" t="s">
        <v>409</v>
      </c>
      <c r="J16">
        <v>172973</v>
      </c>
      <c r="L16">
        <v>3</v>
      </c>
      <c r="M16" t="s">
        <v>105</v>
      </c>
    </row>
    <row r="17" spans="1:13" x14ac:dyDescent="0.2">
      <c r="A17" t="s">
        <v>40</v>
      </c>
      <c r="B17" t="s">
        <v>101</v>
      </c>
      <c r="C17" s="12" t="s">
        <v>106</v>
      </c>
      <c r="D17" s="13">
        <v>46100</v>
      </c>
      <c r="E17" s="14">
        <v>0.75069444444444444</v>
      </c>
      <c r="F17" s="24">
        <v>0.88194444444444442</v>
      </c>
      <c r="G17" s="15">
        <f t="shared" si="0"/>
        <v>0.13124999999999998</v>
      </c>
      <c r="H17" s="21" t="s">
        <v>107</v>
      </c>
      <c r="I17" t="s">
        <v>411</v>
      </c>
      <c r="J17">
        <v>173013</v>
      </c>
      <c r="L17">
        <v>2</v>
      </c>
      <c r="M17" t="s">
        <v>108</v>
      </c>
    </row>
    <row r="18" spans="1:13" ht="63.75" x14ac:dyDescent="0.2">
      <c r="A18" t="s">
        <v>40</v>
      </c>
      <c r="B18" t="s">
        <v>109</v>
      </c>
      <c r="C18" s="12" t="s">
        <v>98</v>
      </c>
      <c r="D18" s="13">
        <v>46101</v>
      </c>
      <c r="E18" s="14">
        <v>0.70833333333333337</v>
      </c>
      <c r="F18" s="24">
        <v>0.98958333333333337</v>
      </c>
      <c r="G18" s="15">
        <f t="shared" si="0"/>
        <v>0.28125</v>
      </c>
      <c r="H18" s="22" t="s">
        <v>110</v>
      </c>
      <c r="I18" t="s">
        <v>412</v>
      </c>
      <c r="J18">
        <v>173131</v>
      </c>
      <c r="L18">
        <v>7</v>
      </c>
      <c r="M18" t="s">
        <v>111</v>
      </c>
    </row>
    <row r="19" spans="1:13" ht="25.5" x14ac:dyDescent="0.2">
      <c r="A19" t="s">
        <v>40</v>
      </c>
      <c r="B19" t="s">
        <v>112</v>
      </c>
      <c r="C19" s="12" t="s">
        <v>8</v>
      </c>
      <c r="D19" s="13">
        <v>46102</v>
      </c>
      <c r="E19" s="14">
        <v>0.27430555555555558</v>
      </c>
      <c r="F19" s="24">
        <v>0.625</v>
      </c>
      <c r="G19" s="15">
        <f t="shared" si="0"/>
        <v>0.35069444444444442</v>
      </c>
      <c r="H19" s="22" t="s">
        <v>113</v>
      </c>
      <c r="I19" t="s">
        <v>413</v>
      </c>
      <c r="J19">
        <v>173245</v>
      </c>
      <c r="L19">
        <v>5</v>
      </c>
      <c r="M19" t="s">
        <v>114</v>
      </c>
    </row>
    <row r="20" spans="1:13" x14ac:dyDescent="0.2">
      <c r="A20" t="s">
        <v>40</v>
      </c>
      <c r="B20" t="s">
        <v>112</v>
      </c>
      <c r="C20" s="12" t="s">
        <v>8</v>
      </c>
      <c r="D20" s="13">
        <v>46102</v>
      </c>
      <c r="E20" s="14">
        <v>0.66666666666666663</v>
      </c>
      <c r="F20" s="24">
        <v>0.69791666666666663</v>
      </c>
      <c r="G20" s="15">
        <f t="shared" si="0"/>
        <v>3.125E-2</v>
      </c>
      <c r="H20" s="22" t="s">
        <v>115</v>
      </c>
      <c r="I20" t="s">
        <v>413</v>
      </c>
      <c r="J20">
        <v>173245</v>
      </c>
      <c r="L20">
        <v>5</v>
      </c>
      <c r="M20" t="s">
        <v>114</v>
      </c>
    </row>
    <row r="21" spans="1:13" ht="25.5" x14ac:dyDescent="0.2">
      <c r="A21" t="s">
        <v>40</v>
      </c>
      <c r="B21" t="s">
        <v>101</v>
      </c>
      <c r="C21" s="12" t="s">
        <v>8</v>
      </c>
      <c r="D21" s="13">
        <v>46102</v>
      </c>
      <c r="E21" s="14">
        <v>0.33333333333333331</v>
      </c>
      <c r="F21" s="24">
        <v>0.54166666666666663</v>
      </c>
      <c r="G21" s="15">
        <f t="shared" si="0"/>
        <v>0.20833333333333331</v>
      </c>
      <c r="H21" s="22" t="s">
        <v>116</v>
      </c>
      <c r="I21" t="s">
        <v>410</v>
      </c>
      <c r="J21">
        <v>173244</v>
      </c>
      <c r="L21">
        <v>8</v>
      </c>
      <c r="M21" t="s">
        <v>117</v>
      </c>
    </row>
    <row r="22" spans="1:13" ht="25.5" x14ac:dyDescent="0.2">
      <c r="A22" t="s">
        <v>40</v>
      </c>
      <c r="B22" t="s">
        <v>101</v>
      </c>
      <c r="C22" s="12" t="s">
        <v>8</v>
      </c>
      <c r="D22" s="13">
        <v>46102</v>
      </c>
      <c r="E22" s="14">
        <v>0.58333333333333337</v>
      </c>
      <c r="F22" s="24">
        <v>0.71805555555555556</v>
      </c>
      <c r="G22" s="15">
        <f t="shared" si="0"/>
        <v>0.13472222222222219</v>
      </c>
      <c r="H22" s="22" t="s">
        <v>118</v>
      </c>
      <c r="I22" t="s">
        <v>410</v>
      </c>
      <c r="J22">
        <v>173244</v>
      </c>
      <c r="L22">
        <v>8</v>
      </c>
      <c r="M22" t="s">
        <v>117</v>
      </c>
    </row>
    <row r="23" spans="1:13" ht="25.5" x14ac:dyDescent="0.2">
      <c r="A23" t="s">
        <v>40</v>
      </c>
      <c r="B23" t="s">
        <v>101</v>
      </c>
      <c r="C23" s="12" t="s">
        <v>8</v>
      </c>
      <c r="D23" s="13">
        <v>46102</v>
      </c>
      <c r="E23" s="14">
        <v>0.7944444444444444</v>
      </c>
      <c r="F23" s="24">
        <v>0.91111111111111109</v>
      </c>
      <c r="G23" s="15">
        <f t="shared" si="0"/>
        <v>0.1166666666666667</v>
      </c>
      <c r="H23" s="22" t="s">
        <v>119</v>
      </c>
      <c r="I23" t="s">
        <v>410</v>
      </c>
      <c r="J23">
        <v>173244</v>
      </c>
      <c r="L23">
        <v>2</v>
      </c>
      <c r="M23" t="s">
        <v>117</v>
      </c>
    </row>
    <row r="24" spans="1:13" ht="25.5" x14ac:dyDescent="0.2">
      <c r="A24" t="s">
        <v>40</v>
      </c>
      <c r="B24" t="s">
        <v>112</v>
      </c>
      <c r="C24" s="12" t="s">
        <v>11</v>
      </c>
      <c r="D24" s="13">
        <v>46103</v>
      </c>
      <c r="E24" s="14">
        <v>0.27777777777777779</v>
      </c>
      <c r="F24" s="24">
        <v>0.5805555555555556</v>
      </c>
      <c r="G24" s="15">
        <f t="shared" si="0"/>
        <v>0.30277777777777781</v>
      </c>
      <c r="H24" s="22" t="s">
        <v>120</v>
      </c>
      <c r="I24" t="s">
        <v>413</v>
      </c>
      <c r="J24">
        <v>173247</v>
      </c>
      <c r="L24">
        <v>5</v>
      </c>
      <c r="M24" t="s">
        <v>121</v>
      </c>
    </row>
    <row r="25" spans="1:13" ht="25.5" x14ac:dyDescent="0.2">
      <c r="A25" t="s">
        <v>40</v>
      </c>
      <c r="B25" t="s">
        <v>101</v>
      </c>
      <c r="C25" s="12" t="s">
        <v>11</v>
      </c>
      <c r="D25" s="13">
        <v>46103</v>
      </c>
      <c r="E25" s="14">
        <v>0.27083333333333331</v>
      </c>
      <c r="F25" s="24">
        <v>0.5625</v>
      </c>
      <c r="G25" s="15">
        <f t="shared" si="0"/>
        <v>0.29166666666666669</v>
      </c>
      <c r="H25" s="22" t="s">
        <v>120</v>
      </c>
      <c r="I25" t="s">
        <v>413</v>
      </c>
      <c r="J25">
        <v>173284</v>
      </c>
      <c r="L25">
        <v>6</v>
      </c>
      <c r="M25" t="s">
        <v>122</v>
      </c>
    </row>
    <row r="26" spans="1:13" x14ac:dyDescent="0.2">
      <c r="A26" t="s">
        <v>40</v>
      </c>
      <c r="B26" t="s">
        <v>101</v>
      </c>
      <c r="C26" s="12" t="s">
        <v>11</v>
      </c>
      <c r="D26" s="13">
        <v>46103</v>
      </c>
      <c r="E26" s="14">
        <v>0.60416666666666663</v>
      </c>
      <c r="F26" s="24">
        <v>0.68194444444444446</v>
      </c>
      <c r="G26" s="15">
        <f t="shared" si="0"/>
        <v>7.7777777777777835E-2</v>
      </c>
      <c r="H26" s="22" t="s">
        <v>123</v>
      </c>
      <c r="I26" t="s">
        <v>410</v>
      </c>
      <c r="J26">
        <v>173284</v>
      </c>
      <c r="L26">
        <v>6</v>
      </c>
      <c r="M26" t="s">
        <v>122</v>
      </c>
    </row>
    <row r="27" spans="1:13" ht="25.5" x14ac:dyDescent="0.2">
      <c r="A27" t="s">
        <v>43</v>
      </c>
      <c r="B27" t="s">
        <v>124</v>
      </c>
      <c r="C27" s="12" t="s">
        <v>75</v>
      </c>
      <c r="D27" s="13">
        <v>46091</v>
      </c>
      <c r="E27" s="14">
        <v>0.71666666666666667</v>
      </c>
      <c r="F27" s="24">
        <v>0.90138888888888891</v>
      </c>
      <c r="G27" s="15">
        <f t="shared" si="0"/>
        <v>0.18472222222222223</v>
      </c>
      <c r="H27" s="22" t="s">
        <v>125</v>
      </c>
      <c r="I27" t="s">
        <v>411</v>
      </c>
      <c r="J27">
        <v>172425</v>
      </c>
      <c r="L27">
        <v>5</v>
      </c>
      <c r="M27" t="s">
        <v>126</v>
      </c>
    </row>
    <row r="28" spans="1:13" x14ac:dyDescent="0.2">
      <c r="A28" t="s">
        <v>43</v>
      </c>
      <c r="B28" t="s">
        <v>127</v>
      </c>
      <c r="C28" s="12" t="s">
        <v>79</v>
      </c>
      <c r="D28" s="13">
        <v>46092</v>
      </c>
      <c r="E28" s="14">
        <v>0.70833333333333337</v>
      </c>
      <c r="F28" s="24">
        <v>0.7993055555555556</v>
      </c>
      <c r="G28" s="15">
        <f t="shared" si="0"/>
        <v>9.0972222222222232E-2</v>
      </c>
      <c r="H28" s="21" t="s">
        <v>128</v>
      </c>
      <c r="I28" t="s">
        <v>414</v>
      </c>
      <c r="J28">
        <v>172427</v>
      </c>
      <c r="L28">
        <v>1</v>
      </c>
      <c r="M28" t="s">
        <v>129</v>
      </c>
    </row>
    <row r="29" spans="1:13" x14ac:dyDescent="0.2">
      <c r="A29" t="s">
        <v>43</v>
      </c>
      <c r="B29" t="s">
        <v>124</v>
      </c>
      <c r="C29" s="12" t="s">
        <v>79</v>
      </c>
      <c r="D29" s="13">
        <v>46092</v>
      </c>
      <c r="E29" s="14">
        <v>0.98819444444444449</v>
      </c>
      <c r="F29" s="24">
        <v>0.99930555555555556</v>
      </c>
      <c r="G29" s="15">
        <f t="shared" si="0"/>
        <v>1.1111111111111072E-2</v>
      </c>
      <c r="H29" s="21" t="s">
        <v>130</v>
      </c>
      <c r="I29" t="s">
        <v>410</v>
      </c>
      <c r="J29">
        <v>172427</v>
      </c>
      <c r="L29">
        <v>1</v>
      </c>
      <c r="M29" t="s">
        <v>129</v>
      </c>
    </row>
    <row r="30" spans="1:13" x14ac:dyDescent="0.2">
      <c r="A30" t="s">
        <v>43</v>
      </c>
      <c r="B30" t="s">
        <v>124</v>
      </c>
      <c r="C30" s="12" t="s">
        <v>106</v>
      </c>
      <c r="D30" s="13">
        <v>46093</v>
      </c>
      <c r="E30" s="14">
        <v>6.9444444444444447E-4</v>
      </c>
      <c r="F30" s="24">
        <v>2.9861111111111113E-2</v>
      </c>
      <c r="G30" s="15">
        <f t="shared" si="0"/>
        <v>2.9166666666666667E-2</v>
      </c>
      <c r="H30" s="21" t="s">
        <v>131</v>
      </c>
      <c r="I30" t="s">
        <v>410</v>
      </c>
      <c r="J30">
        <v>172582</v>
      </c>
      <c r="L30">
        <v>1</v>
      </c>
      <c r="M30" t="s">
        <v>132</v>
      </c>
    </row>
    <row r="31" spans="1:13" x14ac:dyDescent="0.2">
      <c r="A31" t="s">
        <v>43</v>
      </c>
      <c r="B31" t="s">
        <v>133</v>
      </c>
      <c r="C31" s="12" t="s">
        <v>8</v>
      </c>
      <c r="D31" s="13">
        <v>46095</v>
      </c>
      <c r="E31" s="14">
        <v>0.33333333333333331</v>
      </c>
      <c r="F31" s="24">
        <v>0.47986111111111113</v>
      </c>
      <c r="G31" s="15">
        <f t="shared" si="0"/>
        <v>0.14652777777777781</v>
      </c>
      <c r="H31" s="21" t="s">
        <v>134</v>
      </c>
      <c r="I31" t="s">
        <v>410</v>
      </c>
      <c r="J31">
        <v>172759</v>
      </c>
      <c r="L31">
        <v>3</v>
      </c>
      <c r="M31" t="s">
        <v>135</v>
      </c>
    </row>
    <row r="32" spans="1:13" ht="25.5" x14ac:dyDescent="0.2">
      <c r="A32" t="s">
        <v>43</v>
      </c>
      <c r="B32" t="s">
        <v>136</v>
      </c>
      <c r="C32" s="12" t="s">
        <v>11</v>
      </c>
      <c r="D32" s="13">
        <v>46096</v>
      </c>
      <c r="E32" s="14">
        <v>0.43541666666666667</v>
      </c>
      <c r="F32" s="24">
        <v>0.54236111111111107</v>
      </c>
      <c r="G32" s="15">
        <f t="shared" si="0"/>
        <v>0.1069444444444444</v>
      </c>
      <c r="H32" s="22" t="s">
        <v>137</v>
      </c>
      <c r="I32" t="s">
        <v>410</v>
      </c>
      <c r="J32">
        <v>172766</v>
      </c>
      <c r="L32">
        <v>4</v>
      </c>
      <c r="M32" t="s">
        <v>138</v>
      </c>
    </row>
    <row r="33" spans="1:13" ht="25.5" x14ac:dyDescent="0.2">
      <c r="A33" t="s">
        <v>43</v>
      </c>
      <c r="B33" t="s">
        <v>139</v>
      </c>
      <c r="C33" s="12" t="s">
        <v>106</v>
      </c>
      <c r="D33" s="13">
        <v>46100</v>
      </c>
      <c r="E33" s="14">
        <v>0.70833333333333337</v>
      </c>
      <c r="F33" s="24">
        <v>0.77083333333333337</v>
      </c>
      <c r="G33" s="15">
        <f t="shared" si="0"/>
        <v>6.25E-2</v>
      </c>
      <c r="H33" s="22" t="s">
        <v>140</v>
      </c>
      <c r="I33" t="s">
        <v>414</v>
      </c>
      <c r="J33">
        <v>172959</v>
      </c>
      <c r="L33">
        <v>2</v>
      </c>
      <c r="M33" t="s">
        <v>141</v>
      </c>
    </row>
    <row r="34" spans="1:13" x14ac:dyDescent="0.2">
      <c r="A34" t="s">
        <v>43</v>
      </c>
      <c r="B34" t="s">
        <v>136</v>
      </c>
      <c r="C34" s="12" t="s">
        <v>106</v>
      </c>
      <c r="D34" s="13">
        <v>46100</v>
      </c>
      <c r="E34" s="14">
        <v>0.70833333333333337</v>
      </c>
      <c r="F34" s="24">
        <v>0.75</v>
      </c>
      <c r="G34" s="15">
        <f t="shared" ref="G34:G65" si="1">F34-E34</f>
        <v>4.166666666666663E-2</v>
      </c>
      <c r="H34" s="22" t="s">
        <v>142</v>
      </c>
      <c r="I34" t="s">
        <v>414</v>
      </c>
      <c r="J34">
        <v>172959</v>
      </c>
      <c r="L34">
        <v>2</v>
      </c>
      <c r="M34" t="s">
        <v>141</v>
      </c>
    </row>
    <row r="35" spans="1:13" x14ac:dyDescent="0.2">
      <c r="A35" t="s">
        <v>43</v>
      </c>
      <c r="B35" t="s">
        <v>143</v>
      </c>
      <c r="C35" s="12" t="s">
        <v>98</v>
      </c>
      <c r="D35" s="13">
        <v>46101</v>
      </c>
      <c r="E35" s="14">
        <v>0.70833333333333337</v>
      </c>
      <c r="F35" s="24">
        <v>0.88749999999999996</v>
      </c>
      <c r="G35" s="15">
        <f t="shared" si="1"/>
        <v>0.17916666666666659</v>
      </c>
      <c r="H35" s="22" t="s">
        <v>144</v>
      </c>
      <c r="I35" t="s">
        <v>414</v>
      </c>
      <c r="J35">
        <v>173125</v>
      </c>
      <c r="L35">
        <v>3</v>
      </c>
      <c r="M35" t="s">
        <v>145</v>
      </c>
    </row>
    <row r="36" spans="1:13" x14ac:dyDescent="0.2">
      <c r="A36" t="s">
        <v>47</v>
      </c>
      <c r="B36" t="s">
        <v>146</v>
      </c>
      <c r="C36" s="12" t="s">
        <v>8</v>
      </c>
      <c r="D36" s="13">
        <v>46088</v>
      </c>
      <c r="E36" s="14">
        <v>0.59305555555555556</v>
      </c>
      <c r="F36" s="24">
        <v>0.67361111111111116</v>
      </c>
      <c r="G36" s="15">
        <f t="shared" si="1"/>
        <v>8.0555555555555602E-2</v>
      </c>
      <c r="H36" s="21" t="s">
        <v>147</v>
      </c>
      <c r="I36" t="s">
        <v>409</v>
      </c>
      <c r="J36">
        <v>172297</v>
      </c>
      <c r="L36">
        <v>4</v>
      </c>
      <c r="M36" t="s">
        <v>148</v>
      </c>
    </row>
    <row r="37" spans="1:13" x14ac:dyDescent="0.2">
      <c r="A37" t="s">
        <v>47</v>
      </c>
      <c r="B37" t="s">
        <v>146</v>
      </c>
      <c r="C37" s="12" t="s">
        <v>11</v>
      </c>
      <c r="D37" s="13">
        <v>46089</v>
      </c>
      <c r="E37" s="14">
        <v>0.42499999999999999</v>
      </c>
      <c r="F37" s="24">
        <v>0.54166666666666663</v>
      </c>
      <c r="G37" s="15">
        <f t="shared" si="1"/>
        <v>0.11666666666666664</v>
      </c>
      <c r="H37" s="22" t="s">
        <v>149</v>
      </c>
      <c r="I37" t="s">
        <v>410</v>
      </c>
      <c r="J37">
        <v>172299</v>
      </c>
      <c r="L37">
        <v>6</v>
      </c>
      <c r="M37" t="s">
        <v>150</v>
      </c>
    </row>
    <row r="38" spans="1:13" ht="25.5" x14ac:dyDescent="0.2">
      <c r="A38" t="s">
        <v>47</v>
      </c>
      <c r="B38" t="s">
        <v>151</v>
      </c>
      <c r="C38" s="12" t="s">
        <v>75</v>
      </c>
      <c r="D38" s="13">
        <v>46091</v>
      </c>
      <c r="E38" s="14">
        <v>0.70833333333333337</v>
      </c>
      <c r="F38" s="24">
        <v>0.80277777777777781</v>
      </c>
      <c r="G38" s="15">
        <f t="shared" si="1"/>
        <v>9.4444444444444442E-2</v>
      </c>
      <c r="H38" s="22" t="s">
        <v>152</v>
      </c>
      <c r="I38" t="s">
        <v>410</v>
      </c>
      <c r="J38">
        <v>172434</v>
      </c>
      <c r="L38">
        <v>2</v>
      </c>
      <c r="M38" t="s">
        <v>153</v>
      </c>
    </row>
    <row r="39" spans="1:13" ht="38.25" x14ac:dyDescent="0.2">
      <c r="A39" t="s">
        <v>47</v>
      </c>
      <c r="B39" t="s">
        <v>151</v>
      </c>
      <c r="C39" s="12" t="s">
        <v>79</v>
      </c>
      <c r="D39" s="13">
        <v>46092</v>
      </c>
      <c r="E39" s="14">
        <v>0.70833333333333337</v>
      </c>
      <c r="F39" s="24">
        <v>0.85833333333333328</v>
      </c>
      <c r="G39" s="15">
        <f t="shared" si="1"/>
        <v>0.14999999999999991</v>
      </c>
      <c r="H39" s="22" t="s">
        <v>154</v>
      </c>
      <c r="I39" t="s">
        <v>409</v>
      </c>
      <c r="J39">
        <v>172556</v>
      </c>
      <c r="L39">
        <v>2</v>
      </c>
      <c r="M39" t="s">
        <v>155</v>
      </c>
    </row>
    <row r="40" spans="1:13" x14ac:dyDescent="0.2">
      <c r="A40" t="s">
        <v>47</v>
      </c>
      <c r="B40" t="s">
        <v>156</v>
      </c>
      <c r="C40" s="12" t="s">
        <v>98</v>
      </c>
      <c r="D40" s="13">
        <v>46094</v>
      </c>
      <c r="E40" s="14">
        <v>0.70833333333333337</v>
      </c>
      <c r="F40" s="24">
        <v>0.79166666666666663</v>
      </c>
      <c r="G40" s="15">
        <f t="shared" si="1"/>
        <v>8.3333333333333259E-2</v>
      </c>
      <c r="H40" s="21" t="s">
        <v>157</v>
      </c>
      <c r="I40" t="s">
        <v>409</v>
      </c>
      <c r="J40">
        <v>172665</v>
      </c>
      <c r="L40">
        <v>3</v>
      </c>
      <c r="M40" t="s">
        <v>158</v>
      </c>
    </row>
    <row r="41" spans="1:13" x14ac:dyDescent="0.2">
      <c r="A41" t="s">
        <v>47</v>
      </c>
      <c r="B41" t="s">
        <v>156</v>
      </c>
      <c r="C41" s="12" t="s">
        <v>71</v>
      </c>
      <c r="D41" s="13">
        <v>46097</v>
      </c>
      <c r="E41" s="14">
        <v>0.70833333333333337</v>
      </c>
      <c r="F41" s="24">
        <v>0.7583333333333333</v>
      </c>
      <c r="G41" s="15">
        <f t="shared" si="1"/>
        <v>4.9999999999999933E-2</v>
      </c>
      <c r="H41" s="21" t="s">
        <v>159</v>
      </c>
      <c r="I41" t="s">
        <v>410</v>
      </c>
      <c r="J41">
        <v>172803</v>
      </c>
      <c r="L41">
        <v>2</v>
      </c>
      <c r="M41" t="s">
        <v>160</v>
      </c>
    </row>
    <row r="42" spans="1:13" ht="25.5" x14ac:dyDescent="0.2">
      <c r="A42" t="s">
        <v>47</v>
      </c>
      <c r="B42" t="s">
        <v>156</v>
      </c>
      <c r="C42" s="12" t="s">
        <v>98</v>
      </c>
      <c r="D42" s="13">
        <v>46101</v>
      </c>
      <c r="E42" s="14">
        <v>0.70833333333333337</v>
      </c>
      <c r="F42" s="24">
        <v>0.79166666666666663</v>
      </c>
      <c r="G42" s="15">
        <f t="shared" si="1"/>
        <v>8.3333333333333259E-2</v>
      </c>
      <c r="H42" s="22" t="s">
        <v>161</v>
      </c>
      <c r="I42" t="s">
        <v>415</v>
      </c>
      <c r="J42">
        <v>173113</v>
      </c>
      <c r="L42">
        <v>4</v>
      </c>
      <c r="M42" t="s">
        <v>162</v>
      </c>
    </row>
    <row r="43" spans="1:13" ht="25.5" x14ac:dyDescent="0.2">
      <c r="A43" t="s">
        <v>47</v>
      </c>
      <c r="B43" t="s">
        <v>151</v>
      </c>
      <c r="C43" s="12" t="s">
        <v>8</v>
      </c>
      <c r="D43" s="13">
        <v>46102</v>
      </c>
      <c r="E43" s="14">
        <v>0.27083333333333331</v>
      </c>
      <c r="F43" s="24">
        <v>0.54166666666666663</v>
      </c>
      <c r="G43" s="15">
        <f t="shared" si="1"/>
        <v>0.27083333333333331</v>
      </c>
      <c r="H43" s="22" t="s">
        <v>163</v>
      </c>
      <c r="I43" t="s">
        <v>413</v>
      </c>
      <c r="J43">
        <v>173299</v>
      </c>
      <c r="L43">
        <v>4</v>
      </c>
      <c r="M43" t="s">
        <v>164</v>
      </c>
    </row>
    <row r="44" spans="1:13" x14ac:dyDescent="0.2">
      <c r="A44" t="s">
        <v>47</v>
      </c>
      <c r="B44" t="s">
        <v>151</v>
      </c>
      <c r="C44" s="12" t="s">
        <v>8</v>
      </c>
      <c r="D44" s="13">
        <v>46102</v>
      </c>
      <c r="E44" s="14">
        <v>0.58333333333333337</v>
      </c>
      <c r="F44" s="24">
        <v>0.70833333333333337</v>
      </c>
      <c r="G44" s="15">
        <f t="shared" si="1"/>
        <v>0.125</v>
      </c>
      <c r="H44" s="22" t="s">
        <v>165</v>
      </c>
      <c r="I44" t="s">
        <v>413</v>
      </c>
      <c r="J44">
        <v>173299</v>
      </c>
      <c r="L44">
        <v>4</v>
      </c>
      <c r="M44" t="s">
        <v>164</v>
      </c>
    </row>
    <row r="45" spans="1:13" ht="25.5" x14ac:dyDescent="0.2">
      <c r="A45" t="s">
        <v>47</v>
      </c>
      <c r="B45" t="s">
        <v>151</v>
      </c>
      <c r="C45" s="12" t="s">
        <v>11</v>
      </c>
      <c r="D45" s="13">
        <v>46103</v>
      </c>
      <c r="E45" s="14">
        <v>0.27083333333333331</v>
      </c>
      <c r="F45" s="24">
        <v>0.58333333333333337</v>
      </c>
      <c r="G45" s="15">
        <f t="shared" si="1"/>
        <v>0.31250000000000006</v>
      </c>
      <c r="H45" s="22" t="s">
        <v>163</v>
      </c>
      <c r="I45" t="s">
        <v>413</v>
      </c>
      <c r="J45">
        <v>173351</v>
      </c>
      <c r="L45">
        <v>4</v>
      </c>
      <c r="M45" t="s">
        <v>166</v>
      </c>
    </row>
    <row r="46" spans="1:13" x14ac:dyDescent="0.2">
      <c r="A46" t="s">
        <v>47</v>
      </c>
      <c r="B46" t="s">
        <v>151</v>
      </c>
      <c r="C46" s="12" t="s">
        <v>11</v>
      </c>
      <c r="D46" s="13">
        <v>46103</v>
      </c>
      <c r="E46" s="14">
        <v>0.625</v>
      </c>
      <c r="F46" s="24">
        <v>0.73611111111111116</v>
      </c>
      <c r="G46" s="15">
        <f t="shared" si="1"/>
        <v>0.11111111111111116</v>
      </c>
      <c r="H46" s="22" t="s">
        <v>165</v>
      </c>
      <c r="I46" t="s">
        <v>413</v>
      </c>
      <c r="J46">
        <v>173351</v>
      </c>
      <c r="L46">
        <v>4</v>
      </c>
      <c r="M46" t="s">
        <v>166</v>
      </c>
    </row>
    <row r="47" spans="1:13" x14ac:dyDescent="0.2">
      <c r="A47" t="s">
        <v>47</v>
      </c>
      <c r="B47" t="s">
        <v>167</v>
      </c>
      <c r="C47" s="12" t="s">
        <v>11</v>
      </c>
      <c r="D47" s="13">
        <v>46103</v>
      </c>
      <c r="E47" s="14">
        <v>0.77777777777777779</v>
      </c>
      <c r="F47" s="24">
        <v>0.90625</v>
      </c>
      <c r="G47" s="15">
        <f t="shared" si="1"/>
        <v>0.12847222222222221</v>
      </c>
      <c r="H47" s="22" t="s">
        <v>168</v>
      </c>
      <c r="I47" t="s">
        <v>410</v>
      </c>
      <c r="J47">
        <v>173346</v>
      </c>
      <c r="L47">
        <v>4</v>
      </c>
      <c r="M47" t="s">
        <v>169</v>
      </c>
    </row>
    <row r="48" spans="1:13" x14ac:dyDescent="0.2">
      <c r="A48" t="s">
        <v>48</v>
      </c>
      <c r="B48" t="s">
        <v>170</v>
      </c>
      <c r="C48" s="12" t="s">
        <v>11</v>
      </c>
      <c r="D48" s="13">
        <v>46082</v>
      </c>
      <c r="E48" s="14">
        <v>0.64722222222222225</v>
      </c>
      <c r="F48" s="24">
        <v>0.6694444444444444</v>
      </c>
      <c r="G48" s="15">
        <f t="shared" si="1"/>
        <v>2.2222222222222143E-2</v>
      </c>
      <c r="H48" s="21" t="s">
        <v>171</v>
      </c>
      <c r="I48" t="s">
        <v>409</v>
      </c>
      <c r="J48">
        <v>171790</v>
      </c>
      <c r="L48">
        <v>2</v>
      </c>
      <c r="M48" t="s">
        <v>172</v>
      </c>
    </row>
    <row r="49" spans="1:13" x14ac:dyDescent="0.2">
      <c r="A49" t="s">
        <v>48</v>
      </c>
      <c r="B49" t="s">
        <v>170</v>
      </c>
      <c r="C49" s="12" t="s">
        <v>11</v>
      </c>
      <c r="D49" s="13">
        <v>46082</v>
      </c>
      <c r="E49" s="14">
        <v>0.7993055555555556</v>
      </c>
      <c r="F49" s="24">
        <v>0.86458333333333337</v>
      </c>
      <c r="G49" s="15">
        <f t="shared" si="1"/>
        <v>6.5277777777777768E-2</v>
      </c>
      <c r="H49" s="21" t="s">
        <v>173</v>
      </c>
      <c r="I49" t="s">
        <v>410</v>
      </c>
      <c r="J49">
        <v>171790</v>
      </c>
      <c r="L49">
        <v>3</v>
      </c>
      <c r="M49" t="s">
        <v>172</v>
      </c>
    </row>
    <row r="50" spans="1:13" x14ac:dyDescent="0.2">
      <c r="A50" t="s">
        <v>48</v>
      </c>
      <c r="B50" t="s">
        <v>174</v>
      </c>
      <c r="C50" s="12" t="s">
        <v>71</v>
      </c>
      <c r="D50" s="13">
        <v>46090</v>
      </c>
      <c r="E50" s="14">
        <v>0.78125</v>
      </c>
      <c r="F50" s="24">
        <v>0.80277777777777781</v>
      </c>
      <c r="G50" s="15">
        <f t="shared" si="1"/>
        <v>2.1527777777777812E-2</v>
      </c>
      <c r="H50" s="21" t="s">
        <v>175</v>
      </c>
      <c r="I50" t="s">
        <v>410</v>
      </c>
      <c r="J50">
        <v>172573</v>
      </c>
      <c r="L50">
        <v>3</v>
      </c>
      <c r="M50" t="s">
        <v>176</v>
      </c>
    </row>
    <row r="51" spans="1:13" x14ac:dyDescent="0.2">
      <c r="A51" t="s">
        <v>48</v>
      </c>
      <c r="B51" t="s">
        <v>174</v>
      </c>
      <c r="C51" s="12" t="s">
        <v>71</v>
      </c>
      <c r="D51" s="13">
        <v>46090</v>
      </c>
      <c r="E51" s="14">
        <v>0.86111111111111116</v>
      </c>
      <c r="F51" s="24">
        <v>0.90625</v>
      </c>
      <c r="G51" s="15">
        <f t="shared" si="1"/>
        <v>4.513888888888884E-2</v>
      </c>
      <c r="H51" s="21" t="s">
        <v>177</v>
      </c>
      <c r="I51" t="s">
        <v>409</v>
      </c>
      <c r="J51">
        <v>172573</v>
      </c>
      <c r="L51">
        <v>3</v>
      </c>
      <c r="M51" t="s">
        <v>176</v>
      </c>
    </row>
    <row r="52" spans="1:13" x14ac:dyDescent="0.2">
      <c r="A52" t="s">
        <v>48</v>
      </c>
      <c r="B52" t="s">
        <v>174</v>
      </c>
      <c r="C52" s="12" t="s">
        <v>106</v>
      </c>
      <c r="D52" s="13">
        <v>46093</v>
      </c>
      <c r="E52" s="14">
        <v>0.89513888888888893</v>
      </c>
      <c r="F52" s="24">
        <v>0.9291666666666667</v>
      </c>
      <c r="G52" s="15">
        <f t="shared" si="1"/>
        <v>3.4027777777777768E-2</v>
      </c>
      <c r="H52" s="21" t="s">
        <v>178</v>
      </c>
      <c r="I52" t="s">
        <v>410</v>
      </c>
      <c r="J52">
        <v>172695</v>
      </c>
      <c r="L52">
        <v>3</v>
      </c>
      <c r="M52" t="s">
        <v>179</v>
      </c>
    </row>
    <row r="53" spans="1:13" x14ac:dyDescent="0.2">
      <c r="A53" t="s">
        <v>48</v>
      </c>
      <c r="B53" t="s">
        <v>174</v>
      </c>
      <c r="C53" s="12" t="s">
        <v>98</v>
      </c>
      <c r="D53" s="13">
        <v>46094</v>
      </c>
      <c r="E53" s="14">
        <v>0.82361111111111107</v>
      </c>
      <c r="F53" s="24">
        <v>0.87291666666666667</v>
      </c>
      <c r="G53" s="15">
        <f t="shared" si="1"/>
        <v>4.9305555555555602E-2</v>
      </c>
      <c r="H53" s="21" t="s">
        <v>180</v>
      </c>
      <c r="I53" t="s">
        <v>409</v>
      </c>
      <c r="J53">
        <v>172697</v>
      </c>
      <c r="L53">
        <v>1</v>
      </c>
      <c r="M53" t="s">
        <v>181</v>
      </c>
    </row>
    <row r="54" spans="1:13" x14ac:dyDescent="0.2">
      <c r="A54" t="s">
        <v>48</v>
      </c>
      <c r="B54" t="s">
        <v>174</v>
      </c>
      <c r="C54" s="12" t="s">
        <v>98</v>
      </c>
      <c r="D54" s="13">
        <v>46094</v>
      </c>
      <c r="E54" s="14">
        <v>0.93819444444444444</v>
      </c>
      <c r="F54" s="24">
        <v>0.99930555555555556</v>
      </c>
      <c r="G54" s="15">
        <f t="shared" si="1"/>
        <v>6.1111111111111116E-2</v>
      </c>
      <c r="H54" s="21" t="s">
        <v>182</v>
      </c>
      <c r="I54" t="s">
        <v>410</v>
      </c>
      <c r="J54">
        <v>172697</v>
      </c>
      <c r="L54">
        <v>1</v>
      </c>
      <c r="M54" t="s">
        <v>181</v>
      </c>
    </row>
    <row r="55" spans="1:13" ht="25.5" x14ac:dyDescent="0.2">
      <c r="A55" t="s">
        <v>48</v>
      </c>
      <c r="B55" t="s">
        <v>174</v>
      </c>
      <c r="C55" s="12" t="s">
        <v>8</v>
      </c>
      <c r="D55" s="13">
        <v>46095</v>
      </c>
      <c r="E55" s="14">
        <v>0</v>
      </c>
      <c r="F55" s="24">
        <v>6.5972222222222224E-2</v>
      </c>
      <c r="G55" s="15">
        <f t="shared" si="1"/>
        <v>6.5972222222222224E-2</v>
      </c>
      <c r="H55" s="22" t="s">
        <v>183</v>
      </c>
      <c r="I55" t="s">
        <v>410</v>
      </c>
      <c r="J55">
        <v>172699</v>
      </c>
      <c r="L55">
        <v>2</v>
      </c>
      <c r="M55" t="s">
        <v>184</v>
      </c>
    </row>
    <row r="56" spans="1:13" ht="25.5" x14ac:dyDescent="0.2">
      <c r="A56" t="s">
        <v>48</v>
      </c>
      <c r="B56" t="s">
        <v>174</v>
      </c>
      <c r="C56" s="12" t="s">
        <v>8</v>
      </c>
      <c r="D56" s="13">
        <v>46095</v>
      </c>
      <c r="E56" s="14">
        <v>0.37430555555555556</v>
      </c>
      <c r="F56" s="24">
        <v>0.54166666666666663</v>
      </c>
      <c r="G56" s="15">
        <f t="shared" si="1"/>
        <v>0.16736111111111107</v>
      </c>
      <c r="H56" s="22" t="s">
        <v>185</v>
      </c>
      <c r="I56" t="s">
        <v>410</v>
      </c>
      <c r="J56">
        <v>172699</v>
      </c>
      <c r="L56">
        <v>9</v>
      </c>
      <c r="M56" t="s">
        <v>184</v>
      </c>
    </row>
    <row r="57" spans="1:13" ht="38.25" customHeight="1" x14ac:dyDescent="0.2">
      <c r="A57" t="s">
        <v>48</v>
      </c>
      <c r="B57" t="s">
        <v>174</v>
      </c>
      <c r="C57" s="12" t="s">
        <v>8</v>
      </c>
      <c r="D57" s="13">
        <v>46095</v>
      </c>
      <c r="E57" s="14">
        <v>0.58333333333333337</v>
      </c>
      <c r="F57" s="24">
        <v>0.69930555555555551</v>
      </c>
      <c r="G57" s="15">
        <f t="shared" si="1"/>
        <v>0.11597222222222214</v>
      </c>
      <c r="H57" s="22" t="s">
        <v>186</v>
      </c>
      <c r="I57" t="s">
        <v>410</v>
      </c>
      <c r="J57">
        <v>172699</v>
      </c>
      <c r="L57">
        <v>9</v>
      </c>
      <c r="M57" t="s">
        <v>184</v>
      </c>
    </row>
    <row r="58" spans="1:13" ht="25.5" x14ac:dyDescent="0.2">
      <c r="A58" t="s">
        <v>48</v>
      </c>
      <c r="B58" t="s">
        <v>174</v>
      </c>
      <c r="C58" s="12" t="s">
        <v>11</v>
      </c>
      <c r="D58" s="13">
        <v>46096</v>
      </c>
      <c r="E58" s="14">
        <v>0.33333333333333331</v>
      </c>
      <c r="F58" s="24">
        <v>0.49305555555555558</v>
      </c>
      <c r="G58" s="15">
        <f t="shared" si="1"/>
        <v>0.15972222222222227</v>
      </c>
      <c r="H58" s="22" t="s">
        <v>187</v>
      </c>
      <c r="I58" t="s">
        <v>410</v>
      </c>
      <c r="J58">
        <v>172758</v>
      </c>
      <c r="L58">
        <v>5</v>
      </c>
      <c r="M58" t="s">
        <v>188</v>
      </c>
    </row>
    <row r="59" spans="1:13" x14ac:dyDescent="0.2">
      <c r="A59" t="s">
        <v>48</v>
      </c>
      <c r="B59" t="s">
        <v>174</v>
      </c>
      <c r="C59" s="12" t="s">
        <v>11</v>
      </c>
      <c r="D59" s="13">
        <v>46096</v>
      </c>
      <c r="E59" s="14">
        <v>0.6069444444444444</v>
      </c>
      <c r="F59" s="24">
        <v>0.62847222222222221</v>
      </c>
      <c r="G59" s="15">
        <f t="shared" si="1"/>
        <v>2.1527777777777812E-2</v>
      </c>
      <c r="H59" s="21" t="s">
        <v>189</v>
      </c>
      <c r="I59" t="s">
        <v>409</v>
      </c>
      <c r="J59">
        <v>172758</v>
      </c>
      <c r="L59">
        <v>3</v>
      </c>
      <c r="M59" t="s">
        <v>188</v>
      </c>
    </row>
    <row r="60" spans="1:13" x14ac:dyDescent="0.2">
      <c r="A60" t="s">
        <v>48</v>
      </c>
      <c r="B60" t="s">
        <v>190</v>
      </c>
      <c r="C60" s="12" t="s">
        <v>71</v>
      </c>
      <c r="D60" s="13">
        <v>46097</v>
      </c>
      <c r="E60" s="14">
        <v>0.75763888888888886</v>
      </c>
      <c r="F60" s="24">
        <v>0.83333333333333337</v>
      </c>
      <c r="G60" s="15">
        <f t="shared" si="1"/>
        <v>7.5694444444444509E-2</v>
      </c>
      <c r="H60" s="21" t="s">
        <v>191</v>
      </c>
      <c r="I60" t="s">
        <v>410</v>
      </c>
      <c r="J60">
        <v>172782</v>
      </c>
      <c r="L60">
        <v>3</v>
      </c>
      <c r="M60" t="s">
        <v>192</v>
      </c>
    </row>
    <row r="61" spans="1:13" ht="25.5" x14ac:dyDescent="0.2">
      <c r="A61" t="s">
        <v>48</v>
      </c>
      <c r="B61" t="s">
        <v>190</v>
      </c>
      <c r="C61" s="12" t="s">
        <v>75</v>
      </c>
      <c r="D61" s="13">
        <v>46098</v>
      </c>
      <c r="E61" s="14">
        <v>0.80277777777777781</v>
      </c>
      <c r="F61" s="24">
        <v>0.90625</v>
      </c>
      <c r="G61" s="15">
        <f t="shared" si="1"/>
        <v>0.10347222222222219</v>
      </c>
      <c r="H61" s="22" t="s">
        <v>193</v>
      </c>
      <c r="I61" t="s">
        <v>409</v>
      </c>
      <c r="J61">
        <v>172872</v>
      </c>
      <c r="L61">
        <v>5</v>
      </c>
      <c r="M61" t="s">
        <v>194</v>
      </c>
    </row>
    <row r="62" spans="1:13" ht="25.5" x14ac:dyDescent="0.2">
      <c r="A62" t="s">
        <v>48</v>
      </c>
      <c r="B62" t="s">
        <v>190</v>
      </c>
      <c r="C62" s="12" t="s">
        <v>79</v>
      </c>
      <c r="D62" s="13">
        <v>46099</v>
      </c>
      <c r="E62" s="14">
        <v>0.83333333333333337</v>
      </c>
      <c r="F62" s="24">
        <v>0.9375</v>
      </c>
      <c r="G62" s="15">
        <f t="shared" si="1"/>
        <v>0.10416666666666663</v>
      </c>
      <c r="H62" s="22" t="s">
        <v>195</v>
      </c>
      <c r="I62" t="s">
        <v>410</v>
      </c>
      <c r="J62">
        <v>172976</v>
      </c>
      <c r="L62">
        <v>3</v>
      </c>
      <c r="M62" t="s">
        <v>196</v>
      </c>
    </row>
    <row r="63" spans="1:13" ht="27" customHeight="1" x14ac:dyDescent="0.2">
      <c r="A63" t="s">
        <v>48</v>
      </c>
      <c r="B63" t="s">
        <v>190</v>
      </c>
      <c r="C63" s="12" t="s">
        <v>106</v>
      </c>
      <c r="D63" s="13">
        <v>46100</v>
      </c>
      <c r="E63" s="14">
        <v>0.70833333333333337</v>
      </c>
      <c r="F63" s="24">
        <v>0.95833333333333337</v>
      </c>
      <c r="G63" s="15">
        <f t="shared" si="1"/>
        <v>0.25</v>
      </c>
      <c r="H63" s="22" t="s">
        <v>197</v>
      </c>
      <c r="I63" t="s">
        <v>410</v>
      </c>
      <c r="J63">
        <v>173044</v>
      </c>
      <c r="L63">
        <v>9</v>
      </c>
      <c r="M63" t="s">
        <v>198</v>
      </c>
    </row>
    <row r="64" spans="1:13" ht="25.5" x14ac:dyDescent="0.2">
      <c r="A64" t="s">
        <v>48</v>
      </c>
      <c r="B64" t="s">
        <v>190</v>
      </c>
      <c r="C64" s="12" t="s">
        <v>98</v>
      </c>
      <c r="D64" s="13">
        <v>46101</v>
      </c>
      <c r="E64" s="14">
        <v>0.85763888888888884</v>
      </c>
      <c r="F64" s="24">
        <v>0.94097222222222221</v>
      </c>
      <c r="G64" s="15">
        <f t="shared" si="1"/>
        <v>8.333333333333337E-2</v>
      </c>
      <c r="H64" s="22" t="s">
        <v>199</v>
      </c>
      <c r="I64" t="s">
        <v>411</v>
      </c>
      <c r="J64">
        <v>173139</v>
      </c>
      <c r="L64">
        <v>7</v>
      </c>
      <c r="M64" t="s">
        <v>200</v>
      </c>
    </row>
    <row r="65" spans="1:13" x14ac:dyDescent="0.2">
      <c r="A65" t="s">
        <v>48</v>
      </c>
      <c r="B65" t="s">
        <v>201</v>
      </c>
      <c r="C65" s="12" t="s">
        <v>8</v>
      </c>
      <c r="D65" s="13">
        <v>46102</v>
      </c>
      <c r="E65" s="14">
        <v>0.27083333333333331</v>
      </c>
      <c r="F65" s="24">
        <v>0.66666666666666663</v>
      </c>
      <c r="G65" s="15">
        <f t="shared" si="1"/>
        <v>0.39583333333333331</v>
      </c>
      <c r="H65" s="22" t="s">
        <v>202</v>
      </c>
      <c r="I65" t="s">
        <v>413</v>
      </c>
      <c r="J65">
        <v>173193</v>
      </c>
      <c r="L65">
        <v>4</v>
      </c>
      <c r="M65" t="s">
        <v>203</v>
      </c>
    </row>
    <row r="66" spans="1:13" x14ac:dyDescent="0.2">
      <c r="A66" t="s">
        <v>48</v>
      </c>
      <c r="B66" t="s">
        <v>190</v>
      </c>
      <c r="C66" s="12" t="s">
        <v>8</v>
      </c>
      <c r="D66" s="13">
        <v>46102</v>
      </c>
      <c r="E66" s="14">
        <v>0.73958333333333337</v>
      </c>
      <c r="F66" s="24">
        <v>0.77083333333333337</v>
      </c>
      <c r="G66" s="15">
        <f t="shared" ref="G66:G97" si="2">F66-E66</f>
        <v>3.125E-2</v>
      </c>
      <c r="H66" s="21" t="s">
        <v>204</v>
      </c>
      <c r="I66" t="s">
        <v>409</v>
      </c>
      <c r="J66">
        <v>173193</v>
      </c>
      <c r="L66">
        <v>1</v>
      </c>
      <c r="M66" t="s">
        <v>203</v>
      </c>
    </row>
    <row r="67" spans="1:13" x14ac:dyDescent="0.2">
      <c r="A67" t="s">
        <v>48</v>
      </c>
      <c r="B67" t="s">
        <v>190</v>
      </c>
      <c r="C67" s="12" t="s">
        <v>8</v>
      </c>
      <c r="D67" s="13">
        <v>46102</v>
      </c>
      <c r="E67" s="14">
        <v>0.80972222222222223</v>
      </c>
      <c r="F67" s="24">
        <v>0.90277777777777779</v>
      </c>
      <c r="G67" s="15">
        <f t="shared" si="2"/>
        <v>9.3055555555555558E-2</v>
      </c>
      <c r="H67" s="22" t="s">
        <v>205</v>
      </c>
      <c r="I67" t="s">
        <v>409</v>
      </c>
      <c r="J67">
        <v>173193</v>
      </c>
      <c r="L67">
        <v>3</v>
      </c>
      <c r="M67" t="s">
        <v>203</v>
      </c>
    </row>
    <row r="68" spans="1:13" ht="25.5" x14ac:dyDescent="0.2">
      <c r="A68" t="s">
        <v>48</v>
      </c>
      <c r="B68" t="s">
        <v>174</v>
      </c>
      <c r="C68" s="12" t="s">
        <v>8</v>
      </c>
      <c r="D68" s="13">
        <v>46102</v>
      </c>
      <c r="E68" s="14">
        <v>0.27083333333333331</v>
      </c>
      <c r="F68" s="24">
        <v>0.41736111111111113</v>
      </c>
      <c r="G68" s="15">
        <f t="shared" si="2"/>
        <v>0.14652777777777781</v>
      </c>
      <c r="H68" s="22" t="s">
        <v>206</v>
      </c>
      <c r="I68" t="s">
        <v>410</v>
      </c>
      <c r="J68">
        <v>173194</v>
      </c>
      <c r="L68">
        <v>5</v>
      </c>
      <c r="M68" t="s">
        <v>207</v>
      </c>
    </row>
    <row r="69" spans="1:13" x14ac:dyDescent="0.2">
      <c r="A69" t="s">
        <v>48</v>
      </c>
      <c r="B69" t="s">
        <v>174</v>
      </c>
      <c r="C69" s="12" t="s">
        <v>8</v>
      </c>
      <c r="D69" s="13">
        <v>46102</v>
      </c>
      <c r="E69" s="14">
        <v>0.45069444444444445</v>
      </c>
      <c r="F69" s="24">
        <v>0.54861111111111116</v>
      </c>
      <c r="G69" s="15">
        <f t="shared" si="2"/>
        <v>9.7916666666666707E-2</v>
      </c>
      <c r="H69" s="22" t="s">
        <v>208</v>
      </c>
      <c r="I69" t="s">
        <v>410</v>
      </c>
      <c r="J69">
        <v>173194</v>
      </c>
      <c r="L69">
        <v>3</v>
      </c>
      <c r="M69" t="s">
        <v>207</v>
      </c>
    </row>
    <row r="70" spans="1:13" x14ac:dyDescent="0.2">
      <c r="A70" t="s">
        <v>48</v>
      </c>
      <c r="B70" t="s">
        <v>174</v>
      </c>
      <c r="C70" s="12" t="s">
        <v>8</v>
      </c>
      <c r="D70" s="13">
        <v>46102</v>
      </c>
      <c r="E70" s="14">
        <v>0.63611111111111107</v>
      </c>
      <c r="F70" s="24">
        <v>0.66805555555555551</v>
      </c>
      <c r="G70" s="15">
        <f t="shared" si="2"/>
        <v>3.1944444444444442E-2</v>
      </c>
      <c r="H70" s="21" t="s">
        <v>209</v>
      </c>
      <c r="I70" t="s">
        <v>410</v>
      </c>
      <c r="J70">
        <v>173194</v>
      </c>
      <c r="L70">
        <v>1</v>
      </c>
      <c r="M70" t="s">
        <v>207</v>
      </c>
    </row>
    <row r="71" spans="1:13" x14ac:dyDescent="0.2">
      <c r="A71" t="s">
        <v>48</v>
      </c>
      <c r="B71" t="s">
        <v>201</v>
      </c>
      <c r="C71" s="12" t="s">
        <v>11</v>
      </c>
      <c r="D71" s="13">
        <v>46103</v>
      </c>
      <c r="E71" s="14">
        <v>0.29166666666666669</v>
      </c>
      <c r="F71" s="24">
        <v>0.59375</v>
      </c>
      <c r="G71" s="15">
        <f t="shared" si="2"/>
        <v>0.30208333333333331</v>
      </c>
      <c r="H71" s="21" t="s">
        <v>210</v>
      </c>
      <c r="I71" t="s">
        <v>410</v>
      </c>
      <c r="J71">
        <v>173223</v>
      </c>
      <c r="L71">
        <v>4</v>
      </c>
      <c r="M71" t="s">
        <v>211</v>
      </c>
    </row>
    <row r="72" spans="1:13" x14ac:dyDescent="0.2">
      <c r="A72" t="s">
        <v>48</v>
      </c>
      <c r="B72" t="s">
        <v>190</v>
      </c>
      <c r="C72" s="12" t="s">
        <v>11</v>
      </c>
      <c r="D72" s="13">
        <v>46103</v>
      </c>
      <c r="E72" s="14">
        <v>0.72638888888888886</v>
      </c>
      <c r="F72" s="24">
        <v>0.77083333333333337</v>
      </c>
      <c r="G72" s="15">
        <f t="shared" si="2"/>
        <v>4.4444444444444509E-2</v>
      </c>
      <c r="H72" s="21" t="s">
        <v>212</v>
      </c>
      <c r="I72" t="s">
        <v>410</v>
      </c>
      <c r="J72">
        <v>173223</v>
      </c>
      <c r="L72">
        <v>3</v>
      </c>
      <c r="M72" t="s">
        <v>211</v>
      </c>
    </row>
    <row r="73" spans="1:13" x14ac:dyDescent="0.2">
      <c r="A73" t="s">
        <v>49</v>
      </c>
      <c r="B73" t="s">
        <v>213</v>
      </c>
      <c r="C73" s="12" t="s">
        <v>71</v>
      </c>
      <c r="D73" s="13">
        <v>46083</v>
      </c>
      <c r="E73" s="14">
        <v>0.66666666666666663</v>
      </c>
      <c r="F73" s="24">
        <v>0.79166666666666663</v>
      </c>
      <c r="G73" s="15">
        <f t="shared" si="2"/>
        <v>0.125</v>
      </c>
      <c r="H73" t="s">
        <v>421</v>
      </c>
      <c r="I73" t="s">
        <v>416</v>
      </c>
      <c r="J73">
        <v>171799</v>
      </c>
      <c r="L73">
        <v>2</v>
      </c>
      <c r="M73" t="s">
        <v>214</v>
      </c>
    </row>
    <row r="74" spans="1:13" x14ac:dyDescent="0.2">
      <c r="A74" t="s">
        <v>49</v>
      </c>
      <c r="B74" t="s">
        <v>213</v>
      </c>
      <c r="C74" s="12" t="s">
        <v>75</v>
      </c>
      <c r="D74" s="13">
        <v>46084</v>
      </c>
      <c r="E74" s="14">
        <v>0.27777777777777779</v>
      </c>
      <c r="F74" s="24">
        <v>0.33333333333333331</v>
      </c>
      <c r="G74" s="15">
        <f t="shared" si="2"/>
        <v>5.5555555555555525E-2</v>
      </c>
      <c r="H74" t="s">
        <v>422</v>
      </c>
      <c r="I74" t="s">
        <v>410</v>
      </c>
      <c r="J74">
        <v>171894</v>
      </c>
      <c r="L74">
        <v>1</v>
      </c>
      <c r="M74" t="s">
        <v>215</v>
      </c>
    </row>
    <row r="75" spans="1:13" x14ac:dyDescent="0.2">
      <c r="A75" t="s">
        <v>49</v>
      </c>
      <c r="B75" t="s">
        <v>213</v>
      </c>
      <c r="C75" s="12" t="s">
        <v>75</v>
      </c>
      <c r="D75" s="13">
        <v>46084</v>
      </c>
      <c r="E75" s="14">
        <v>0.66666666666666663</v>
      </c>
      <c r="F75" s="24">
        <v>0.75</v>
      </c>
      <c r="G75" s="15">
        <f t="shared" si="2"/>
        <v>8.333333333333337E-2</v>
      </c>
      <c r="H75" t="s">
        <v>423</v>
      </c>
      <c r="I75" t="s">
        <v>417</v>
      </c>
      <c r="J75">
        <v>171894</v>
      </c>
      <c r="L75">
        <v>1</v>
      </c>
      <c r="M75" t="s">
        <v>215</v>
      </c>
    </row>
    <row r="76" spans="1:13" x14ac:dyDescent="0.2">
      <c r="A76" t="s">
        <v>49</v>
      </c>
      <c r="B76" t="s">
        <v>213</v>
      </c>
      <c r="C76" s="12" t="s">
        <v>79</v>
      </c>
      <c r="D76" s="13">
        <v>46085</v>
      </c>
      <c r="E76" s="14">
        <v>0.66666666666666663</v>
      </c>
      <c r="F76" s="24">
        <v>0.77777777777777779</v>
      </c>
      <c r="G76" s="15">
        <f t="shared" si="2"/>
        <v>0.11111111111111116</v>
      </c>
      <c r="H76" t="s">
        <v>424</v>
      </c>
      <c r="I76" t="s">
        <v>410</v>
      </c>
      <c r="J76">
        <v>171993</v>
      </c>
      <c r="L76">
        <v>1</v>
      </c>
      <c r="M76" t="s">
        <v>216</v>
      </c>
    </row>
    <row r="77" spans="1:13" x14ac:dyDescent="0.2">
      <c r="A77" t="s">
        <v>49</v>
      </c>
      <c r="B77" t="s">
        <v>213</v>
      </c>
      <c r="C77" s="12" t="s">
        <v>106</v>
      </c>
      <c r="D77" s="13">
        <v>46086</v>
      </c>
      <c r="E77" s="14">
        <v>0.66666666666666663</v>
      </c>
      <c r="F77" s="24">
        <v>0.75</v>
      </c>
      <c r="G77" s="15">
        <f t="shared" si="2"/>
        <v>8.333333333333337E-2</v>
      </c>
      <c r="H77" t="s">
        <v>425</v>
      </c>
      <c r="I77" t="s">
        <v>410</v>
      </c>
      <c r="J77">
        <v>172093</v>
      </c>
      <c r="L77">
        <v>1</v>
      </c>
      <c r="M77" t="s">
        <v>217</v>
      </c>
    </row>
    <row r="78" spans="1:13" x14ac:dyDescent="0.2">
      <c r="A78" t="s">
        <v>49</v>
      </c>
      <c r="B78" t="s">
        <v>213</v>
      </c>
      <c r="C78" s="12" t="s">
        <v>98</v>
      </c>
      <c r="D78" s="13">
        <v>46087</v>
      </c>
      <c r="E78" s="14">
        <v>0.66666666666666663</v>
      </c>
      <c r="F78" s="24">
        <v>0.75</v>
      </c>
      <c r="G78" s="15">
        <f t="shared" si="2"/>
        <v>8.333333333333337E-2</v>
      </c>
      <c r="H78" t="s">
        <v>426</v>
      </c>
      <c r="I78" t="s">
        <v>410</v>
      </c>
      <c r="J78">
        <v>172165</v>
      </c>
      <c r="L78">
        <v>1</v>
      </c>
      <c r="M78" t="s">
        <v>218</v>
      </c>
    </row>
    <row r="79" spans="1:13" x14ac:dyDescent="0.2">
      <c r="A79" t="s">
        <v>49</v>
      </c>
      <c r="B79" t="s">
        <v>213</v>
      </c>
      <c r="C79" s="12" t="s">
        <v>71</v>
      </c>
      <c r="D79" s="13">
        <v>46090</v>
      </c>
      <c r="E79" s="14">
        <v>0.66666666666666663</v>
      </c>
      <c r="F79" s="24">
        <v>0.77083333333333337</v>
      </c>
      <c r="G79" s="15">
        <f t="shared" si="2"/>
        <v>0.10416666666666674</v>
      </c>
      <c r="H79" t="s">
        <v>427</v>
      </c>
      <c r="I79" t="s">
        <v>418</v>
      </c>
      <c r="J79">
        <v>172274</v>
      </c>
      <c r="L79">
        <v>1</v>
      </c>
      <c r="M79" t="s">
        <v>219</v>
      </c>
    </row>
    <row r="80" spans="1:13" x14ac:dyDescent="0.2">
      <c r="A80" t="s">
        <v>49</v>
      </c>
      <c r="B80" t="s">
        <v>213</v>
      </c>
      <c r="C80" s="12" t="s">
        <v>75</v>
      </c>
      <c r="D80" s="13">
        <v>46091</v>
      </c>
      <c r="E80" s="14">
        <v>0.66666666666666663</v>
      </c>
      <c r="F80" s="24">
        <v>0.77083333333333337</v>
      </c>
      <c r="G80" s="15">
        <f t="shared" si="2"/>
        <v>0.10416666666666674</v>
      </c>
      <c r="H80" t="s">
        <v>428</v>
      </c>
      <c r="I80" t="s">
        <v>416</v>
      </c>
      <c r="J80">
        <v>172404</v>
      </c>
      <c r="L80">
        <v>2</v>
      </c>
      <c r="M80" t="s">
        <v>220</v>
      </c>
    </row>
    <row r="81" spans="1:13" x14ac:dyDescent="0.2">
      <c r="A81" t="s">
        <v>49</v>
      </c>
      <c r="B81" t="s">
        <v>213</v>
      </c>
      <c r="C81" s="12" t="s">
        <v>79</v>
      </c>
      <c r="D81" s="13">
        <v>46092</v>
      </c>
      <c r="E81" s="14">
        <v>0.66666666666666663</v>
      </c>
      <c r="F81" s="24">
        <v>0.8125</v>
      </c>
      <c r="G81" s="15">
        <f t="shared" si="2"/>
        <v>0.14583333333333337</v>
      </c>
      <c r="H81" t="s">
        <v>429</v>
      </c>
      <c r="I81" t="s">
        <v>410</v>
      </c>
      <c r="J81">
        <v>172473</v>
      </c>
      <c r="L81">
        <v>1</v>
      </c>
      <c r="M81" t="s">
        <v>221</v>
      </c>
    </row>
    <row r="82" spans="1:13" x14ac:dyDescent="0.2">
      <c r="A82" t="s">
        <v>49</v>
      </c>
      <c r="B82" t="s">
        <v>213</v>
      </c>
      <c r="C82" s="12" t="s">
        <v>71</v>
      </c>
      <c r="D82" s="13">
        <v>46097</v>
      </c>
      <c r="E82" s="14">
        <v>0.66666666666666663</v>
      </c>
      <c r="F82" s="24">
        <v>0.875</v>
      </c>
      <c r="G82" s="15">
        <f t="shared" si="2"/>
        <v>0.20833333333333337</v>
      </c>
      <c r="H82" t="s">
        <v>430</v>
      </c>
      <c r="I82" t="s">
        <v>417</v>
      </c>
      <c r="J82">
        <v>172700</v>
      </c>
      <c r="L82">
        <v>1</v>
      </c>
      <c r="M82" t="s">
        <v>222</v>
      </c>
    </row>
    <row r="83" spans="1:13" x14ac:dyDescent="0.2">
      <c r="A83" t="s">
        <v>49</v>
      </c>
      <c r="B83" t="s">
        <v>213</v>
      </c>
      <c r="C83" s="12" t="s">
        <v>75</v>
      </c>
      <c r="D83" s="13">
        <v>46098</v>
      </c>
      <c r="E83" s="14">
        <v>0.26041666666666669</v>
      </c>
      <c r="F83" s="24">
        <v>0.33333333333333331</v>
      </c>
      <c r="G83" s="15">
        <f t="shared" si="2"/>
        <v>7.291666666666663E-2</v>
      </c>
      <c r="H83" t="s">
        <v>431</v>
      </c>
      <c r="I83" t="s">
        <v>419</v>
      </c>
      <c r="J83">
        <v>172868</v>
      </c>
      <c r="L83">
        <v>1</v>
      </c>
      <c r="M83" t="s">
        <v>223</v>
      </c>
    </row>
    <row r="84" spans="1:13" x14ac:dyDescent="0.2">
      <c r="A84" t="s">
        <v>49</v>
      </c>
      <c r="B84" t="s">
        <v>213</v>
      </c>
      <c r="C84" s="12" t="s">
        <v>75</v>
      </c>
      <c r="D84" s="13">
        <v>46098</v>
      </c>
      <c r="E84" s="14">
        <v>0.66666666666666663</v>
      </c>
      <c r="F84" s="24">
        <v>0.75</v>
      </c>
      <c r="G84" s="15">
        <f t="shared" si="2"/>
        <v>8.333333333333337E-2</v>
      </c>
      <c r="H84" t="s">
        <v>432</v>
      </c>
      <c r="I84" t="s">
        <v>410</v>
      </c>
      <c r="J84">
        <v>172868</v>
      </c>
      <c r="L84">
        <v>1</v>
      </c>
      <c r="M84" t="s">
        <v>223</v>
      </c>
    </row>
    <row r="85" spans="1:13" x14ac:dyDescent="0.2">
      <c r="A85" t="s">
        <v>49</v>
      </c>
      <c r="B85" t="s">
        <v>213</v>
      </c>
      <c r="C85" s="12" t="s">
        <v>79</v>
      </c>
      <c r="D85" s="13">
        <v>46099</v>
      </c>
      <c r="E85" s="14">
        <v>0.66666666666666663</v>
      </c>
      <c r="F85" s="24">
        <v>0.79166666666666663</v>
      </c>
      <c r="G85" s="15">
        <f t="shared" si="2"/>
        <v>0.125</v>
      </c>
      <c r="H85" t="s">
        <v>433</v>
      </c>
      <c r="I85" t="s">
        <v>418</v>
      </c>
      <c r="J85">
        <v>172944</v>
      </c>
      <c r="L85">
        <v>1</v>
      </c>
      <c r="M85" t="s">
        <v>224</v>
      </c>
    </row>
    <row r="86" spans="1:13" x14ac:dyDescent="0.2">
      <c r="A86" t="s">
        <v>49</v>
      </c>
      <c r="B86" t="s">
        <v>213</v>
      </c>
      <c r="C86" s="12" t="s">
        <v>106</v>
      </c>
      <c r="D86" s="13">
        <v>46100</v>
      </c>
      <c r="E86" s="14">
        <v>0.66666666666666663</v>
      </c>
      <c r="F86" s="24">
        <v>0.75</v>
      </c>
      <c r="G86" s="15">
        <f t="shared" si="2"/>
        <v>8.333333333333337E-2</v>
      </c>
      <c r="H86" t="s">
        <v>434</v>
      </c>
      <c r="I86" t="s">
        <v>410</v>
      </c>
      <c r="J86">
        <v>173010</v>
      </c>
      <c r="L86">
        <v>1</v>
      </c>
      <c r="M86" t="s">
        <v>225</v>
      </c>
    </row>
    <row r="87" spans="1:13" x14ac:dyDescent="0.2">
      <c r="A87" t="s">
        <v>49</v>
      </c>
      <c r="B87" t="s">
        <v>213</v>
      </c>
      <c r="C87" s="12" t="s">
        <v>98</v>
      </c>
      <c r="D87" s="13">
        <v>46101</v>
      </c>
      <c r="E87" s="14">
        <v>0.29166666666666669</v>
      </c>
      <c r="F87" s="24">
        <v>0.36805555555555558</v>
      </c>
      <c r="G87" s="15">
        <f t="shared" si="2"/>
        <v>7.6388888888888895E-2</v>
      </c>
      <c r="H87" t="s">
        <v>435</v>
      </c>
      <c r="I87" t="s">
        <v>416</v>
      </c>
      <c r="J87">
        <v>173089</v>
      </c>
      <c r="L87">
        <v>2</v>
      </c>
      <c r="M87" t="s">
        <v>226</v>
      </c>
    </row>
    <row r="88" spans="1:13" x14ac:dyDescent="0.2">
      <c r="A88" t="s">
        <v>49</v>
      </c>
      <c r="B88" t="s">
        <v>213</v>
      </c>
      <c r="C88" s="12" t="s">
        <v>98</v>
      </c>
      <c r="D88" s="13">
        <v>46101</v>
      </c>
      <c r="E88" s="14">
        <v>0.73958333333333337</v>
      </c>
      <c r="F88" s="24">
        <v>0.82291666666666663</v>
      </c>
      <c r="G88" s="15">
        <f t="shared" si="2"/>
        <v>8.3333333333333259E-2</v>
      </c>
      <c r="H88" t="s">
        <v>436</v>
      </c>
      <c r="I88" t="s">
        <v>419</v>
      </c>
      <c r="J88">
        <v>173089</v>
      </c>
      <c r="L88">
        <v>1</v>
      </c>
      <c r="M88" t="s">
        <v>226</v>
      </c>
    </row>
    <row r="89" spans="1:13" x14ac:dyDescent="0.2">
      <c r="A89" t="s">
        <v>49</v>
      </c>
      <c r="B89" t="s">
        <v>213</v>
      </c>
      <c r="C89" s="12" t="s">
        <v>8</v>
      </c>
      <c r="D89" s="13">
        <v>46102</v>
      </c>
      <c r="E89" s="14">
        <v>0.30208333333333331</v>
      </c>
      <c r="F89" s="24">
        <v>0.66666666666666663</v>
      </c>
      <c r="G89" s="15">
        <f t="shared" si="2"/>
        <v>0.36458333333333331</v>
      </c>
      <c r="H89" t="s">
        <v>437</v>
      </c>
      <c r="I89" t="s">
        <v>410</v>
      </c>
      <c r="J89">
        <v>173192</v>
      </c>
      <c r="L89">
        <v>1</v>
      </c>
      <c r="M89" t="s">
        <v>227</v>
      </c>
    </row>
    <row r="90" spans="1:13" x14ac:dyDescent="0.2">
      <c r="A90" t="s">
        <v>51</v>
      </c>
      <c r="B90" t="s">
        <v>228</v>
      </c>
      <c r="C90" s="12" t="s">
        <v>71</v>
      </c>
      <c r="D90" s="13">
        <v>46083</v>
      </c>
      <c r="E90" s="14">
        <v>0.70833333333333337</v>
      </c>
      <c r="F90" s="24">
        <v>0.8125</v>
      </c>
      <c r="G90" s="15">
        <f t="shared" si="2"/>
        <v>0.10416666666666663</v>
      </c>
      <c r="H90" s="21" t="s">
        <v>229</v>
      </c>
      <c r="I90" t="s">
        <v>409</v>
      </c>
      <c r="J90">
        <v>171816</v>
      </c>
      <c r="L90">
        <v>3</v>
      </c>
      <c r="M90" t="s">
        <v>230</v>
      </c>
    </row>
    <row r="91" spans="1:13" ht="25.5" x14ac:dyDescent="0.2">
      <c r="A91" t="s">
        <v>51</v>
      </c>
      <c r="B91" t="s">
        <v>231</v>
      </c>
      <c r="C91" s="12" t="s">
        <v>8</v>
      </c>
      <c r="D91" s="13">
        <v>46088</v>
      </c>
      <c r="E91" s="14">
        <v>0.33541666666666664</v>
      </c>
      <c r="F91" s="24">
        <v>0.52569444444444446</v>
      </c>
      <c r="G91" s="15">
        <f t="shared" si="2"/>
        <v>0.19027777777777782</v>
      </c>
      <c r="H91" s="22" t="s">
        <v>232</v>
      </c>
      <c r="I91" t="s">
        <v>409</v>
      </c>
      <c r="J91">
        <v>172277</v>
      </c>
      <c r="L91">
        <v>5</v>
      </c>
      <c r="M91" t="s">
        <v>233</v>
      </c>
    </row>
    <row r="92" spans="1:13" x14ac:dyDescent="0.2">
      <c r="A92" t="s">
        <v>51</v>
      </c>
      <c r="B92" t="s">
        <v>228</v>
      </c>
      <c r="C92" s="12" t="s">
        <v>8</v>
      </c>
      <c r="D92" s="13">
        <v>46095</v>
      </c>
      <c r="E92" s="14">
        <v>0.52500000000000002</v>
      </c>
      <c r="F92" s="24">
        <v>0.6333333333333333</v>
      </c>
      <c r="G92" s="15">
        <f t="shared" si="2"/>
        <v>0.10833333333333328</v>
      </c>
      <c r="H92" t="s">
        <v>234</v>
      </c>
      <c r="I92" t="s">
        <v>410</v>
      </c>
      <c r="J92">
        <v>172714</v>
      </c>
      <c r="L92">
        <v>3</v>
      </c>
      <c r="M92" t="s">
        <v>235</v>
      </c>
    </row>
    <row r="93" spans="1:13" ht="63.75" x14ac:dyDescent="0.2">
      <c r="A93" t="s">
        <v>51</v>
      </c>
      <c r="B93" t="s">
        <v>228</v>
      </c>
      <c r="C93" s="12" t="s">
        <v>11</v>
      </c>
      <c r="D93" s="13">
        <v>46096</v>
      </c>
      <c r="E93" s="14">
        <v>0.33333333333333331</v>
      </c>
      <c r="F93" s="24">
        <v>0.61458333333333337</v>
      </c>
      <c r="G93" s="15">
        <f t="shared" si="2"/>
        <v>0.28125000000000006</v>
      </c>
      <c r="H93" s="22" t="s">
        <v>236</v>
      </c>
      <c r="I93" t="s">
        <v>410</v>
      </c>
      <c r="J93">
        <v>172716</v>
      </c>
      <c r="L93">
        <v>9</v>
      </c>
      <c r="M93" t="s">
        <v>237</v>
      </c>
    </row>
    <row r="94" spans="1:13" ht="25.5" x14ac:dyDescent="0.2">
      <c r="A94" t="s">
        <v>51</v>
      </c>
      <c r="B94" t="s">
        <v>238</v>
      </c>
      <c r="C94" s="12" t="s">
        <v>75</v>
      </c>
      <c r="D94" s="13">
        <v>46098</v>
      </c>
      <c r="E94" s="14">
        <v>0.75694444444444442</v>
      </c>
      <c r="F94" s="24">
        <v>0.92500000000000004</v>
      </c>
      <c r="G94" s="15">
        <f t="shared" si="2"/>
        <v>0.16805555555555562</v>
      </c>
      <c r="H94" s="22" t="s">
        <v>239</v>
      </c>
      <c r="I94" t="s">
        <v>409</v>
      </c>
      <c r="J94">
        <v>173005</v>
      </c>
      <c r="L94">
        <v>5</v>
      </c>
      <c r="M94" t="s">
        <v>240</v>
      </c>
    </row>
    <row r="95" spans="1:13" x14ac:dyDescent="0.2">
      <c r="A95" t="s">
        <v>51</v>
      </c>
      <c r="B95" t="s">
        <v>238</v>
      </c>
      <c r="C95" s="12" t="s">
        <v>79</v>
      </c>
      <c r="D95" s="13">
        <v>46099</v>
      </c>
      <c r="E95" s="14">
        <v>0.90277777777777779</v>
      </c>
      <c r="F95" s="24">
        <v>0.94166666666666665</v>
      </c>
      <c r="G95" s="15">
        <f t="shared" si="2"/>
        <v>3.8888888888888862E-2</v>
      </c>
      <c r="H95" s="21" t="s">
        <v>241</v>
      </c>
      <c r="I95" t="s">
        <v>410</v>
      </c>
      <c r="J95">
        <v>173135</v>
      </c>
      <c r="L95">
        <v>3</v>
      </c>
      <c r="M95" t="s">
        <v>242</v>
      </c>
    </row>
    <row r="96" spans="1:13" x14ac:dyDescent="0.2">
      <c r="A96" t="s">
        <v>51</v>
      </c>
      <c r="B96" t="s">
        <v>238</v>
      </c>
      <c r="C96" s="12" t="s">
        <v>106</v>
      </c>
      <c r="D96" s="13">
        <v>46100</v>
      </c>
      <c r="E96" s="14">
        <v>0.70833333333333337</v>
      </c>
      <c r="F96" s="24">
        <v>0.7631944444444444</v>
      </c>
      <c r="G96" s="15">
        <f t="shared" si="2"/>
        <v>5.4861111111111027E-2</v>
      </c>
      <c r="H96" s="21" t="s">
        <v>243</v>
      </c>
      <c r="I96" t="s">
        <v>410</v>
      </c>
      <c r="J96">
        <v>173140</v>
      </c>
      <c r="L96">
        <v>3</v>
      </c>
      <c r="M96" t="s">
        <v>244</v>
      </c>
    </row>
    <row r="97" spans="1:13" x14ac:dyDescent="0.2">
      <c r="A97" t="s">
        <v>51</v>
      </c>
      <c r="B97" t="s">
        <v>245</v>
      </c>
      <c r="C97" s="12" t="s">
        <v>8</v>
      </c>
      <c r="D97" s="13">
        <v>46102</v>
      </c>
      <c r="E97" s="14">
        <v>0.25</v>
      </c>
      <c r="F97" s="24">
        <v>0.54166666666666663</v>
      </c>
      <c r="G97" s="15">
        <f t="shared" si="2"/>
        <v>0.29166666666666663</v>
      </c>
      <c r="H97" s="21" t="s">
        <v>246</v>
      </c>
      <c r="I97" t="s">
        <v>413</v>
      </c>
      <c r="J97">
        <v>173191</v>
      </c>
      <c r="L97">
        <v>1</v>
      </c>
      <c r="M97" t="s">
        <v>247</v>
      </c>
    </row>
    <row r="98" spans="1:13" ht="25.5" x14ac:dyDescent="0.2">
      <c r="A98" t="s">
        <v>51</v>
      </c>
      <c r="B98" t="s">
        <v>245</v>
      </c>
      <c r="C98" s="12" t="s">
        <v>8</v>
      </c>
      <c r="D98" s="13">
        <v>46102</v>
      </c>
      <c r="E98" s="14">
        <v>0.58333333333333337</v>
      </c>
      <c r="F98" s="24">
        <v>0.69791666666666663</v>
      </c>
      <c r="G98" s="15">
        <f t="shared" ref="G98:G129" si="3">F98-E98</f>
        <v>0.11458333333333326</v>
      </c>
      <c r="H98" s="22" t="s">
        <v>248</v>
      </c>
      <c r="I98" t="s">
        <v>417</v>
      </c>
      <c r="J98">
        <v>173191</v>
      </c>
      <c r="L98">
        <v>1</v>
      </c>
      <c r="M98" t="s">
        <v>247</v>
      </c>
    </row>
    <row r="99" spans="1:13" x14ac:dyDescent="0.2">
      <c r="A99" t="s">
        <v>51</v>
      </c>
      <c r="B99" t="s">
        <v>238</v>
      </c>
      <c r="C99" s="12" t="s">
        <v>11</v>
      </c>
      <c r="D99" s="13">
        <v>46103</v>
      </c>
      <c r="E99" s="14">
        <v>0.26319444444444445</v>
      </c>
      <c r="F99" s="24">
        <v>0.375</v>
      </c>
      <c r="G99" s="15">
        <f t="shared" si="3"/>
        <v>0.11180555555555555</v>
      </c>
      <c r="H99" s="21" t="s">
        <v>249</v>
      </c>
      <c r="I99" t="s">
        <v>410</v>
      </c>
      <c r="J99">
        <v>173222</v>
      </c>
      <c r="L99">
        <v>5</v>
      </c>
      <c r="M99" t="s">
        <v>250</v>
      </c>
    </row>
    <row r="100" spans="1:13" x14ac:dyDescent="0.2">
      <c r="A100" t="s">
        <v>51</v>
      </c>
      <c r="B100" t="s">
        <v>238</v>
      </c>
      <c r="C100" s="12" t="s">
        <v>11</v>
      </c>
      <c r="D100" s="13">
        <v>46103</v>
      </c>
      <c r="E100" s="14">
        <v>0.64513888888888893</v>
      </c>
      <c r="F100" s="24">
        <v>0.69861111111111107</v>
      </c>
      <c r="G100" s="15">
        <f t="shared" si="3"/>
        <v>5.3472222222222143E-2</v>
      </c>
      <c r="H100" s="21" t="s">
        <v>251</v>
      </c>
      <c r="I100" t="s">
        <v>410</v>
      </c>
      <c r="J100">
        <v>173222</v>
      </c>
      <c r="L100">
        <v>4</v>
      </c>
      <c r="M100" t="s">
        <v>250</v>
      </c>
    </row>
    <row r="101" spans="1:13" x14ac:dyDescent="0.2">
      <c r="A101" t="s">
        <v>52</v>
      </c>
      <c r="B101" t="s">
        <v>252</v>
      </c>
      <c r="C101" s="12" t="s">
        <v>71</v>
      </c>
      <c r="D101" s="13">
        <v>46083</v>
      </c>
      <c r="E101" s="14">
        <v>0.78402777777777777</v>
      </c>
      <c r="F101" s="24">
        <v>0.88749999999999996</v>
      </c>
      <c r="G101" s="15">
        <f t="shared" si="3"/>
        <v>0.10347222222222219</v>
      </c>
      <c r="H101" s="21" t="s">
        <v>253</v>
      </c>
      <c r="I101" t="s">
        <v>414</v>
      </c>
      <c r="J101">
        <v>171804</v>
      </c>
      <c r="L101">
        <v>1</v>
      </c>
      <c r="M101" t="s">
        <v>254</v>
      </c>
    </row>
    <row r="102" spans="1:13" x14ac:dyDescent="0.2">
      <c r="A102" t="s">
        <v>52</v>
      </c>
      <c r="B102" t="s">
        <v>255</v>
      </c>
      <c r="C102" s="12" t="s">
        <v>75</v>
      </c>
      <c r="D102" s="13">
        <v>46084</v>
      </c>
      <c r="E102" s="14">
        <v>0.70833333333333337</v>
      </c>
      <c r="F102" s="24">
        <v>0.75972222222222219</v>
      </c>
      <c r="G102" s="15">
        <f t="shared" si="3"/>
        <v>5.1388888888888817E-2</v>
      </c>
      <c r="H102" s="21" t="s">
        <v>256</v>
      </c>
      <c r="I102" t="s">
        <v>409</v>
      </c>
      <c r="J102">
        <v>171941</v>
      </c>
      <c r="L102">
        <v>2</v>
      </c>
      <c r="M102" t="s">
        <v>257</v>
      </c>
    </row>
    <row r="103" spans="1:13" x14ac:dyDescent="0.2">
      <c r="A103" t="s">
        <v>52</v>
      </c>
      <c r="B103" t="s">
        <v>255</v>
      </c>
      <c r="C103" s="12" t="s">
        <v>79</v>
      </c>
      <c r="D103" s="13">
        <v>46085</v>
      </c>
      <c r="E103" s="14">
        <v>0.25</v>
      </c>
      <c r="F103" s="24">
        <v>0.33333333333333331</v>
      </c>
      <c r="G103" s="15">
        <f t="shared" si="3"/>
        <v>8.3333333333333315E-2</v>
      </c>
      <c r="H103" s="22" t="s">
        <v>258</v>
      </c>
      <c r="I103" t="s">
        <v>410</v>
      </c>
      <c r="J103">
        <v>171989</v>
      </c>
      <c r="L103">
        <v>1</v>
      </c>
      <c r="M103" t="s">
        <v>259</v>
      </c>
    </row>
    <row r="104" spans="1:13" x14ac:dyDescent="0.2">
      <c r="A104" t="s">
        <v>52</v>
      </c>
      <c r="B104" t="s">
        <v>255</v>
      </c>
      <c r="C104" s="12" t="s">
        <v>79</v>
      </c>
      <c r="D104" s="13">
        <v>46085</v>
      </c>
      <c r="E104" s="14">
        <v>0.70833333333333337</v>
      </c>
      <c r="F104" s="24">
        <v>0.875</v>
      </c>
      <c r="G104" s="15">
        <f t="shared" si="3"/>
        <v>0.16666666666666663</v>
      </c>
      <c r="H104" s="21" t="s">
        <v>260</v>
      </c>
      <c r="I104" t="s">
        <v>410</v>
      </c>
      <c r="J104">
        <v>171989</v>
      </c>
      <c r="L104">
        <v>2</v>
      </c>
      <c r="M104" t="s">
        <v>259</v>
      </c>
    </row>
    <row r="105" spans="1:13" x14ac:dyDescent="0.2">
      <c r="A105" t="s">
        <v>52</v>
      </c>
      <c r="B105" t="s">
        <v>252</v>
      </c>
      <c r="C105" s="12" t="s">
        <v>106</v>
      </c>
      <c r="D105" s="13">
        <v>46086</v>
      </c>
      <c r="E105" s="14">
        <v>0.81597222222222221</v>
      </c>
      <c r="F105" s="24">
        <v>0.84722222222222221</v>
      </c>
      <c r="G105" s="15">
        <f t="shared" si="3"/>
        <v>3.125E-2</v>
      </c>
      <c r="H105" s="21" t="s">
        <v>261</v>
      </c>
      <c r="I105" t="s">
        <v>410</v>
      </c>
      <c r="J105">
        <v>172107</v>
      </c>
      <c r="L105">
        <v>1</v>
      </c>
      <c r="M105" t="s">
        <v>262</v>
      </c>
    </row>
    <row r="106" spans="1:13" ht="25.5" x14ac:dyDescent="0.2">
      <c r="A106" t="s">
        <v>52</v>
      </c>
      <c r="B106" t="s">
        <v>252</v>
      </c>
      <c r="C106" s="12" t="s">
        <v>11</v>
      </c>
      <c r="D106" s="13">
        <v>46089</v>
      </c>
      <c r="E106" s="14">
        <v>0.57986111111111116</v>
      </c>
      <c r="F106" s="24">
        <v>0.71527777777777779</v>
      </c>
      <c r="G106" s="15">
        <f t="shared" si="3"/>
        <v>0.13541666666666663</v>
      </c>
      <c r="H106" s="22" t="s">
        <v>263</v>
      </c>
      <c r="I106" t="s">
        <v>410</v>
      </c>
      <c r="J106">
        <v>172300</v>
      </c>
      <c r="L106">
        <v>1</v>
      </c>
      <c r="M106" t="s">
        <v>264</v>
      </c>
    </row>
    <row r="107" spans="1:13" x14ac:dyDescent="0.2">
      <c r="A107" t="s">
        <v>52</v>
      </c>
      <c r="B107" t="s">
        <v>252</v>
      </c>
      <c r="C107" s="12" t="s">
        <v>71</v>
      </c>
      <c r="D107" s="13">
        <v>46097</v>
      </c>
      <c r="E107" s="14">
        <v>0.70833333333333337</v>
      </c>
      <c r="F107" s="24">
        <v>0.79861111111111116</v>
      </c>
      <c r="G107" s="15">
        <f t="shared" si="3"/>
        <v>9.027777777777779E-2</v>
      </c>
      <c r="H107" s="21" t="s">
        <v>265</v>
      </c>
      <c r="I107" t="s">
        <v>410</v>
      </c>
      <c r="J107">
        <v>172792</v>
      </c>
      <c r="L107">
        <v>1</v>
      </c>
      <c r="M107" t="s">
        <v>266</v>
      </c>
    </row>
    <row r="108" spans="1:13" ht="25.5" x14ac:dyDescent="0.2">
      <c r="A108" t="s">
        <v>52</v>
      </c>
      <c r="B108" t="s">
        <v>252</v>
      </c>
      <c r="C108" s="12" t="s">
        <v>75</v>
      </c>
      <c r="D108" s="13">
        <v>46098</v>
      </c>
      <c r="E108" s="14">
        <v>0.71527777777777779</v>
      </c>
      <c r="F108" s="24">
        <v>0.83750000000000002</v>
      </c>
      <c r="G108" s="15">
        <f t="shared" si="3"/>
        <v>0.12222222222222223</v>
      </c>
      <c r="H108" s="22" t="s">
        <v>267</v>
      </c>
      <c r="I108" t="s">
        <v>409</v>
      </c>
      <c r="J108">
        <v>172891</v>
      </c>
      <c r="L108">
        <v>2</v>
      </c>
      <c r="M108" t="s">
        <v>268</v>
      </c>
    </row>
    <row r="109" spans="1:13" x14ac:dyDescent="0.2">
      <c r="A109" t="s">
        <v>52</v>
      </c>
      <c r="B109" t="s">
        <v>252</v>
      </c>
      <c r="C109" s="12" t="s">
        <v>98</v>
      </c>
      <c r="D109" s="13">
        <v>46101</v>
      </c>
      <c r="E109" s="14">
        <v>0.70833333333333337</v>
      </c>
      <c r="F109" s="24">
        <v>0.76527777777777772</v>
      </c>
      <c r="G109" s="15">
        <f t="shared" si="3"/>
        <v>5.6944444444444353E-2</v>
      </c>
      <c r="H109" s="21" t="s">
        <v>269</v>
      </c>
      <c r="I109" t="s">
        <v>409</v>
      </c>
      <c r="J109">
        <v>173118</v>
      </c>
      <c r="L109">
        <v>2</v>
      </c>
      <c r="M109" t="s">
        <v>270</v>
      </c>
    </row>
    <row r="110" spans="1:13" ht="25.5" x14ac:dyDescent="0.2">
      <c r="A110" t="s">
        <v>52</v>
      </c>
      <c r="B110" t="s">
        <v>271</v>
      </c>
      <c r="C110" s="12" t="s">
        <v>8</v>
      </c>
      <c r="D110" s="13">
        <v>46102</v>
      </c>
      <c r="E110" s="14">
        <v>0.50694444444444442</v>
      </c>
      <c r="F110" s="24">
        <v>0.64166666666666672</v>
      </c>
      <c r="G110" s="15">
        <f t="shared" si="3"/>
        <v>0.1347222222222223</v>
      </c>
      <c r="H110" s="22" t="s">
        <v>272</v>
      </c>
      <c r="I110" t="s">
        <v>415</v>
      </c>
      <c r="J110">
        <v>173212</v>
      </c>
      <c r="L110">
        <v>5</v>
      </c>
      <c r="M110" t="s">
        <v>273</v>
      </c>
    </row>
    <row r="111" spans="1:13" x14ac:dyDescent="0.2">
      <c r="A111" t="s">
        <v>52</v>
      </c>
      <c r="B111" t="s">
        <v>271</v>
      </c>
      <c r="C111" s="12" t="s">
        <v>8</v>
      </c>
      <c r="D111" s="13">
        <v>46102</v>
      </c>
      <c r="E111" s="14">
        <v>0.6479166666666667</v>
      </c>
      <c r="F111" s="24">
        <v>0.7</v>
      </c>
      <c r="G111" s="15">
        <f t="shared" si="3"/>
        <v>5.2083333333333259E-2</v>
      </c>
      <c r="H111" s="21" t="s">
        <v>274</v>
      </c>
      <c r="I111" t="s">
        <v>410</v>
      </c>
      <c r="J111">
        <v>173212</v>
      </c>
      <c r="L111">
        <v>2</v>
      </c>
      <c r="M111" t="s">
        <v>273</v>
      </c>
    </row>
    <row r="112" spans="1:13" ht="25.5" x14ac:dyDescent="0.2">
      <c r="A112" t="s">
        <v>53</v>
      </c>
      <c r="B112" t="s">
        <v>275</v>
      </c>
      <c r="C112" s="12" t="s">
        <v>11</v>
      </c>
      <c r="D112" s="13">
        <v>46082</v>
      </c>
      <c r="E112" s="14">
        <v>0.52013888888888893</v>
      </c>
      <c r="F112" s="24">
        <v>0.62847222222222221</v>
      </c>
      <c r="G112" s="15">
        <f t="shared" si="3"/>
        <v>0.10833333333333328</v>
      </c>
      <c r="H112" s="22" t="s">
        <v>276</v>
      </c>
      <c r="I112" t="s">
        <v>410</v>
      </c>
      <c r="J112">
        <v>171751</v>
      </c>
      <c r="L112">
        <v>4</v>
      </c>
      <c r="M112" t="s">
        <v>277</v>
      </c>
    </row>
    <row r="113" spans="1:13" x14ac:dyDescent="0.2">
      <c r="A113" t="s">
        <v>53</v>
      </c>
      <c r="B113" t="s">
        <v>275</v>
      </c>
      <c r="C113" s="12" t="s">
        <v>11</v>
      </c>
      <c r="D113" s="13">
        <v>46082</v>
      </c>
      <c r="E113" s="14">
        <v>0.84722222222222221</v>
      </c>
      <c r="F113" s="24">
        <v>0.91805555555555551</v>
      </c>
      <c r="G113" s="15">
        <f t="shared" si="3"/>
        <v>7.0833333333333304E-2</v>
      </c>
      <c r="H113" s="21" t="s">
        <v>278</v>
      </c>
      <c r="I113" t="s">
        <v>409</v>
      </c>
      <c r="J113">
        <v>171751</v>
      </c>
      <c r="L113">
        <v>3</v>
      </c>
      <c r="M113" t="s">
        <v>277</v>
      </c>
    </row>
    <row r="114" spans="1:13" x14ac:dyDescent="0.2">
      <c r="A114" t="s">
        <v>53</v>
      </c>
      <c r="B114" t="s">
        <v>279</v>
      </c>
      <c r="C114" s="12" t="s">
        <v>71</v>
      </c>
      <c r="D114" s="13">
        <v>46083</v>
      </c>
      <c r="E114" s="14">
        <v>0.70833333333333337</v>
      </c>
      <c r="F114" s="24">
        <v>0.75208333333333333</v>
      </c>
      <c r="G114" s="15">
        <f t="shared" si="3"/>
        <v>4.3749999999999956E-2</v>
      </c>
      <c r="H114" s="21" t="s">
        <v>280</v>
      </c>
      <c r="I114" t="s">
        <v>410</v>
      </c>
      <c r="J114">
        <v>171797</v>
      </c>
      <c r="L114">
        <v>2</v>
      </c>
      <c r="M114" t="s">
        <v>281</v>
      </c>
    </row>
    <row r="115" spans="1:13" x14ac:dyDescent="0.2">
      <c r="A115" t="s">
        <v>53</v>
      </c>
      <c r="B115" t="s">
        <v>282</v>
      </c>
      <c r="C115" s="12" t="s">
        <v>106</v>
      </c>
      <c r="D115" s="13">
        <v>46086</v>
      </c>
      <c r="E115" s="14">
        <v>0.70833333333333337</v>
      </c>
      <c r="F115" s="24">
        <v>0.75208333333333333</v>
      </c>
      <c r="G115" s="15">
        <f t="shared" si="3"/>
        <v>4.3749999999999956E-2</v>
      </c>
      <c r="H115" s="21" t="s">
        <v>283</v>
      </c>
      <c r="I115" t="s">
        <v>409</v>
      </c>
      <c r="J115">
        <v>172115</v>
      </c>
      <c r="L115">
        <v>2</v>
      </c>
      <c r="M115" t="s">
        <v>284</v>
      </c>
    </row>
    <row r="116" spans="1:13" ht="63.75" x14ac:dyDescent="0.2">
      <c r="A116" t="s">
        <v>53</v>
      </c>
      <c r="B116" t="s">
        <v>285</v>
      </c>
      <c r="C116" s="12" t="s">
        <v>8</v>
      </c>
      <c r="D116" s="13">
        <v>46088</v>
      </c>
      <c r="E116" s="14">
        <v>0.31527777777777777</v>
      </c>
      <c r="F116" s="24">
        <v>0.70972222222222225</v>
      </c>
      <c r="G116" s="15">
        <f t="shared" si="3"/>
        <v>0.39444444444444449</v>
      </c>
      <c r="H116" s="22" t="s">
        <v>286</v>
      </c>
      <c r="I116" t="s">
        <v>420</v>
      </c>
      <c r="J116">
        <v>172250</v>
      </c>
      <c r="L116">
        <v>7</v>
      </c>
      <c r="M116" t="s">
        <v>287</v>
      </c>
    </row>
    <row r="117" spans="1:13" ht="38.25" x14ac:dyDescent="0.2">
      <c r="A117" t="s">
        <v>53</v>
      </c>
      <c r="B117" t="s">
        <v>285</v>
      </c>
      <c r="C117" s="12" t="s">
        <v>11</v>
      </c>
      <c r="D117" s="13">
        <v>46089</v>
      </c>
      <c r="E117" s="14">
        <v>0.58263888888888893</v>
      </c>
      <c r="F117" s="24">
        <v>0.71111111111111114</v>
      </c>
      <c r="G117" s="15">
        <f t="shared" si="3"/>
        <v>0.12847222222222221</v>
      </c>
      <c r="H117" s="22" t="s">
        <v>288</v>
      </c>
      <c r="I117" t="s">
        <v>410</v>
      </c>
      <c r="J117">
        <v>172287</v>
      </c>
      <c r="L117">
        <v>4</v>
      </c>
      <c r="M117" t="s">
        <v>289</v>
      </c>
    </row>
    <row r="118" spans="1:13" x14ac:dyDescent="0.2">
      <c r="A118" t="s">
        <v>53</v>
      </c>
      <c r="B118" t="s">
        <v>290</v>
      </c>
      <c r="C118" s="12" t="s">
        <v>75</v>
      </c>
      <c r="D118" s="13">
        <v>46091</v>
      </c>
      <c r="E118" s="14">
        <v>0.70833333333333337</v>
      </c>
      <c r="F118" s="24">
        <v>0.80277777777777781</v>
      </c>
      <c r="G118" s="15">
        <f t="shared" si="3"/>
        <v>9.4444444444444442E-2</v>
      </c>
      <c r="H118" s="21" t="s">
        <v>291</v>
      </c>
      <c r="I118" t="s">
        <v>409</v>
      </c>
      <c r="J118">
        <v>172409</v>
      </c>
      <c r="L118">
        <v>3</v>
      </c>
      <c r="M118" t="s">
        <v>292</v>
      </c>
    </row>
    <row r="119" spans="1:13" x14ac:dyDescent="0.2">
      <c r="A119" t="s">
        <v>53</v>
      </c>
      <c r="B119" t="s">
        <v>293</v>
      </c>
      <c r="C119" s="12" t="s">
        <v>8</v>
      </c>
      <c r="D119" s="13">
        <v>46095</v>
      </c>
      <c r="E119" s="14">
        <v>4.4444444444444446E-2</v>
      </c>
      <c r="F119" s="24">
        <v>8.6805555555555552E-2</v>
      </c>
      <c r="G119" s="15">
        <f t="shared" si="3"/>
        <v>4.2361111111111106E-2</v>
      </c>
      <c r="H119" s="21" t="s">
        <v>294</v>
      </c>
      <c r="I119" t="s">
        <v>410</v>
      </c>
      <c r="J119">
        <v>172693</v>
      </c>
      <c r="L119">
        <v>3</v>
      </c>
      <c r="M119" t="s">
        <v>295</v>
      </c>
    </row>
    <row r="120" spans="1:13" ht="25.5" x14ac:dyDescent="0.2">
      <c r="A120" t="s">
        <v>53</v>
      </c>
      <c r="B120" t="s">
        <v>296</v>
      </c>
      <c r="C120" s="12" t="s">
        <v>8</v>
      </c>
      <c r="D120" s="13">
        <v>46095</v>
      </c>
      <c r="E120" s="14">
        <v>0.32847222222222222</v>
      </c>
      <c r="F120" s="24">
        <v>0.7368055555555556</v>
      </c>
      <c r="G120" s="15">
        <f t="shared" si="3"/>
        <v>0.40833333333333338</v>
      </c>
      <c r="H120" s="22" t="s">
        <v>297</v>
      </c>
      <c r="I120" t="s">
        <v>410</v>
      </c>
      <c r="J120">
        <v>172693</v>
      </c>
      <c r="L120">
        <v>6</v>
      </c>
      <c r="M120" t="s">
        <v>295</v>
      </c>
    </row>
    <row r="121" spans="1:13" x14ac:dyDescent="0.2">
      <c r="A121" t="s">
        <v>53</v>
      </c>
      <c r="B121" t="s">
        <v>293</v>
      </c>
      <c r="C121" s="12" t="s">
        <v>11</v>
      </c>
      <c r="D121" s="13">
        <v>46096</v>
      </c>
      <c r="E121" s="14">
        <v>0.37152777777777779</v>
      </c>
      <c r="F121" s="24">
        <v>0.54166666666666663</v>
      </c>
      <c r="G121" s="15">
        <f t="shared" si="3"/>
        <v>0.17013888888888884</v>
      </c>
      <c r="H121" s="21" t="s">
        <v>298</v>
      </c>
      <c r="I121" t="s">
        <v>410</v>
      </c>
      <c r="J121">
        <v>172909</v>
      </c>
      <c r="L121">
        <v>7</v>
      </c>
      <c r="M121" t="s">
        <v>299</v>
      </c>
    </row>
    <row r="122" spans="1:13" ht="25.5" x14ac:dyDescent="0.2">
      <c r="A122" t="s">
        <v>53</v>
      </c>
      <c r="B122" t="s">
        <v>293</v>
      </c>
      <c r="C122" s="12" t="s">
        <v>11</v>
      </c>
      <c r="D122" s="13">
        <v>46096</v>
      </c>
      <c r="E122" s="14">
        <v>0.58333333333333337</v>
      </c>
      <c r="F122" s="24">
        <v>0.77083333333333337</v>
      </c>
      <c r="G122" s="15">
        <f t="shared" si="3"/>
        <v>0.1875</v>
      </c>
      <c r="H122" s="22" t="s">
        <v>300</v>
      </c>
      <c r="I122" t="s">
        <v>410</v>
      </c>
      <c r="J122">
        <v>172909</v>
      </c>
      <c r="L122">
        <v>7</v>
      </c>
      <c r="M122" t="s">
        <v>299</v>
      </c>
    </row>
    <row r="123" spans="1:13" x14ac:dyDescent="0.2">
      <c r="A123" t="s">
        <v>53</v>
      </c>
      <c r="B123" t="s">
        <v>301</v>
      </c>
      <c r="C123" s="12" t="s">
        <v>71</v>
      </c>
      <c r="D123" s="13">
        <v>46097</v>
      </c>
      <c r="E123" s="14">
        <v>0.81111111111111112</v>
      </c>
      <c r="F123" s="24">
        <v>0.83194444444444449</v>
      </c>
      <c r="G123" s="15">
        <f t="shared" si="3"/>
        <v>2.083333333333337E-2</v>
      </c>
      <c r="H123" s="21" t="s">
        <v>302</v>
      </c>
      <c r="I123" t="s">
        <v>410</v>
      </c>
      <c r="J123">
        <v>172771</v>
      </c>
      <c r="L123">
        <v>3</v>
      </c>
      <c r="M123" t="s">
        <v>303</v>
      </c>
    </row>
    <row r="124" spans="1:13" x14ac:dyDescent="0.2">
      <c r="A124" t="s">
        <v>53</v>
      </c>
      <c r="B124" t="s">
        <v>304</v>
      </c>
      <c r="C124" s="12" t="s">
        <v>75</v>
      </c>
      <c r="D124" s="13">
        <v>46098</v>
      </c>
      <c r="E124" s="14">
        <v>0.70833333333333337</v>
      </c>
      <c r="F124" s="24">
        <v>0.75624999999999998</v>
      </c>
      <c r="G124" s="15">
        <f t="shared" si="3"/>
        <v>4.7916666666666607E-2</v>
      </c>
      <c r="H124" s="22" t="s">
        <v>305</v>
      </c>
      <c r="I124" t="s">
        <v>410</v>
      </c>
      <c r="J124">
        <v>172875</v>
      </c>
      <c r="L124">
        <v>2</v>
      </c>
      <c r="M124" t="s">
        <v>306</v>
      </c>
    </row>
    <row r="125" spans="1:13" ht="25.5" x14ac:dyDescent="0.2">
      <c r="A125" t="s">
        <v>53</v>
      </c>
      <c r="B125" t="s">
        <v>301</v>
      </c>
      <c r="C125" s="12" t="s">
        <v>106</v>
      </c>
      <c r="D125" s="13">
        <v>46100</v>
      </c>
      <c r="E125" s="14">
        <v>0.70833333333333337</v>
      </c>
      <c r="F125" s="24">
        <v>0.81458333333333333</v>
      </c>
      <c r="G125" s="15">
        <f t="shared" si="3"/>
        <v>0.10624999999999996</v>
      </c>
      <c r="H125" s="22" t="s">
        <v>307</v>
      </c>
      <c r="I125" t="s">
        <v>410</v>
      </c>
      <c r="J125">
        <v>173041</v>
      </c>
      <c r="L125">
        <v>2</v>
      </c>
      <c r="M125" t="s">
        <v>308</v>
      </c>
    </row>
    <row r="126" spans="1:13" x14ac:dyDescent="0.2">
      <c r="A126" t="s">
        <v>53</v>
      </c>
      <c r="B126" t="s">
        <v>301</v>
      </c>
      <c r="C126" s="12" t="s">
        <v>98</v>
      </c>
      <c r="D126" s="13">
        <v>46101</v>
      </c>
      <c r="E126" s="14">
        <v>0.28611111111111109</v>
      </c>
      <c r="F126" s="24">
        <v>0.33333333333333331</v>
      </c>
      <c r="G126" s="15">
        <f t="shared" si="3"/>
        <v>4.7222222222222221E-2</v>
      </c>
      <c r="H126" s="21" t="s">
        <v>309</v>
      </c>
      <c r="I126" t="s">
        <v>410</v>
      </c>
      <c r="J126">
        <v>173109</v>
      </c>
      <c r="L126">
        <v>1</v>
      </c>
      <c r="M126" t="s">
        <v>310</v>
      </c>
    </row>
    <row r="127" spans="1:13" x14ac:dyDescent="0.2">
      <c r="A127" t="s">
        <v>53</v>
      </c>
      <c r="B127" t="s">
        <v>285</v>
      </c>
      <c r="C127" s="12" t="s">
        <v>98</v>
      </c>
      <c r="D127" s="13">
        <v>46101</v>
      </c>
      <c r="E127" s="14">
        <v>0.82847222222222228</v>
      </c>
      <c r="F127" s="24">
        <v>0.85902777777777772</v>
      </c>
      <c r="G127" s="15">
        <f t="shared" si="3"/>
        <v>3.0555555555555447E-2</v>
      </c>
      <c r="H127" s="22" t="s">
        <v>311</v>
      </c>
      <c r="I127" t="s">
        <v>410</v>
      </c>
      <c r="J127">
        <v>173109</v>
      </c>
      <c r="L127">
        <v>3</v>
      </c>
      <c r="M127" t="s">
        <v>310</v>
      </c>
    </row>
    <row r="128" spans="1:13" x14ac:dyDescent="0.2">
      <c r="A128" t="s">
        <v>55</v>
      </c>
      <c r="B128" t="s">
        <v>312</v>
      </c>
      <c r="C128" s="12" t="s">
        <v>11</v>
      </c>
      <c r="D128" s="13">
        <v>46082</v>
      </c>
      <c r="E128" s="14">
        <v>0.51875000000000004</v>
      </c>
      <c r="F128" s="24">
        <v>0.60277777777777775</v>
      </c>
      <c r="G128" s="15">
        <f t="shared" si="3"/>
        <v>8.4027777777777701E-2</v>
      </c>
      <c r="H128" s="21" t="s">
        <v>313</v>
      </c>
      <c r="I128" t="s">
        <v>410</v>
      </c>
      <c r="J128">
        <v>171753</v>
      </c>
      <c r="L128">
        <v>3</v>
      </c>
      <c r="M128" t="s">
        <v>314</v>
      </c>
    </row>
    <row r="129" spans="1:13" x14ac:dyDescent="0.2">
      <c r="A129" t="s">
        <v>55</v>
      </c>
      <c r="B129" t="s">
        <v>312</v>
      </c>
      <c r="C129" s="12" t="s">
        <v>11</v>
      </c>
      <c r="D129" s="13">
        <v>46082</v>
      </c>
      <c r="E129" s="14">
        <v>0.66597222222222219</v>
      </c>
      <c r="F129" s="24">
        <v>0.79166666666666663</v>
      </c>
      <c r="G129" s="15">
        <f t="shared" si="3"/>
        <v>0.12569444444444444</v>
      </c>
      <c r="H129" s="22" t="s">
        <v>315</v>
      </c>
      <c r="I129" t="s">
        <v>410</v>
      </c>
      <c r="J129">
        <v>171753</v>
      </c>
      <c r="L129">
        <v>3</v>
      </c>
      <c r="M129" t="s">
        <v>314</v>
      </c>
    </row>
    <row r="130" spans="1:13" ht="25.5" x14ac:dyDescent="0.2">
      <c r="A130" t="s">
        <v>55</v>
      </c>
      <c r="B130" t="s">
        <v>312</v>
      </c>
      <c r="C130" s="12" t="s">
        <v>11</v>
      </c>
      <c r="D130" s="13">
        <v>46082</v>
      </c>
      <c r="E130" s="14">
        <v>0.84513888888888888</v>
      </c>
      <c r="F130" s="24">
        <v>0.94791666666666663</v>
      </c>
      <c r="G130" s="15">
        <f t="shared" ref="G130:G161" si="4">F130-E130</f>
        <v>0.10277777777777775</v>
      </c>
      <c r="H130" s="22" t="s">
        <v>316</v>
      </c>
      <c r="I130" t="s">
        <v>410</v>
      </c>
      <c r="J130">
        <v>171753</v>
      </c>
      <c r="L130">
        <v>1</v>
      </c>
      <c r="M130" t="s">
        <v>314</v>
      </c>
    </row>
    <row r="131" spans="1:13" ht="25.5" x14ac:dyDescent="0.2">
      <c r="A131" t="s">
        <v>55</v>
      </c>
      <c r="B131" t="s">
        <v>317</v>
      </c>
      <c r="C131" s="12" t="s">
        <v>71</v>
      </c>
      <c r="D131" s="13">
        <v>46083</v>
      </c>
      <c r="E131" s="14">
        <v>0.70833333333333337</v>
      </c>
      <c r="F131" s="24">
        <v>0.75347222222222221</v>
      </c>
      <c r="G131" s="15">
        <f t="shared" si="4"/>
        <v>4.513888888888884E-2</v>
      </c>
      <c r="H131" s="22" t="s">
        <v>318</v>
      </c>
      <c r="I131" t="s">
        <v>410</v>
      </c>
      <c r="J131">
        <v>171814</v>
      </c>
      <c r="L131">
        <v>2</v>
      </c>
      <c r="M131" t="s">
        <v>319</v>
      </c>
    </row>
    <row r="132" spans="1:13" ht="25.5" x14ac:dyDescent="0.2">
      <c r="A132" t="s">
        <v>55</v>
      </c>
      <c r="B132" t="s">
        <v>317</v>
      </c>
      <c r="C132" s="12" t="s">
        <v>75</v>
      </c>
      <c r="D132" s="13">
        <v>46084</v>
      </c>
      <c r="E132" s="14">
        <v>0.70833333333333337</v>
      </c>
      <c r="F132" s="24">
        <v>0.81527777777777777</v>
      </c>
      <c r="G132" s="15">
        <f t="shared" si="4"/>
        <v>0.1069444444444444</v>
      </c>
      <c r="H132" s="22" t="s">
        <v>320</v>
      </c>
      <c r="I132" t="s">
        <v>410</v>
      </c>
      <c r="J132">
        <v>171926</v>
      </c>
      <c r="L132">
        <v>3</v>
      </c>
      <c r="M132" t="s">
        <v>321</v>
      </c>
    </row>
    <row r="133" spans="1:13" x14ac:dyDescent="0.2">
      <c r="A133" t="s">
        <v>55</v>
      </c>
      <c r="B133" t="s">
        <v>322</v>
      </c>
      <c r="C133" s="12" t="s">
        <v>79</v>
      </c>
      <c r="D133" s="13">
        <v>46085</v>
      </c>
      <c r="E133" s="14">
        <v>0.81319444444444444</v>
      </c>
      <c r="F133" s="24">
        <v>0.86875000000000002</v>
      </c>
      <c r="G133" s="15">
        <f t="shared" si="4"/>
        <v>5.555555555555558E-2</v>
      </c>
      <c r="H133" s="21" t="s">
        <v>323</v>
      </c>
      <c r="I133" t="s">
        <v>410</v>
      </c>
      <c r="J133">
        <v>172010</v>
      </c>
      <c r="L133">
        <v>3</v>
      </c>
      <c r="M133" t="s">
        <v>324</v>
      </c>
    </row>
    <row r="134" spans="1:13" x14ac:dyDescent="0.2">
      <c r="A134" t="s">
        <v>55</v>
      </c>
      <c r="B134" t="s">
        <v>317</v>
      </c>
      <c r="C134" s="12" t="s">
        <v>106</v>
      </c>
      <c r="D134" s="13">
        <v>46086</v>
      </c>
      <c r="E134" s="14">
        <v>0.70833333333333337</v>
      </c>
      <c r="F134" s="24">
        <v>0.75208333333333333</v>
      </c>
      <c r="G134" s="15">
        <f t="shared" si="4"/>
        <v>4.3749999999999956E-2</v>
      </c>
      <c r="H134" s="21" t="s">
        <v>325</v>
      </c>
      <c r="I134" t="s">
        <v>410</v>
      </c>
      <c r="J134">
        <v>172104</v>
      </c>
      <c r="L134">
        <v>2</v>
      </c>
      <c r="M134" t="s">
        <v>326</v>
      </c>
    </row>
    <row r="135" spans="1:13" x14ac:dyDescent="0.2">
      <c r="A135" t="s">
        <v>55</v>
      </c>
      <c r="B135" t="s">
        <v>327</v>
      </c>
      <c r="C135" s="12" t="s">
        <v>98</v>
      </c>
      <c r="D135" s="13">
        <v>46087</v>
      </c>
      <c r="E135" s="14">
        <v>0.80486111111111114</v>
      </c>
      <c r="F135" s="24">
        <v>0.86041666666666672</v>
      </c>
      <c r="G135" s="15">
        <f t="shared" si="4"/>
        <v>5.555555555555558E-2</v>
      </c>
      <c r="H135" s="21" t="s">
        <v>328</v>
      </c>
      <c r="I135" t="s">
        <v>410</v>
      </c>
      <c r="J135">
        <v>172194</v>
      </c>
      <c r="L135">
        <v>3</v>
      </c>
      <c r="M135" t="s">
        <v>329</v>
      </c>
    </row>
    <row r="136" spans="1:13" ht="38.25" x14ac:dyDescent="0.2">
      <c r="A136" t="s">
        <v>55</v>
      </c>
      <c r="B136" t="s">
        <v>327</v>
      </c>
      <c r="C136" s="12" t="s">
        <v>8</v>
      </c>
      <c r="D136" s="13">
        <v>46088</v>
      </c>
      <c r="E136" s="14">
        <v>0.47361111111111109</v>
      </c>
      <c r="F136" s="24">
        <v>0.63958333333333328</v>
      </c>
      <c r="G136" s="15">
        <f t="shared" si="4"/>
        <v>0.16597222222222219</v>
      </c>
      <c r="H136" s="22" t="s">
        <v>330</v>
      </c>
      <c r="I136" t="s">
        <v>409</v>
      </c>
      <c r="J136">
        <v>172256</v>
      </c>
      <c r="L136">
        <v>6</v>
      </c>
      <c r="M136" t="s">
        <v>331</v>
      </c>
    </row>
    <row r="137" spans="1:13" x14ac:dyDescent="0.2">
      <c r="A137" t="s">
        <v>55</v>
      </c>
      <c r="B137" t="s">
        <v>327</v>
      </c>
      <c r="C137" s="12" t="s">
        <v>11</v>
      </c>
      <c r="D137" s="13">
        <v>46089</v>
      </c>
      <c r="E137" s="14">
        <v>0.72638888888888886</v>
      </c>
      <c r="F137" s="24">
        <v>0.81666666666666665</v>
      </c>
      <c r="G137" s="15">
        <f t="shared" si="4"/>
        <v>9.027777777777779E-2</v>
      </c>
      <c r="H137" s="21" t="s">
        <v>332</v>
      </c>
      <c r="I137" t="s">
        <v>410</v>
      </c>
      <c r="J137">
        <v>172301</v>
      </c>
      <c r="L137">
        <v>3</v>
      </c>
      <c r="M137" t="s">
        <v>333</v>
      </c>
    </row>
    <row r="138" spans="1:13" x14ac:dyDescent="0.2">
      <c r="A138" t="s">
        <v>55</v>
      </c>
      <c r="B138" t="s">
        <v>317</v>
      </c>
      <c r="C138" s="12" t="s">
        <v>106</v>
      </c>
      <c r="D138" s="13">
        <v>46093</v>
      </c>
      <c r="E138" s="14">
        <v>0.71875</v>
      </c>
      <c r="F138" s="24">
        <v>0.80972222222222223</v>
      </c>
      <c r="G138" s="15">
        <f t="shared" si="4"/>
        <v>9.0972222222222232E-2</v>
      </c>
      <c r="H138" s="21" t="s">
        <v>334</v>
      </c>
      <c r="I138" t="s">
        <v>410</v>
      </c>
      <c r="J138">
        <v>172569</v>
      </c>
      <c r="L138">
        <v>3</v>
      </c>
      <c r="M138" t="s">
        <v>335</v>
      </c>
    </row>
    <row r="139" spans="1:13" ht="38.25" x14ac:dyDescent="0.2">
      <c r="A139" t="s">
        <v>55</v>
      </c>
      <c r="B139" t="s">
        <v>336</v>
      </c>
      <c r="C139" s="12" t="s">
        <v>8</v>
      </c>
      <c r="D139" s="13">
        <v>46095</v>
      </c>
      <c r="E139" s="14">
        <v>0.26874999999999999</v>
      </c>
      <c r="F139" s="24">
        <v>0.54166666666666663</v>
      </c>
      <c r="G139" s="15">
        <f t="shared" si="4"/>
        <v>0.27291666666666664</v>
      </c>
      <c r="H139" s="22" t="s">
        <v>337</v>
      </c>
      <c r="I139" t="s">
        <v>410</v>
      </c>
      <c r="J139">
        <v>172778</v>
      </c>
      <c r="L139">
        <v>9</v>
      </c>
      <c r="M139" t="s">
        <v>338</v>
      </c>
    </row>
    <row r="140" spans="1:13" x14ac:dyDescent="0.2">
      <c r="A140" t="s">
        <v>55</v>
      </c>
      <c r="B140" t="s">
        <v>336</v>
      </c>
      <c r="C140" s="12" t="s">
        <v>8</v>
      </c>
      <c r="D140" s="13">
        <v>46095</v>
      </c>
      <c r="E140" s="14">
        <v>0.58333333333333337</v>
      </c>
      <c r="F140" s="24">
        <v>0.67152777777777772</v>
      </c>
      <c r="G140" s="15">
        <f t="shared" si="4"/>
        <v>8.8194444444444353E-2</v>
      </c>
      <c r="H140" s="22" t="s">
        <v>339</v>
      </c>
      <c r="I140" t="s">
        <v>410</v>
      </c>
      <c r="J140">
        <v>172778</v>
      </c>
      <c r="L140">
        <v>9</v>
      </c>
      <c r="M140" t="s">
        <v>338</v>
      </c>
    </row>
    <row r="141" spans="1:13" x14ac:dyDescent="0.2">
      <c r="A141" t="s">
        <v>55</v>
      </c>
      <c r="B141" t="s">
        <v>336</v>
      </c>
      <c r="C141" s="12" t="s">
        <v>8</v>
      </c>
      <c r="D141" s="13">
        <v>46095</v>
      </c>
      <c r="E141" s="14">
        <v>0.76597222222222228</v>
      </c>
      <c r="F141" s="24">
        <v>0.81041666666666667</v>
      </c>
      <c r="G141" s="15">
        <f t="shared" si="4"/>
        <v>4.4444444444444398E-2</v>
      </c>
      <c r="H141" s="21" t="s">
        <v>340</v>
      </c>
      <c r="I141" t="s">
        <v>410</v>
      </c>
      <c r="J141">
        <v>172778</v>
      </c>
      <c r="L141">
        <v>3</v>
      </c>
      <c r="M141" t="s">
        <v>338</v>
      </c>
    </row>
    <row r="142" spans="1:13" ht="25.5" x14ac:dyDescent="0.2">
      <c r="A142" t="s">
        <v>55</v>
      </c>
      <c r="B142" t="s">
        <v>336</v>
      </c>
      <c r="C142" s="12" t="s">
        <v>11</v>
      </c>
      <c r="D142" s="13">
        <v>46096</v>
      </c>
      <c r="E142" s="14">
        <v>0.33680555555555558</v>
      </c>
      <c r="F142" s="24">
        <v>0.5</v>
      </c>
      <c r="G142" s="15">
        <f t="shared" si="4"/>
        <v>0.16319444444444442</v>
      </c>
      <c r="H142" s="22" t="s">
        <v>341</v>
      </c>
      <c r="I142" t="s">
        <v>410</v>
      </c>
      <c r="J142">
        <v>172835</v>
      </c>
      <c r="L142">
        <v>5</v>
      </c>
      <c r="M142" t="s">
        <v>342</v>
      </c>
    </row>
    <row r="143" spans="1:13" ht="25.5" x14ac:dyDescent="0.2">
      <c r="A143" t="s">
        <v>55</v>
      </c>
      <c r="B143" t="s">
        <v>336</v>
      </c>
      <c r="C143" s="12" t="s">
        <v>11</v>
      </c>
      <c r="D143" s="13">
        <v>46096</v>
      </c>
      <c r="E143" s="14">
        <v>0.54166666666666663</v>
      </c>
      <c r="F143" s="24">
        <v>0.6479166666666667</v>
      </c>
      <c r="G143" s="15">
        <f t="shared" si="4"/>
        <v>0.10625000000000007</v>
      </c>
      <c r="H143" s="22" t="s">
        <v>343</v>
      </c>
      <c r="I143" t="s">
        <v>410</v>
      </c>
      <c r="J143">
        <v>172835</v>
      </c>
      <c r="L143">
        <v>5</v>
      </c>
      <c r="M143" t="s">
        <v>342</v>
      </c>
    </row>
    <row r="144" spans="1:13" x14ac:dyDescent="0.2">
      <c r="A144" t="s">
        <v>55</v>
      </c>
      <c r="B144" t="s">
        <v>344</v>
      </c>
      <c r="C144" s="12" t="s">
        <v>79</v>
      </c>
      <c r="D144" s="13">
        <v>46099</v>
      </c>
      <c r="E144" s="14">
        <v>0.30416666666666664</v>
      </c>
      <c r="F144" s="24">
        <v>0.33333333333333331</v>
      </c>
      <c r="G144" s="15">
        <f t="shared" si="4"/>
        <v>2.9166666666666674E-2</v>
      </c>
      <c r="H144" s="21" t="s">
        <v>345</v>
      </c>
      <c r="I144" t="s">
        <v>410</v>
      </c>
      <c r="J144">
        <v>172943</v>
      </c>
      <c r="L144">
        <v>2</v>
      </c>
      <c r="M144" t="s">
        <v>346</v>
      </c>
    </row>
    <row r="145" spans="1:13" x14ac:dyDescent="0.2">
      <c r="A145" t="s">
        <v>55</v>
      </c>
      <c r="B145" t="s">
        <v>347</v>
      </c>
      <c r="C145" s="12" t="s">
        <v>106</v>
      </c>
      <c r="D145" s="13">
        <v>46099</v>
      </c>
      <c r="E145" s="14">
        <v>0.82152777777777775</v>
      </c>
      <c r="F145" s="24">
        <v>0.89583333333333337</v>
      </c>
      <c r="G145" s="15">
        <f t="shared" si="4"/>
        <v>7.4305555555555625E-2</v>
      </c>
      <c r="H145" s="21" t="s">
        <v>348</v>
      </c>
      <c r="I145" t="s">
        <v>410</v>
      </c>
      <c r="J145">
        <v>173202</v>
      </c>
      <c r="L145">
        <v>3</v>
      </c>
      <c r="M145" t="s">
        <v>349</v>
      </c>
    </row>
    <row r="146" spans="1:13" x14ac:dyDescent="0.2">
      <c r="A146" t="s">
        <v>55</v>
      </c>
      <c r="B146" t="s">
        <v>347</v>
      </c>
      <c r="C146" s="12" t="s">
        <v>106</v>
      </c>
      <c r="D146" s="13">
        <v>46100</v>
      </c>
      <c r="E146" s="14">
        <v>0.83125000000000004</v>
      </c>
      <c r="F146" s="24">
        <v>0.88958333333333328</v>
      </c>
      <c r="G146" s="15">
        <f t="shared" si="4"/>
        <v>5.8333333333333237E-2</v>
      </c>
      <c r="H146" t="s">
        <v>350</v>
      </c>
      <c r="I146" t="s">
        <v>410</v>
      </c>
      <c r="J146">
        <v>173203</v>
      </c>
      <c r="L146">
        <v>3</v>
      </c>
      <c r="M146" t="s">
        <v>351</v>
      </c>
    </row>
    <row r="147" spans="1:13" ht="25.5" x14ac:dyDescent="0.2">
      <c r="A147" t="s">
        <v>55</v>
      </c>
      <c r="B147" t="s">
        <v>317</v>
      </c>
      <c r="C147" s="12" t="s">
        <v>98</v>
      </c>
      <c r="D147" s="13">
        <v>46101</v>
      </c>
      <c r="E147" s="14">
        <v>0.29166666666666669</v>
      </c>
      <c r="F147" s="24">
        <v>0.33333333333333331</v>
      </c>
      <c r="G147" s="15">
        <f t="shared" si="4"/>
        <v>4.166666666666663E-2</v>
      </c>
      <c r="H147" s="22" t="s">
        <v>352</v>
      </c>
      <c r="I147" t="s">
        <v>410</v>
      </c>
      <c r="J147">
        <v>173104</v>
      </c>
      <c r="L147">
        <v>3</v>
      </c>
      <c r="M147" t="s">
        <v>353</v>
      </c>
    </row>
    <row r="148" spans="1:13" x14ac:dyDescent="0.2">
      <c r="A148" t="s">
        <v>55</v>
      </c>
      <c r="B148" t="s">
        <v>317</v>
      </c>
      <c r="C148" s="12" t="s">
        <v>98</v>
      </c>
      <c r="D148" s="13">
        <v>46101</v>
      </c>
      <c r="E148" s="14">
        <v>0.70833333333333337</v>
      </c>
      <c r="F148" s="24">
        <v>0.79583333333333328</v>
      </c>
      <c r="G148" s="15">
        <f t="shared" si="4"/>
        <v>8.7499999999999911E-2</v>
      </c>
      <c r="H148" s="22" t="s">
        <v>354</v>
      </c>
      <c r="I148" t="s">
        <v>410</v>
      </c>
      <c r="J148">
        <v>173104</v>
      </c>
      <c r="L148">
        <v>3</v>
      </c>
      <c r="M148" t="s">
        <v>353</v>
      </c>
    </row>
    <row r="149" spans="1:13" x14ac:dyDescent="0.2">
      <c r="A149" t="s">
        <v>55</v>
      </c>
      <c r="B149" t="s">
        <v>327</v>
      </c>
      <c r="C149" s="12" t="s">
        <v>8</v>
      </c>
      <c r="D149" s="13">
        <v>46102</v>
      </c>
      <c r="E149" s="14">
        <v>4.9305555555555554E-2</v>
      </c>
      <c r="F149" s="24">
        <v>0.11597222222222223</v>
      </c>
      <c r="G149" s="15">
        <f t="shared" si="4"/>
        <v>6.666666666666668E-2</v>
      </c>
      <c r="H149" s="21" t="s">
        <v>355</v>
      </c>
      <c r="I149" t="s">
        <v>410</v>
      </c>
      <c r="J149">
        <v>173235</v>
      </c>
      <c r="L149">
        <v>6</v>
      </c>
      <c r="M149" t="s">
        <v>356</v>
      </c>
    </row>
    <row r="150" spans="1:13" ht="25.5" x14ac:dyDescent="0.2">
      <c r="A150" t="s">
        <v>55</v>
      </c>
      <c r="B150" t="s">
        <v>322</v>
      </c>
      <c r="C150" s="12" t="s">
        <v>8</v>
      </c>
      <c r="D150" s="13">
        <v>46102</v>
      </c>
      <c r="E150" s="14">
        <v>0.36736111111111114</v>
      </c>
      <c r="F150" s="24">
        <v>0.52500000000000002</v>
      </c>
      <c r="G150" s="15">
        <f t="shared" si="4"/>
        <v>0.15763888888888888</v>
      </c>
      <c r="H150" s="22" t="s">
        <v>357</v>
      </c>
      <c r="I150" t="s">
        <v>410</v>
      </c>
      <c r="J150">
        <v>173235</v>
      </c>
      <c r="L150">
        <v>5</v>
      </c>
      <c r="M150" t="s">
        <v>356</v>
      </c>
    </row>
    <row r="151" spans="1:13" ht="25.5" x14ac:dyDescent="0.2">
      <c r="A151" t="s">
        <v>55</v>
      </c>
      <c r="B151" t="s">
        <v>347</v>
      </c>
      <c r="C151" s="12" t="s">
        <v>8</v>
      </c>
      <c r="D151" s="13">
        <v>46102</v>
      </c>
      <c r="E151" s="14">
        <v>0.64236111111111116</v>
      </c>
      <c r="F151" s="24">
        <v>0.7729166666666667</v>
      </c>
      <c r="G151" s="15">
        <f t="shared" si="4"/>
        <v>0.13055555555555554</v>
      </c>
      <c r="H151" s="22" t="s">
        <v>358</v>
      </c>
      <c r="I151" t="s">
        <v>410</v>
      </c>
      <c r="J151">
        <v>173204</v>
      </c>
      <c r="L151">
        <v>3</v>
      </c>
      <c r="M151" t="s">
        <v>359</v>
      </c>
    </row>
    <row r="152" spans="1:13" x14ac:dyDescent="0.2">
      <c r="A152" t="s">
        <v>55</v>
      </c>
      <c r="B152" t="s">
        <v>347</v>
      </c>
      <c r="C152" s="12" t="s">
        <v>8</v>
      </c>
      <c r="D152" s="13">
        <v>46102</v>
      </c>
      <c r="E152" s="14">
        <v>0.80763888888888891</v>
      </c>
      <c r="F152" s="24">
        <v>0.84930555555555554</v>
      </c>
      <c r="G152" s="15">
        <f t="shared" si="4"/>
        <v>4.166666666666663E-2</v>
      </c>
      <c r="H152" s="21" t="s">
        <v>360</v>
      </c>
      <c r="I152" t="s">
        <v>409</v>
      </c>
      <c r="J152">
        <v>173204</v>
      </c>
      <c r="L152">
        <v>3</v>
      </c>
      <c r="M152" t="s">
        <v>359</v>
      </c>
    </row>
    <row r="153" spans="1:13" ht="25.5" x14ac:dyDescent="0.2">
      <c r="A153" t="s">
        <v>55</v>
      </c>
      <c r="B153" t="s">
        <v>347</v>
      </c>
      <c r="C153" s="12" t="s">
        <v>8</v>
      </c>
      <c r="D153" s="13">
        <v>46102</v>
      </c>
      <c r="E153" s="14">
        <v>0.87361111111111112</v>
      </c>
      <c r="F153" s="24">
        <v>0.9375</v>
      </c>
      <c r="G153" s="15">
        <f t="shared" si="4"/>
        <v>6.3888888888888884E-2</v>
      </c>
      <c r="H153" s="22" t="s">
        <v>361</v>
      </c>
      <c r="I153" t="s">
        <v>410</v>
      </c>
      <c r="J153">
        <v>173204</v>
      </c>
      <c r="L153">
        <v>3</v>
      </c>
      <c r="M153" t="s">
        <v>359</v>
      </c>
    </row>
    <row r="154" spans="1:13" x14ac:dyDescent="0.2">
      <c r="A154" t="s">
        <v>55</v>
      </c>
      <c r="B154" t="s">
        <v>347</v>
      </c>
      <c r="C154" s="12" t="s">
        <v>11</v>
      </c>
      <c r="D154" s="13">
        <v>46103</v>
      </c>
      <c r="E154" s="14">
        <v>0.39374999999999999</v>
      </c>
      <c r="F154" s="24">
        <v>0.5</v>
      </c>
      <c r="G154" s="15">
        <f t="shared" si="4"/>
        <v>0.10625000000000001</v>
      </c>
      <c r="H154" s="21" t="s">
        <v>362</v>
      </c>
      <c r="I154" t="s">
        <v>410</v>
      </c>
      <c r="J154">
        <v>173325</v>
      </c>
      <c r="L154">
        <v>3</v>
      </c>
      <c r="M154" t="s">
        <v>363</v>
      </c>
    </row>
    <row r="155" spans="1:13" x14ac:dyDescent="0.2">
      <c r="A155" t="s">
        <v>55</v>
      </c>
      <c r="B155" t="s">
        <v>347</v>
      </c>
      <c r="C155" s="12" t="s">
        <v>11</v>
      </c>
      <c r="D155" s="13">
        <v>46103</v>
      </c>
      <c r="E155" s="14">
        <v>0.77847222222222223</v>
      </c>
      <c r="F155" s="24">
        <v>0.86805555555555558</v>
      </c>
      <c r="G155" s="15">
        <f t="shared" si="4"/>
        <v>8.9583333333333348E-2</v>
      </c>
      <c r="H155" s="21" t="s">
        <v>364</v>
      </c>
      <c r="I155" t="s">
        <v>410</v>
      </c>
      <c r="J155">
        <v>173325</v>
      </c>
      <c r="L155">
        <v>3</v>
      </c>
      <c r="M155" t="s">
        <v>363</v>
      </c>
    </row>
    <row r="156" spans="1:13" x14ac:dyDescent="0.2">
      <c r="A156" t="s">
        <v>45</v>
      </c>
      <c r="B156" t="s">
        <v>365</v>
      </c>
      <c r="C156" s="12" t="s">
        <v>79</v>
      </c>
      <c r="D156" s="13">
        <v>46085</v>
      </c>
      <c r="E156" s="14">
        <v>0.70833333333333337</v>
      </c>
      <c r="F156" s="24">
        <v>0.77083333333333337</v>
      </c>
      <c r="G156" s="15">
        <f t="shared" si="4"/>
        <v>6.25E-2</v>
      </c>
      <c r="H156" s="21" t="s">
        <v>366</v>
      </c>
      <c r="I156" t="s">
        <v>409</v>
      </c>
      <c r="J156">
        <v>172001</v>
      </c>
      <c r="L156">
        <v>2</v>
      </c>
      <c r="M156" t="s">
        <v>367</v>
      </c>
    </row>
    <row r="157" spans="1:13" x14ac:dyDescent="0.2">
      <c r="A157" t="s">
        <v>45</v>
      </c>
      <c r="B157" t="s">
        <v>368</v>
      </c>
      <c r="C157" s="12" t="s">
        <v>106</v>
      </c>
      <c r="D157" s="13">
        <v>46086</v>
      </c>
      <c r="E157" s="14">
        <v>0.70833333333333337</v>
      </c>
      <c r="F157" s="24">
        <v>0.7583333333333333</v>
      </c>
      <c r="G157" s="15">
        <f t="shared" si="4"/>
        <v>4.9999999999999933E-2</v>
      </c>
      <c r="H157" s="21" t="s">
        <v>369</v>
      </c>
      <c r="I157" t="s">
        <v>410</v>
      </c>
      <c r="J157">
        <v>172125</v>
      </c>
      <c r="L157">
        <v>1</v>
      </c>
      <c r="M157" t="s">
        <v>370</v>
      </c>
    </row>
    <row r="158" spans="1:13" ht="38.25" x14ac:dyDescent="0.2">
      <c r="A158" t="s">
        <v>45</v>
      </c>
      <c r="B158" t="s">
        <v>371</v>
      </c>
      <c r="C158" s="12" t="s">
        <v>98</v>
      </c>
      <c r="D158" s="13">
        <v>46087</v>
      </c>
      <c r="E158" s="14">
        <v>0.70833333333333337</v>
      </c>
      <c r="F158" s="24">
        <v>0.89236111111111116</v>
      </c>
      <c r="G158" s="15">
        <f t="shared" si="4"/>
        <v>0.18402777777777779</v>
      </c>
      <c r="H158" s="22" t="s">
        <v>372</v>
      </c>
      <c r="I158" t="s">
        <v>410</v>
      </c>
      <c r="J158">
        <v>172186</v>
      </c>
      <c r="L158">
        <v>8</v>
      </c>
      <c r="M158" t="s">
        <v>373</v>
      </c>
    </row>
    <row r="159" spans="1:13" x14ac:dyDescent="0.2">
      <c r="A159" t="s">
        <v>45</v>
      </c>
      <c r="B159" t="s">
        <v>374</v>
      </c>
      <c r="C159" s="12" t="s">
        <v>106</v>
      </c>
      <c r="D159" s="13">
        <v>46093</v>
      </c>
      <c r="E159" s="14">
        <v>0.70833333333333337</v>
      </c>
      <c r="F159" s="24">
        <v>0.76111111111111107</v>
      </c>
      <c r="G159" s="15">
        <f t="shared" si="4"/>
        <v>5.2777777777777701E-2</v>
      </c>
      <c r="H159" s="21" t="s">
        <v>375</v>
      </c>
      <c r="I159" t="s">
        <v>409</v>
      </c>
      <c r="J159">
        <v>172600</v>
      </c>
      <c r="L159">
        <v>3</v>
      </c>
      <c r="M159" t="s">
        <v>376</v>
      </c>
    </row>
    <row r="160" spans="1:13" ht="25.5" x14ac:dyDescent="0.2">
      <c r="A160" t="s">
        <v>50</v>
      </c>
      <c r="B160" t="s">
        <v>377</v>
      </c>
      <c r="C160" s="12" t="s">
        <v>71</v>
      </c>
      <c r="D160" s="13">
        <v>46083</v>
      </c>
      <c r="E160" s="14">
        <v>0.71180555555555558</v>
      </c>
      <c r="F160" s="24">
        <v>0.83333333333333337</v>
      </c>
      <c r="G160" s="15">
        <f t="shared" si="4"/>
        <v>0.12152777777777779</v>
      </c>
      <c r="H160" s="22" t="s">
        <v>378</v>
      </c>
      <c r="I160" t="s">
        <v>409</v>
      </c>
      <c r="J160">
        <v>171811</v>
      </c>
      <c r="L160">
        <v>4</v>
      </c>
      <c r="M160" t="s">
        <v>379</v>
      </c>
    </row>
    <row r="161" spans="1:13" x14ac:dyDescent="0.2">
      <c r="A161" t="s">
        <v>50</v>
      </c>
      <c r="B161" t="s">
        <v>380</v>
      </c>
      <c r="C161" s="12" t="s">
        <v>79</v>
      </c>
      <c r="D161" s="13">
        <v>46085</v>
      </c>
      <c r="E161" s="14">
        <v>0.83680555555555558</v>
      </c>
      <c r="F161" s="24">
        <v>0.87916666666666665</v>
      </c>
      <c r="G161" s="15">
        <f t="shared" si="4"/>
        <v>4.2361111111111072E-2</v>
      </c>
      <c r="H161" s="21" t="s">
        <v>381</v>
      </c>
      <c r="I161" t="s">
        <v>410</v>
      </c>
      <c r="J161">
        <v>172098</v>
      </c>
      <c r="L161">
        <v>4</v>
      </c>
      <c r="M161" t="s">
        <v>382</v>
      </c>
    </row>
    <row r="162" spans="1:13" x14ac:dyDescent="0.2">
      <c r="A162" t="s">
        <v>50</v>
      </c>
      <c r="B162" t="s">
        <v>380</v>
      </c>
      <c r="C162" s="12" t="s">
        <v>79</v>
      </c>
      <c r="D162" s="13">
        <v>46085</v>
      </c>
      <c r="E162" s="14">
        <v>0.70833333333333337</v>
      </c>
      <c r="F162" s="24">
        <v>0.75</v>
      </c>
      <c r="G162" s="15">
        <f t="shared" ref="G162:G193" si="5">F162-E162</f>
        <v>4.166666666666663E-2</v>
      </c>
      <c r="H162" s="21" t="s">
        <v>383</v>
      </c>
      <c r="I162" t="s">
        <v>410</v>
      </c>
      <c r="J162">
        <v>172018</v>
      </c>
      <c r="L162">
        <v>1</v>
      </c>
      <c r="M162" t="s">
        <v>384</v>
      </c>
    </row>
    <row r="163" spans="1:13" ht="51" x14ac:dyDescent="0.2">
      <c r="A163" t="s">
        <v>50</v>
      </c>
      <c r="B163" t="s">
        <v>380</v>
      </c>
      <c r="C163" s="12" t="s">
        <v>98</v>
      </c>
      <c r="D163" s="13">
        <v>46087</v>
      </c>
      <c r="E163" s="14">
        <v>0.70833333333333337</v>
      </c>
      <c r="F163" s="24">
        <v>0.91666666666666663</v>
      </c>
      <c r="G163" s="15">
        <f t="shared" si="5"/>
        <v>0.20833333333333326</v>
      </c>
      <c r="H163" s="22" t="s">
        <v>385</v>
      </c>
      <c r="I163" t="s">
        <v>415</v>
      </c>
      <c r="J163">
        <v>172211</v>
      </c>
      <c r="L163">
        <v>6</v>
      </c>
      <c r="M163" t="s">
        <v>386</v>
      </c>
    </row>
    <row r="164" spans="1:13" ht="51" x14ac:dyDescent="0.2">
      <c r="A164" t="s">
        <v>50</v>
      </c>
      <c r="B164" t="s">
        <v>380</v>
      </c>
      <c r="C164" s="12" t="s">
        <v>8</v>
      </c>
      <c r="D164" s="13">
        <v>46088</v>
      </c>
      <c r="E164" s="14">
        <v>0.35</v>
      </c>
      <c r="F164" s="24">
        <v>0.54583333333333328</v>
      </c>
      <c r="G164" s="15">
        <f t="shared" si="5"/>
        <v>0.1958333333333333</v>
      </c>
      <c r="H164" s="22" t="s">
        <v>387</v>
      </c>
      <c r="I164" t="s">
        <v>410</v>
      </c>
      <c r="J164">
        <v>172258</v>
      </c>
      <c r="L164">
        <v>3</v>
      </c>
      <c r="M164" t="s">
        <v>388</v>
      </c>
    </row>
    <row r="165" spans="1:13" x14ac:dyDescent="0.2">
      <c r="A165" t="s">
        <v>50</v>
      </c>
      <c r="B165" t="s">
        <v>389</v>
      </c>
      <c r="C165" s="12" t="s">
        <v>8</v>
      </c>
      <c r="D165" s="13">
        <v>46088</v>
      </c>
      <c r="E165" s="14">
        <v>0.92847222222222225</v>
      </c>
      <c r="F165" s="24">
        <v>0.98958333333333337</v>
      </c>
      <c r="G165" s="15">
        <f t="shared" si="5"/>
        <v>6.1111111111111116E-2</v>
      </c>
      <c r="H165" s="21" t="s">
        <v>390</v>
      </c>
      <c r="I165" t="s">
        <v>410</v>
      </c>
      <c r="J165">
        <v>172258</v>
      </c>
      <c r="L165">
        <v>3</v>
      </c>
      <c r="M165" t="s">
        <v>388</v>
      </c>
    </row>
    <row r="166" spans="1:13" x14ac:dyDescent="0.2">
      <c r="A166" t="s">
        <v>50</v>
      </c>
      <c r="B166" t="s">
        <v>389</v>
      </c>
      <c r="C166" s="12" t="s">
        <v>11</v>
      </c>
      <c r="D166" s="13">
        <v>46089</v>
      </c>
      <c r="E166" s="14">
        <v>0.81944444444444442</v>
      </c>
      <c r="F166" s="24">
        <v>0.88888888888888884</v>
      </c>
      <c r="G166" s="15">
        <f t="shared" si="5"/>
        <v>6.944444444444442E-2</v>
      </c>
      <c r="H166" s="21" t="s">
        <v>391</v>
      </c>
      <c r="I166" t="s">
        <v>409</v>
      </c>
      <c r="J166">
        <v>172302</v>
      </c>
      <c r="L166">
        <v>4</v>
      </c>
      <c r="M166" t="s">
        <v>392</v>
      </c>
    </row>
    <row r="167" spans="1:13" x14ac:dyDescent="0.2">
      <c r="A167" t="s">
        <v>50</v>
      </c>
      <c r="B167" t="s">
        <v>393</v>
      </c>
      <c r="C167" s="12" t="s">
        <v>79</v>
      </c>
      <c r="D167" s="13">
        <v>46099</v>
      </c>
      <c r="E167" s="14">
        <v>0.71597222222222223</v>
      </c>
      <c r="F167" s="24">
        <v>0.76041666666666663</v>
      </c>
      <c r="G167" s="15">
        <f t="shared" si="5"/>
        <v>4.4444444444444398E-2</v>
      </c>
      <c r="H167" s="21" t="s">
        <v>394</v>
      </c>
      <c r="I167" t="s">
        <v>409</v>
      </c>
      <c r="J167">
        <v>172978</v>
      </c>
      <c r="L167">
        <v>2</v>
      </c>
      <c r="M167" t="s">
        <v>395</v>
      </c>
    </row>
    <row r="168" spans="1:13" ht="25.5" x14ac:dyDescent="0.2">
      <c r="A168" t="s">
        <v>54</v>
      </c>
      <c r="B168" t="s">
        <v>396</v>
      </c>
      <c r="C168" s="12" t="s">
        <v>71</v>
      </c>
      <c r="D168" s="13">
        <v>46083</v>
      </c>
      <c r="E168" s="14">
        <v>0.70833333333333337</v>
      </c>
      <c r="F168" s="24">
        <v>0.83750000000000002</v>
      </c>
      <c r="G168" s="15">
        <f t="shared" si="5"/>
        <v>0.12916666666666665</v>
      </c>
      <c r="H168" s="22" t="s">
        <v>397</v>
      </c>
      <c r="I168" t="s">
        <v>409</v>
      </c>
      <c r="J168">
        <v>171784</v>
      </c>
      <c r="L168">
        <v>4</v>
      </c>
      <c r="M168" t="s">
        <v>398</v>
      </c>
    </row>
    <row r="169" spans="1:13" x14ac:dyDescent="0.2">
      <c r="A169" t="s">
        <v>54</v>
      </c>
      <c r="B169" t="s">
        <v>396</v>
      </c>
      <c r="C169" s="12" t="s">
        <v>75</v>
      </c>
      <c r="D169" s="13">
        <v>46084</v>
      </c>
      <c r="E169" s="14">
        <v>0.83750000000000002</v>
      </c>
      <c r="F169" s="24">
        <v>0.86111111111111116</v>
      </c>
      <c r="G169" s="15">
        <f t="shared" si="5"/>
        <v>2.3611111111111138E-2</v>
      </c>
      <c r="H169" s="21" t="s">
        <v>399</v>
      </c>
      <c r="I169" t="s">
        <v>410</v>
      </c>
      <c r="J169">
        <v>171914</v>
      </c>
      <c r="L169">
        <v>1</v>
      </c>
      <c r="M169" t="s">
        <v>400</v>
      </c>
    </row>
    <row r="170" spans="1:13" x14ac:dyDescent="0.2">
      <c r="A170" t="s">
        <v>57</v>
      </c>
      <c r="B170" t="s">
        <v>401</v>
      </c>
      <c r="C170" s="12" t="s">
        <v>75</v>
      </c>
      <c r="D170" s="13">
        <v>46084</v>
      </c>
      <c r="E170" s="14">
        <v>0.70833333333333337</v>
      </c>
      <c r="F170" s="24">
        <v>0.75208333333333333</v>
      </c>
      <c r="G170" s="15">
        <f t="shared" si="5"/>
        <v>4.3749999999999956E-2</v>
      </c>
      <c r="H170" s="22" t="s">
        <v>402</v>
      </c>
      <c r="I170" t="s">
        <v>409</v>
      </c>
      <c r="J170">
        <v>171947</v>
      </c>
      <c r="L170">
        <v>3</v>
      </c>
      <c r="M170" t="s">
        <v>403</v>
      </c>
    </row>
    <row r="171" spans="1:13" x14ac:dyDescent="0.2">
      <c r="A171" t="s">
        <v>57</v>
      </c>
      <c r="B171" t="s">
        <v>404</v>
      </c>
      <c r="C171" s="12" t="s">
        <v>75</v>
      </c>
      <c r="D171" s="13">
        <v>46091</v>
      </c>
      <c r="E171" s="14">
        <v>0.94166666666666665</v>
      </c>
      <c r="F171" s="24">
        <v>0.99791666666666667</v>
      </c>
      <c r="G171" s="15">
        <f t="shared" si="5"/>
        <v>5.6250000000000022E-2</v>
      </c>
      <c r="H171" s="21" t="s">
        <v>405</v>
      </c>
      <c r="I171" t="s">
        <v>410</v>
      </c>
      <c r="J171">
        <v>172483</v>
      </c>
      <c r="L171">
        <v>3</v>
      </c>
      <c r="M171" t="s">
        <v>403</v>
      </c>
    </row>
    <row r="172" spans="1:13" x14ac:dyDescent="0.2">
      <c r="A172" t="s">
        <v>57</v>
      </c>
      <c r="B172" t="s">
        <v>404</v>
      </c>
      <c r="C172" s="12" t="s">
        <v>98</v>
      </c>
      <c r="D172" s="13">
        <v>46094</v>
      </c>
      <c r="E172" s="14">
        <v>0.27847222222222223</v>
      </c>
      <c r="F172" s="24">
        <v>0.33333333333333331</v>
      </c>
      <c r="G172" s="15">
        <f t="shared" si="5"/>
        <v>5.4861111111111083E-2</v>
      </c>
      <c r="H172" s="21" t="s">
        <v>406</v>
      </c>
      <c r="I172" t="s">
        <v>410</v>
      </c>
      <c r="J172">
        <v>172663</v>
      </c>
      <c r="L172">
        <v>1</v>
      </c>
      <c r="M172" t="s">
        <v>407</v>
      </c>
    </row>
    <row r="173" spans="1:13" ht="25.5" x14ac:dyDescent="0.2">
      <c r="A173" t="s">
        <v>57</v>
      </c>
      <c r="B173" t="s">
        <v>404</v>
      </c>
      <c r="C173" s="12" t="s">
        <v>98</v>
      </c>
      <c r="D173" s="13">
        <v>46094</v>
      </c>
      <c r="E173" s="14">
        <v>0.71875</v>
      </c>
      <c r="F173" s="24">
        <v>0.81666666666666665</v>
      </c>
      <c r="G173" s="15">
        <f t="shared" si="5"/>
        <v>9.7916666666666652E-2</v>
      </c>
      <c r="H173" s="22" t="s">
        <v>408</v>
      </c>
      <c r="I173" t="s">
        <v>415</v>
      </c>
      <c r="J173">
        <v>172663</v>
      </c>
      <c r="L173">
        <v>2</v>
      </c>
      <c r="M173" t="s">
        <v>407</v>
      </c>
    </row>
    <row r="175" spans="1:13" x14ac:dyDescent="0.2">
      <c r="G175" s="23"/>
    </row>
  </sheetData>
  <autoFilter ref="A1:M173" xr:uid="{00000000-0009-0000-0000-000001000000}"/>
  <conditionalFormatting sqref="A1:M1048576">
    <cfRule type="expression" dxfId="7" priority="2">
      <formula>($A1&lt;&gt;$A2)</formula>
    </cfRule>
    <cfRule type="expression" dxfId="6" priority="3">
      <formula>($C1="sábado")</formula>
    </cfRule>
    <cfRule type="expression" dxfId="5" priority="4">
      <formula>($C1="domingo")</formula>
    </cfRule>
    <cfRule type="expression" dxfId="2" priority="7">
      <formula>($E1&lt;&gt;"")*( HOUR($E1)&lt;6)</formula>
    </cfRule>
  </conditionalFormatting>
  <conditionalFormatting sqref="E1:E1048576">
    <cfRule type="expression" dxfId="1" priority="9">
      <formula>AND(HOUR($E1)&lt;17, HOUR($F1)&gt;17)</formula>
    </cfRule>
  </conditionalFormatting>
  <conditionalFormatting sqref="F1:F1048576">
    <cfRule type="expression" dxfId="0" priority="8">
      <formula>AND(HOUR($E1)&lt;8, HOUR($F1)&gt;8)</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extLst>
    <ext xmlns:x14="http://schemas.microsoft.com/office/spreadsheetml/2009/9/main" uri="{78C0D931-6437-407d-A8EE-F0AAD7539E65}">
      <x14:conditionalFormattings>
        <x14:conditionalFormatting xmlns:xm="http://schemas.microsoft.com/office/excel/2006/main">
          <x14:cfRule type="expression" priority="5" id="{C485223C-389F-49AE-9C8C-F04DF0C5363F}">
            <xm:f>COUNTIF(Revisar_primero!$B$2:$B$14,$D1)&gt;0</xm:f>
            <x14:dxf>
              <fill>
                <patternFill>
                  <bgColor theme="4" tint="0.79989013336588644"/>
                </patternFill>
              </fill>
            </x14:dxf>
          </x14:cfRule>
          <x14:cfRule type="expression" priority="6" id="{9AE9C282-233D-441B-825D-55104018635F}">
            <xm:f>MATCH(1,(Revisar_primero!$A$15:$A$28=$A1)*(Revisar_primero!$B$15:$B$28=$D1),0)</xm:f>
            <x14:dxf>
              <fill>
                <patternFill>
                  <bgColor theme="4" tint="0.79989013336588644"/>
                </patternFill>
              </fill>
            </x14:dxf>
          </x14:cfRule>
          <xm:sqref>A1:M1048576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19</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Revisar_primero</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4</cp:revision>
  <dcterms:created xsi:type="dcterms:W3CDTF">2026-03-29T13:03:07Z</dcterms:created>
  <dcterms:modified xsi:type="dcterms:W3CDTF">2026-03-31T21:30:13Z</dcterms:modified>
  <dc:language>es-EC</dc:language>
</cp:coreProperties>
</file>