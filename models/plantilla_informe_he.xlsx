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192.168.122.1\SharedVM\[ 09 ] epalacios\"/>
    </mc:Choice>
  </mc:AlternateContent>
  <xr:revisionPtr revIDLastSave="0" documentId="13_ncr:1_{1AEEF6FB-0BE0-41BB-AA5B-A2C9A6E95DEF}" xr6:coauthVersionLast="47" xr6:coauthVersionMax="47" xr10:uidLastSave="{00000000-0000-0000-0000-000000000000}"/>
  <bookViews>
    <workbookView xWindow="-120" yWindow="-120" windowWidth="26820" windowHeight="15240" tabRatio="500" xr2:uid="{00000000-000D-0000-FFFF-FFFF00000000}"/>
  </bookViews>
  <sheets>
    <sheet name="HORAS_EXTRA" sheetId="1" r:id="rId1"/>
  </sheets>
  <definedNames>
    <definedName name="_Fill">NA()</definedName>
    <definedName name="_Key1">NA()</definedName>
    <definedName name="_Order1">255</definedName>
    <definedName name="_Regression_Int" localSheetId="0">1</definedName>
    <definedName name="_Sort">NA()</definedName>
    <definedName name="_xlfn__FV">#REF!</definedName>
    <definedName name="_xlfn_IFERROR">#REF!</definedName>
    <definedName name="AREA">NA()</definedName>
    <definedName name="AREA_2000">NA()</definedName>
    <definedName name="_xlnm.Print_Area" localSheetId="0">HORAS_EXTRA!$A$1:$J$36</definedName>
    <definedName name="Imprimir_área_IM" localSheetId="0">NA()</definedName>
    <definedName name="Imprimir_títulos_IM" localSheetId="0">NA()</definedName>
    <definedName name="LISTAMAT">NA()</definedName>
    <definedName name="Listamateriales">NA()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I16" i="1" l="1"/>
  <c r="I3" i="1" s="1"/>
  <c r="I36" i="1"/>
  <c r="A36" i="1"/>
  <c r="I35" i="1"/>
  <c r="A35" i="1"/>
  <c r="I34" i="1"/>
  <c r="A34" i="1"/>
  <c r="I33" i="1"/>
  <c r="A33" i="1"/>
  <c r="I32" i="1"/>
  <c r="A32" i="1"/>
  <c r="I31" i="1"/>
  <c r="A31" i="1"/>
  <c r="I30" i="1"/>
  <c r="A30" i="1"/>
  <c r="I29" i="1"/>
  <c r="A29" i="1"/>
  <c r="I28" i="1"/>
  <c r="A28" i="1"/>
  <c r="I27" i="1"/>
  <c r="A27" i="1"/>
  <c r="I26" i="1"/>
  <c r="A26" i="1"/>
  <c r="I25" i="1"/>
  <c r="A25" i="1"/>
  <c r="I24" i="1"/>
  <c r="A24" i="1"/>
  <c r="I23" i="1"/>
  <c r="A23" i="1"/>
  <c r="I22" i="1"/>
  <c r="A22" i="1"/>
  <c r="I21" i="1"/>
  <c r="A21" i="1"/>
  <c r="I20" i="1"/>
  <c r="A20" i="1"/>
  <c r="I19" i="1"/>
  <c r="A19" i="1"/>
  <c r="I18" i="1"/>
  <c r="A18" i="1"/>
  <c r="I17" i="1"/>
  <c r="A17" i="1"/>
  <c r="A16" i="1"/>
  <c r="A15" i="1"/>
  <c r="A14" i="1"/>
  <c r="A13" i="1"/>
  <c r="A12" i="1"/>
  <c r="A11" i="1"/>
  <c r="A10" i="1"/>
  <c r="A9" i="1"/>
  <c r="A8" i="1"/>
  <c r="A7" i="1"/>
  <c r="A6" i="1"/>
  <c r="H4" i="1"/>
  <c r="K35" i="1" a="1"/>
  <c r="K34" i="1" a="1"/>
  <c r="K33" i="1" a="1"/>
  <c r="K32" i="1" a="1"/>
  <c r="K31" i="1" a="1"/>
  <c r="K30" i="1" a="1"/>
  <c r="K29" i="1" a="1"/>
  <c r="K28" i="1" a="1"/>
  <c r="K27" i="1" a="1"/>
  <c r="K26" i="1" a="1"/>
  <c r="K25" i="1" a="1"/>
  <c r="K24" i="1" a="1"/>
  <c r="K23" i="1" a="1"/>
  <c r="K22" i="1" a="1"/>
  <c r="K21" i="1" a="1"/>
  <c r="K20" i="1" a="1"/>
  <c r="K19" i="1" a="1"/>
  <c r="K18" i="1" a="1"/>
  <c r="K17" i="1" a="1"/>
  <c r="K16" i="1" a="1"/>
  <c r="K14" i="1" a="1"/>
  <c r="K12" i="1" a="1"/>
  <c r="K10" i="1" a="1"/>
  <c r="K8" i="1" a="1"/>
  <c r="K6" i="1" a="1"/>
  <c r="K15" i="1" a="1"/>
  <c r="K13" i="1" a="1"/>
  <c r="K11" i="1" a="1"/>
  <c r="K9" i="1" a="1"/>
  <c r="K7" i="1" a="1"/>
  <c r="K7" i="1" l="1"/>
  <c r="K9" i="1"/>
  <c r="K11" i="1"/>
  <c r="K13" i="1"/>
  <c r="K15" i="1"/>
  <c r="K6" i="1"/>
  <c r="I2" i="1" s="1"/>
  <c r="K8" i="1"/>
  <c r="K10" i="1"/>
  <c r="K12" i="1"/>
  <c r="K14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</calcChain>
</file>

<file path=xl/sharedStrings.xml><?xml version="1.0" encoding="utf-8"?>
<sst xmlns="http://schemas.openxmlformats.org/spreadsheetml/2006/main" count="27" uniqueCount="24">
  <si>
    <r>
      <rPr>
        <b/>
        <sz val="12"/>
        <rFont val="Franklin Gothic Book"/>
        <family val="2"/>
        <charset val="1"/>
      </rPr>
      <t xml:space="preserve">GERENCIA DE OPERACIÓN Y MANTENIMIENTO
</t>
    </r>
    <r>
      <rPr>
        <sz val="12"/>
        <rFont val="Franklin Gothic Book"/>
        <family val="2"/>
        <charset val="1"/>
      </rPr>
      <t xml:space="preserve">SUPERINTENDENCIA DE OPERACIÓN Y MANTENIMIENTO ZONA 1
Reporte Horas Extraordinarias
</t>
    </r>
  </si>
  <si>
    <t xml:space="preserve">Nombre del trabajador: </t>
  </si>
  <si>
    <t>HOJA DE PRUEBA</t>
  </si>
  <si>
    <t>TOTAL</t>
  </si>
  <si>
    <t>Cuadrilla o Agencia:</t>
  </si>
  <si>
    <t>AGENCIA GUALAQUIZA</t>
  </si>
  <si>
    <t>( horas reloj )</t>
  </si>
  <si>
    <t>Parte:</t>
  </si>
  <si>
    <t xml:space="preserve">                      Trabajador                                                         Jefe Zonal                                                          Ingeniero 1                            </t>
  </si>
  <si>
    <t>DIA</t>
  </si>
  <si>
    <t>FECHA</t>
  </si>
  <si>
    <t>Extra 1</t>
  </si>
  <si>
    <t>Fin 1</t>
  </si>
  <si>
    <t>Extra 2</t>
  </si>
  <si>
    <t>Fin 2</t>
  </si>
  <si>
    <t>Extra 3</t>
  </si>
  <si>
    <t>Fin 3</t>
  </si>
  <si>
    <t>Horas</t>
  </si>
  <si>
    <t>BREVE EXPLICACION</t>
  </si>
  <si>
    <t>OT # 173960. Guayusal, reivision y limpieza RBV rehabilitacion de trafo # 23459.</t>
  </si>
  <si>
    <t>OT # 174080. FESTIVO. Naichap, restitución M# 194238 por 18-258039. Aguacate, restitución M# 194324 por 18-258040.</t>
  </si>
  <si>
    <t>OT # 174310. La Pradera, se arregla acometida M# 240908, se rehabilita trafo # 20916</t>
  </si>
  <si>
    <t>OT # 174313. Shiramentza, Est 22357 cambi0 tirafusible de 1.3A-SR</t>
  </si>
  <si>
    <t>OT # 174486.Tutus, Est 91980 cambio de tirafusible 12A-T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</si>
</sst>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( &quot;[h]:mm&quot; )&quot;"/>
    <numFmt numFmtId="165" formatCode="h:mm;@"/>
    <numFmt numFmtId="166" formatCode="[$-C0A]d/mmm\ yyyy;@"/>
  </numFmts>
  <fonts count="21">
    <font>
      <sz val="12"/>
      <name val="Courier New"/>
      <charset val="134"/>
    </font>
    <font>
      <sz val="1"/>
      <color rgb="FF000000"/>
      <name val="Courier New"/>
      <charset val="134"/>
    </font>
    <font>
      <i/>
      <sz val="1"/>
      <color rgb="FF000000"/>
      <name val="Courier New"/>
      <charset val="134"/>
    </font>
    <font>
      <sz val="10"/>
      <name val="Arial"/>
      <charset val="134"/>
    </font>
    <font>
      <b/>
      <sz val="12"/>
      <name val="Franklin Gothic Book"/>
      <family val="2"/>
      <charset val="1"/>
    </font>
    <font>
      <sz val="12"/>
      <name val="Franklin Gothic Book"/>
      <family val="2"/>
      <charset val="1"/>
    </font>
    <font>
      <b/>
      <sz val="12"/>
      <color rgb="FF000000"/>
      <name val="Calibri"/>
      <family val="2"/>
      <charset val="1"/>
    </font>
    <font>
      <sz val="12"/>
      <name val="Calibri"/>
      <family val="2"/>
      <charset val="1"/>
    </font>
    <font>
      <b/>
      <sz val="18"/>
      <name val="Calibri"/>
      <family val="2"/>
      <charset val="1"/>
    </font>
    <font>
      <b/>
      <sz val="18"/>
      <color rgb="FF000000"/>
      <name val="Calibri"/>
      <family val="2"/>
      <charset val="1"/>
    </font>
    <font>
      <b/>
      <sz val="12"/>
      <name val="Calibri"/>
      <family val="2"/>
      <charset val="1"/>
    </font>
    <font>
      <b/>
      <sz val="21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21"/>
      <name val="Times New Roman"/>
      <charset val="134"/>
    </font>
    <font>
      <sz val="10"/>
      <name val="Calibri"/>
      <family val="2"/>
      <charset val="1"/>
    </font>
    <font>
      <b/>
      <sz val="12"/>
      <color theme="0"/>
      <name val="Calibri"/>
      <family val="2"/>
      <charset val="1"/>
    </font>
    <font>
      <b/>
      <sz val="12"/>
      <color theme="0"/>
      <name val="Aptos Display"/>
      <family val="2"/>
      <charset val="1"/>
    </font>
    <font>
      <sz val="12"/>
      <color theme="0"/>
      <name val="Courier New"/>
      <family val="3"/>
      <charset val="1"/>
    </font>
    <font>
      <sz val="14"/>
      <name val="Calibri"/>
      <family val="2"/>
      <charset val="1"/>
    </font>
    <font>
      <sz val="9"/>
      <name val="Iosevka Aile"/>
      <charset val="1"/>
    </font>
    <font>
      <sz val="12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666699"/>
        <bgColor rgb="FF808080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rgb="FF3465A4"/>
      </right>
      <top style="thin">
        <color auto="1"/>
      </top>
      <bottom/>
      <diagonal/>
    </border>
    <border>
      <left/>
      <right style="thin">
        <color rgb="FF3465A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hair">
        <color rgb="FF3465A4"/>
      </top>
      <bottom style="hair">
        <color rgb="FF3465A4"/>
      </bottom>
      <diagonal/>
    </border>
    <border>
      <left/>
      <right style="thin">
        <color rgb="FF3465A4"/>
      </right>
      <top/>
      <bottom style="hair">
        <color rgb="FF3465A4"/>
      </bottom>
      <diagonal/>
    </border>
    <border>
      <left/>
      <right/>
      <top/>
      <bottom style="hair">
        <color rgb="FF3465A4"/>
      </bottom>
      <diagonal/>
    </border>
    <border>
      <left style="thin">
        <color rgb="FF3465A4"/>
      </left>
      <right style="thin">
        <color auto="1"/>
      </right>
      <top style="hair">
        <color rgb="FF3465A4"/>
      </top>
      <bottom style="hair">
        <color rgb="FF3465A4"/>
      </bottom>
      <diagonal/>
    </border>
    <border>
      <left/>
      <right style="thin">
        <color rgb="FF3465A4"/>
      </right>
      <top style="hair">
        <color rgb="FF3465A4"/>
      </top>
      <bottom style="hair">
        <color rgb="FF3465A4"/>
      </bottom>
      <diagonal/>
    </border>
    <border>
      <left/>
      <right/>
      <top style="hair">
        <color rgb="FF3465A4"/>
      </top>
      <bottom style="hair">
        <color rgb="FF3465A4"/>
      </bottom>
      <diagonal/>
    </border>
    <border>
      <left/>
      <right/>
      <top style="hair">
        <color rgb="FF3465A4"/>
      </top>
      <bottom/>
      <diagonal/>
    </border>
    <border>
      <left style="thin">
        <color rgb="FF3465A4"/>
      </left>
      <right style="thin">
        <color rgb="FF3465A4"/>
      </right>
      <top style="hair">
        <color theme="5"/>
      </top>
      <bottom style="hair">
        <color theme="5"/>
      </bottom>
      <diagonal/>
    </border>
    <border>
      <left style="thin">
        <color auto="1"/>
      </left>
      <right/>
      <top style="hair">
        <color rgb="FF3465A4"/>
      </top>
      <bottom style="thin">
        <color auto="1"/>
      </bottom>
      <diagonal/>
    </border>
    <border>
      <left/>
      <right style="thin">
        <color rgb="FF3465A4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3465A4"/>
      </left>
      <right style="thin">
        <color auto="1"/>
      </right>
      <top/>
      <bottom style="thin">
        <color auto="1"/>
      </bottom>
      <diagonal/>
    </border>
  </borders>
  <cellStyleXfs count="9">
    <xf numFmtId="0" fontId="0" fillId="0" borderId="0"/>
    <xf numFmtId="0" fontId="1" fillId="0" borderId="0">
      <protection locked="0"/>
    </xf>
    <xf numFmtId="0" fontId="1" fillId="0" borderId="0">
      <protection locked="0"/>
    </xf>
    <xf numFmtId="0" fontId="2" fillId="0" borderId="0">
      <protection locked="0"/>
    </xf>
    <xf numFmtId="0" fontId="1" fillId="0" borderId="0">
      <protection locked="0"/>
    </xf>
    <xf numFmtId="0" fontId="1" fillId="0" borderId="0">
      <protection locked="0"/>
    </xf>
    <xf numFmtId="0" fontId="1" fillId="0" borderId="0">
      <protection locked="0"/>
    </xf>
    <xf numFmtId="0" fontId="2" fillId="0" borderId="0">
      <protection locked="0"/>
    </xf>
    <xf numFmtId="0" fontId="3" fillId="0" borderId="0"/>
  </cellStyleXfs>
  <cellXfs count="45">
    <xf numFmtId="0" fontId="0" fillId="0" borderId="0" xfId="0"/>
    <xf numFmtId="0" fontId="4" fillId="0" borderId="0" xfId="0" applyFont="1" applyAlignment="1">
      <alignment horizontal="center" vertical="top" wrapText="1"/>
    </xf>
    <xf numFmtId="0" fontId="0" fillId="0" borderId="0" xfId="0" applyAlignment="1">
      <alignment horizontal="center"/>
    </xf>
    <xf numFmtId="0" fontId="6" fillId="0" borderId="0" xfId="0" applyFont="1" applyAlignment="1">
      <alignment vertical="center"/>
    </xf>
    <xf numFmtId="0" fontId="7" fillId="0" borderId="0" xfId="0" applyFont="1"/>
    <xf numFmtId="0" fontId="7" fillId="0" borderId="0" xfId="0" applyFont="1" applyAlignment="1">
      <alignment vertical="center"/>
    </xf>
    <xf numFmtId="0" fontId="7" fillId="0" borderId="0" xfId="0" applyFont="1" applyAlignment="1">
      <alignment horizontal="right" vertical="center"/>
    </xf>
    <xf numFmtId="2" fontId="8" fillId="0" borderId="0" xfId="0" applyNumberFormat="1" applyFont="1" applyAlignment="1">
      <alignment horizontal="center"/>
    </xf>
    <xf numFmtId="0" fontId="9" fillId="0" borderId="0" xfId="0" applyFont="1" applyAlignment="1">
      <alignment horizontal="left"/>
    </xf>
    <xf numFmtId="0" fontId="10" fillId="0" borderId="0" xfId="0" applyFont="1" applyAlignment="1" applyProtection="1">
      <alignment vertical="center"/>
      <protection hidden="1"/>
    </xf>
    <xf numFmtId="0" fontId="11" fillId="0" borderId="0" xfId="0" applyFont="1"/>
    <xf numFmtId="164" fontId="7" fillId="0" borderId="0" xfId="0" applyNumberFormat="1" applyFont="1" applyAlignment="1">
      <alignment horizontal="center"/>
    </xf>
    <xf numFmtId="0" fontId="12" fillId="0" borderId="0" xfId="0" applyFont="1" applyAlignment="1">
      <alignment horizontal="left" vertical="center"/>
    </xf>
    <xf numFmtId="0" fontId="13" fillId="0" borderId="0" xfId="0" applyFont="1"/>
    <xf numFmtId="0" fontId="10" fillId="0" borderId="0" xfId="0" applyFont="1" applyAlignment="1" applyProtection="1">
      <alignment horizontal="left" vertical="top"/>
      <protection hidden="1"/>
    </xf>
    <xf numFmtId="0" fontId="14" fillId="0" borderId="0" xfId="0" applyFont="1" applyAlignment="1">
      <alignment vertical="top"/>
    </xf>
    <xf numFmtId="0" fontId="7" fillId="0" borderId="0" xfId="0" applyFont="1" applyAlignment="1">
      <alignment horizontal="right" vertical="top"/>
    </xf>
    <xf numFmtId="0" fontId="14" fillId="0" borderId="0" xfId="0" applyFont="1" applyAlignment="1">
      <alignment horizontal="center" vertical="top"/>
    </xf>
    <xf numFmtId="0" fontId="6" fillId="0" borderId="0" xfId="0" applyFont="1" applyAlignment="1">
      <alignment horizontal="right" vertical="top"/>
    </xf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15" fillId="2" borderId="1" xfId="0" applyFont="1" applyFill="1" applyBorder="1" applyAlignment="1">
      <alignment horizontal="center"/>
    </xf>
    <xf numFmtId="0" fontId="15" fillId="2" borderId="2" xfId="0" applyFont="1" applyFill="1" applyBorder="1" applyAlignment="1">
      <alignment horizontal="center"/>
    </xf>
    <xf numFmtId="0" fontId="15" fillId="2" borderId="3" xfId="0" applyFont="1" applyFill="1" applyBorder="1" applyAlignment="1">
      <alignment horizontal="center"/>
    </xf>
    <xf numFmtId="0" fontId="15" fillId="2" borderId="4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17" fillId="0" borderId="0" xfId="0" applyFont="1"/>
    <xf numFmtId="165" fontId="18" fillId="0" borderId="5" xfId="0" applyNumberFormat="1" applyFont="1" applyBorder="1" applyAlignment="1">
      <alignment horizontal="center" vertical="center"/>
    </xf>
    <xf numFmtId="166" fontId="7" fillId="0" borderId="6" xfId="0" applyNumberFormat="1" applyFont="1" applyBorder="1" applyAlignment="1">
      <alignment horizontal="right" vertical="center"/>
    </xf>
    <xf numFmtId="165" fontId="7" fillId="0" borderId="7" xfId="0" applyNumberFormat="1" applyFont="1" applyBorder="1" applyAlignment="1">
      <alignment horizontal="center" vertical="center"/>
    </xf>
    <xf numFmtId="165" fontId="7" fillId="0" borderId="6" xfId="0" applyNumberFormat="1" applyFont="1" applyBorder="1" applyAlignment="1">
      <alignment horizontal="center" vertical="center"/>
    </xf>
    <xf numFmtId="0" fontId="19" fillId="0" borderId="8" xfId="0" applyFont="1" applyBorder="1" applyAlignment="1">
      <alignment horizontal="left" vertical="center" wrapText="1"/>
    </xf>
    <xf numFmtId="166" fontId="7" fillId="0" borderId="9" xfId="0" applyNumberFormat="1" applyFont="1" applyBorder="1" applyAlignment="1">
      <alignment horizontal="right" vertical="center"/>
    </xf>
    <xf numFmtId="165" fontId="7" fillId="0" borderId="10" xfId="0" applyNumberFormat="1" applyFont="1" applyBorder="1" applyAlignment="1">
      <alignment horizontal="center" vertical="center"/>
    </xf>
    <xf numFmtId="165" fontId="7" fillId="0" borderId="9" xfId="0" applyNumberFormat="1" applyFont="1" applyBorder="1" applyAlignment="1">
      <alignment horizontal="center" vertical="center"/>
    </xf>
    <xf numFmtId="165" fontId="7" fillId="0" borderId="11" xfId="0" applyNumberFormat="1" applyFont="1" applyBorder="1" applyAlignment="1">
      <alignment horizontal="center" vertical="center"/>
    </xf>
    <xf numFmtId="165" fontId="7" fillId="0" borderId="12" xfId="0" applyNumberFormat="1" applyFont="1" applyBorder="1" applyAlignment="1">
      <alignment horizontal="center" vertical="center"/>
    </xf>
    <xf numFmtId="165" fontId="18" fillId="0" borderId="13" xfId="0" applyNumberFormat="1" applyFont="1" applyBorder="1" applyAlignment="1">
      <alignment horizontal="center" vertical="center"/>
    </xf>
    <xf numFmtId="166" fontId="7" fillId="0" borderId="14" xfId="0" applyNumberFormat="1" applyFont="1" applyBorder="1" applyAlignment="1">
      <alignment horizontal="right" vertical="center"/>
    </xf>
    <xf numFmtId="165" fontId="7" fillId="0" borderId="15" xfId="0" applyNumberFormat="1" applyFont="1" applyBorder="1" applyAlignment="1">
      <alignment horizontal="center" vertical="center"/>
    </xf>
    <xf numFmtId="165" fontId="7" fillId="0" borderId="14" xfId="0" applyNumberFormat="1" applyFont="1" applyBorder="1" applyAlignment="1">
      <alignment horizontal="center" vertical="center"/>
    </xf>
    <xf numFmtId="0" fontId="19" fillId="0" borderId="16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  <xf numFmtId="0" fontId="20" fillId="0" borderId="0" xfId="0" applyFont="1"/>
    <xf numFmtId="0" fontId="20" fillId="0" borderId="0" xfId="0" applyFont="1" applyAlignment="1">
      <alignment horizontal="center"/>
    </xf>
  </cellXfs>
  <cellStyles count="9">
    <cellStyle name="F2" xfId="1" xr:uid="{00000000-0005-0000-0000-000006000000}"/>
    <cellStyle name="F3" xfId="2" xr:uid="{00000000-0005-0000-0000-000007000000}"/>
    <cellStyle name="F4" xfId="3" xr:uid="{00000000-0005-0000-0000-000008000000}"/>
    <cellStyle name="F5" xfId="4" xr:uid="{00000000-0005-0000-0000-000009000000}"/>
    <cellStyle name="F6" xfId="5" xr:uid="{00000000-0005-0000-0000-00000A000000}"/>
    <cellStyle name="F7" xfId="6" xr:uid="{00000000-0005-0000-0000-00000B000000}"/>
    <cellStyle name="F8" xfId="7" xr:uid="{00000000-0005-0000-0000-00000C000000}"/>
    <cellStyle name="Normal" xfId="0" builtinId="0"/>
    <cellStyle name="Normal 2" xfId="8" xr:uid="{00000000-0005-0000-0000-00000D000000}"/>
  </cellStyles>
  <dxfs count="4">
    <dxf>
      <font>
        <color theme="2" tint="-0.24994659260841701"/>
      </font>
    </dxf>
    <dxf>
      <font>
        <color theme="2" tint="-0.24994659260841701"/>
      </font>
    </dxf>
    <dxf>
      <font>
        <color theme="2" tint="-0.24994659260841701"/>
      </font>
    </dxf>
    <dxf>
      <font>
        <color theme="2" tint="-0.2499465926084170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369A3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108720</xdr:colOff>
      <xdr:row>0</xdr:row>
      <xdr:rowOff>1053720</xdr:rowOff>
    </xdr:to>
    <xdr:pic>
      <xdr:nvPicPr>
        <xdr:cNvPr id="2" name="Imagen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2037960" cy="1053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9</xdr:col>
      <xdr:colOff>3720240</xdr:colOff>
      <xdr:row>0</xdr:row>
      <xdr:rowOff>21960</xdr:rowOff>
    </xdr:from>
    <xdr:to>
      <xdr:col>9</xdr:col>
      <xdr:colOff>7869600</xdr:colOff>
      <xdr:row>0</xdr:row>
      <xdr:rowOff>399240</xdr:rowOff>
    </xdr:to>
    <xdr:pic>
      <xdr:nvPicPr>
        <xdr:cNvPr id="3" name="Imagen 4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0010520" y="21960"/>
          <a:ext cx="4149360" cy="377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showGridLines="0" tabSelected="1" zoomScaleNormal="100" workbookViewId="0">
      <pane xSplit="2" ySplit="2" topLeftCell="C3" activePane="bottomRight" state="frozen"/>
      <selection pane="topRight" activeCell="L1" sqref="L1"/>
      <selection pane="bottomLeft" activeCell="A12" sqref="A12"/>
      <selection pane="bottomRight" activeCell="I7" sqref="I7"/>
    </sheetView>
  </sheetViews>
  <sheetFormatPr baseColWidth="10" defaultColWidth="8.8984375" defaultRowHeight="15.75"/>
  <cols>
    <col min="1" max="1" width="9.296875" customWidth="1"/>
    <col min="2" max="2" width="11.796875" customWidth="1"/>
    <col min="3" max="8" width="6.296875" customWidth="1"/>
    <col min="9" max="9" width="9.8984375" style="2" customWidth="1"/>
    <col min="10" max="10" width="101.59765625" customWidth="1"/>
    <col min="11" max="11" width="7.8984375" hidden="1" customWidth="1"/>
    <col min="12" max="12" width="8.59765625" customWidth="1"/>
    <col min="13" max="13" width="12.19921875" customWidth="1"/>
    <col min="14" max="14" width="3.296875" customWidth="1"/>
  </cols>
  <sheetData>
    <row r="1" spans="1:14" ht="84.7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4" ht="21.75" customHeight="1">
      <c r="A2" s="3" t="s">
        <v>1</v>
      </c>
      <c r="B2" s="3"/>
      <c r="C2" s="3"/>
      <c r="D2" s="3"/>
      <c r="E2" s="4"/>
      <c r="F2" s="4"/>
      <c r="G2" s="5"/>
      <c r="H2" s="6" t="s">
        <v>2</v>
      </c>
      <c r="I2" s="7" t="e">
        <f ca="1">SUM(K6:K36)</f>
        <v>#VALUE!</v>
      </c>
      <c r="J2" s="8" t="s">
        <v>3</v>
      </c>
    </row>
    <row r="3" spans="1:14" ht="18.75" customHeight="1">
      <c r="A3" s="9" t="s">
        <v>4</v>
      </c>
      <c r="B3" s="9"/>
      <c r="C3" s="9"/>
      <c r="D3" s="9"/>
      <c r="E3" s="10"/>
      <c r="F3" s="10"/>
      <c r="G3" s="10"/>
      <c r="H3" s="6" t="s">
        <v>5</v>
      </c>
      <c r="I3" s="11">
        <f>SUM(I6:I36)</f>
        <v>1.318750000000001</v>
      </c>
      <c r="J3" s="12" t="s">
        <v>6</v>
      </c>
      <c r="K3" s="13"/>
      <c r="L3" s="13"/>
      <c r="M3" s="13"/>
      <c r="N3" s="13"/>
    </row>
    <row r="4" spans="1:14" s="20" customFormat="1" ht="22.5" customHeight="1">
      <c r="A4" s="14" t="s">
        <v>7</v>
      </c>
      <c r="B4" s="14"/>
      <c r="C4" s="14"/>
      <c r="D4" s="14"/>
      <c r="E4" s="15"/>
      <c r="F4" s="15"/>
      <c r="G4" s="15"/>
      <c r="H4" s="16" t="str">
        <f>UPPER(TEXT(B6, "mmmm aaaa"))</f>
        <v>MAYO 2026</v>
      </c>
      <c r="I4" s="17"/>
      <c r="J4" s="18" t="s">
        <v>8</v>
      </c>
      <c r="K4" s="19"/>
      <c r="L4" s="19"/>
      <c r="M4" s="19"/>
      <c r="N4" s="19"/>
    </row>
    <row r="5" spans="1:14" s="26" customFormat="1">
      <c r="A5" s="21" t="s">
        <v>9</v>
      </c>
      <c r="B5" s="22" t="s">
        <v>10</v>
      </c>
      <c r="C5" s="23" t="s">
        <v>11</v>
      </c>
      <c r="D5" s="23" t="s">
        <v>12</v>
      </c>
      <c r="E5" s="23" t="s">
        <v>13</v>
      </c>
      <c r="F5" s="22" t="s">
        <v>14</v>
      </c>
      <c r="G5" s="23" t="s">
        <v>15</v>
      </c>
      <c r="H5" s="23" t="s">
        <v>16</v>
      </c>
      <c r="I5" s="23" t="s">
        <v>17</v>
      </c>
      <c r="J5" s="24" t="s">
        <v>18</v>
      </c>
      <c r="K5" s="25"/>
      <c r="L5" s="25"/>
      <c r="M5" s="25"/>
      <c r="N5" s="25"/>
    </row>
    <row r="6" spans="1:14" ht="18.75">
      <c r="A6" s="27" t="str">
        <f t="shared" ref="A6:A36" si="0">IF(B6&gt;0,PROPER(TEXT(B6,"dddd")),"")</f>
        <v>Viernes</v>
      </c>
      <c r="B6" s="28">
        <v>46143</v>
      </c>
      <c r="C6" s="29"/>
      <c r="D6" s="30"/>
      <c r="E6" s="29"/>
      <c r="F6" s="30"/>
      <c r="G6" s="29"/>
      <c r="H6" s="30"/>
      <c r="I6" s="29">
        <v>0</v>
      </c>
      <c r="J6" s="31" t="s">
        <v>19</v>
      </c>
      <c r="K6" t="e">
        <f t="array" aca="1" ref="K6" ca="1">SUM((INDIRECT("D"&amp;ROW())-INDIRECT("C"&amp;ROW()))*2*24,(INDIRECT("F"&amp;ROW())-INDIRECT("E"&amp;ROW()))*2*24,(INDIRECT("H"&amp;ROW())-INDIRECT("G"&amp;ROW()))*2*24)</f>
        <v>#VALUE!</v>
      </c>
    </row>
    <row r="7" spans="1:14" ht="18.75">
      <c r="A7" s="27" t="str">
        <f t="shared" si="0"/>
        <v>Sábado</v>
      </c>
      <c r="B7" s="32">
        <v>46144</v>
      </c>
      <c r="C7" s="33">
        <v>0.80347222222222203</v>
      </c>
      <c r="D7" s="34">
        <v>0.86527777777777803</v>
      </c>
      <c r="E7" s="33"/>
      <c r="F7" s="34"/>
      <c r="G7" s="33"/>
      <c r="H7" s="34"/>
      <c r="I7" s="33">
        <v>6.18055555555556E-2</v>
      </c>
      <c r="J7" s="31" t="s">
        <v>19</v>
      </c>
      <c r="K7" t="e">
        <f t="array" aca="1" ref="K7" ca="1">SUM((INDIRECT("D"&amp;ROW())-INDIRECT("C"&amp;ROW()))*2*24,(INDIRECT("F"&amp;ROW())-INDIRECT("E"&amp;ROW()))*2*24,(INDIRECT("H"&amp;ROW())-INDIRECT("G"&amp;ROW()))*2*24)</f>
        <v>#VALUE!</v>
      </c>
    </row>
    <row r="8" spans="1:14" ht="18.75">
      <c r="A8" s="27" t="str">
        <f t="shared" si="0"/>
        <v>Domingo</v>
      </c>
      <c r="B8" s="32">
        <v>46145</v>
      </c>
      <c r="C8" s="33">
        <v>0.37013888888888902</v>
      </c>
      <c r="D8" s="34">
        <v>0.55208333333333304</v>
      </c>
      <c r="E8" s="33">
        <v>0.70902777777777803</v>
      </c>
      <c r="F8" s="34">
        <v>0.79513888888888895</v>
      </c>
      <c r="G8" s="33"/>
      <c r="H8" s="34"/>
      <c r="I8" s="33">
        <v>0.26805555555555599</v>
      </c>
      <c r="J8" s="31" t="s">
        <v>19</v>
      </c>
      <c r="K8" t="e">
        <f t="array" aca="1" ref="K8" ca="1">SUM((INDIRECT("D"&amp;ROW())-INDIRECT("C"&amp;ROW()))*2*24,(INDIRECT("F"&amp;ROW())-INDIRECT("E"&amp;ROW()))*2*24,(INDIRECT("H"&amp;ROW())-INDIRECT("G"&amp;ROW()))*2*24)</f>
        <v>#VALUE!</v>
      </c>
    </row>
    <row r="9" spans="1:14" ht="18.75">
      <c r="A9" s="27" t="str">
        <f t="shared" si="0"/>
        <v>Lunes</v>
      </c>
      <c r="B9" s="28">
        <v>46146</v>
      </c>
      <c r="C9" s="33">
        <v>0.67777777777777803</v>
      </c>
      <c r="D9" s="34">
        <v>0.76666666666666705</v>
      </c>
      <c r="E9" s="33"/>
      <c r="F9" s="34"/>
      <c r="G9" s="33"/>
      <c r="H9" s="34"/>
      <c r="I9" s="33">
        <v>8.8888888888888906E-2</v>
      </c>
      <c r="J9" s="31" t="s">
        <v>20</v>
      </c>
      <c r="K9" t="e">
        <f t="array" aca="1" ref="K9" ca="1">SUM((INDIRECT("D"&amp;ROW())-INDIRECT("C"&amp;ROW()))*1.5*24,(INDIRECT("F"&amp;ROW())-INDIRECT("E"&amp;ROW()))*1.5*24,(INDIRECT("H"&amp;ROW())-INDIRECT("G"&amp;ROW()))*1.5*24)</f>
        <v>#VALUE!</v>
      </c>
    </row>
    <row r="10" spans="1:14" ht="18.75">
      <c r="A10" s="27" t="str">
        <f t="shared" si="0"/>
        <v>Martes</v>
      </c>
      <c r="B10" s="32">
        <v>46147</v>
      </c>
      <c r="C10" s="33">
        <v>0.36666666666666697</v>
      </c>
      <c r="D10" s="34">
        <v>0.45069444444444401</v>
      </c>
      <c r="E10" s="33"/>
      <c r="F10" s="34"/>
      <c r="G10" s="33"/>
      <c r="H10" s="34"/>
      <c r="I10" s="33">
        <v>8.4027777777777798E-2</v>
      </c>
      <c r="J10" s="31" t="s">
        <v>20</v>
      </c>
      <c r="K10" t="e">
        <f t="array" aca="1" ref="K10" ca="1">SUM((INDIRECT("D"&amp;ROW())-INDIRECT("C"&amp;ROW()))*1.5*24,(INDIRECT("F"&amp;ROW())-INDIRECT("E"&amp;ROW()))*1.5*24,(INDIRECT("H"&amp;ROW())-INDIRECT("G"&amp;ROW()))*1.5*24)</f>
        <v>#VALUE!</v>
      </c>
    </row>
    <row r="11" spans="1:14" ht="18.75">
      <c r="A11" s="27" t="str">
        <f t="shared" si="0"/>
        <v>Miércoles</v>
      </c>
      <c r="B11" s="32">
        <v>46148</v>
      </c>
      <c r="C11" s="33">
        <v>0.79861111111111105</v>
      </c>
      <c r="D11" s="34">
        <v>0.88541666666666696</v>
      </c>
      <c r="E11" s="33"/>
      <c r="F11" s="34"/>
      <c r="G11" s="33"/>
      <c r="H11" s="34"/>
      <c r="I11" s="35">
        <v>8.6805555555555594E-2</v>
      </c>
      <c r="J11" s="31" t="s">
        <v>21</v>
      </c>
      <c r="K11" t="e">
        <f t="array" aca="1" ref="K11" ca="1">SUM((INDIRECT("D"&amp;ROW())-INDIRECT("C"&amp;ROW()))*1.5*24,(INDIRECT("F"&amp;ROW())-INDIRECT("E"&amp;ROW()))*1.5*24,(INDIRECT("H"&amp;ROW())-INDIRECT("G"&amp;ROW()))*1.5*24)</f>
        <v>#VALUE!</v>
      </c>
    </row>
    <row r="12" spans="1:14" ht="18.75">
      <c r="A12" s="27" t="str">
        <f t="shared" si="0"/>
        <v>Jueves</v>
      </c>
      <c r="B12" s="28">
        <v>46149</v>
      </c>
      <c r="C12" s="33">
        <v>0.75</v>
      </c>
      <c r="D12" s="34">
        <v>0.84722222222222199</v>
      </c>
      <c r="E12" s="33"/>
      <c r="F12" s="34"/>
      <c r="G12" s="33"/>
      <c r="H12" s="34"/>
      <c r="I12" s="36">
        <v>9.7222222222222196E-2</v>
      </c>
      <c r="J12" s="31" t="s">
        <v>22</v>
      </c>
      <c r="K12" t="e">
        <f t="array" aca="1" ref="K12" ca="1">SUM((INDIRECT("D"&amp;ROW())-INDIRECT("C"&amp;ROW()))*1.5*24,(INDIRECT("F"&amp;ROW())-INDIRECT("E"&amp;ROW()))*1.5*24,(INDIRECT("H"&amp;ROW())-INDIRECT("G"&amp;ROW()))*1.5*24)</f>
        <v>#VALUE!</v>
      </c>
    </row>
    <row r="13" spans="1:14" ht="18.75">
      <c r="A13" s="27" t="str">
        <f t="shared" si="0"/>
        <v>Viernes</v>
      </c>
      <c r="B13" s="32">
        <v>46150</v>
      </c>
      <c r="C13" s="33"/>
      <c r="D13" s="34"/>
      <c r="E13" s="33"/>
      <c r="F13" s="34"/>
      <c r="G13" s="33"/>
      <c r="H13" s="34"/>
      <c r="I13" s="29">
        <v>0</v>
      </c>
      <c r="J13" s="31"/>
      <c r="K13" t="e">
        <f t="array" aca="1" ref="K13" ca="1">SUM((INDIRECT("D"&amp;ROW())-INDIRECT("C"&amp;ROW()))*1.5*24,(INDIRECT("F"&amp;ROW())-INDIRECT("E"&amp;ROW()))*1.5*24,(INDIRECT("H"&amp;ROW())-INDIRECT("G"&amp;ROW()))*1.5*24)</f>
        <v>#VALUE!</v>
      </c>
    </row>
    <row r="14" spans="1:14" ht="18.75">
      <c r="A14" s="27" t="str">
        <f t="shared" si="0"/>
        <v>Sábado</v>
      </c>
      <c r="B14" s="32">
        <v>46151</v>
      </c>
      <c r="C14" s="33"/>
      <c r="D14" s="34"/>
      <c r="E14" s="33"/>
      <c r="F14" s="34"/>
      <c r="G14" s="33"/>
      <c r="H14" s="34"/>
      <c r="I14" s="33">
        <v>0</v>
      </c>
      <c r="J14" s="31"/>
      <c r="K14" t="e">
        <f t="array" aca="1" ref="K14" ca="1">SUM((INDIRECT("D"&amp;ROW())-INDIRECT("C"&amp;ROW()))*2*24,(INDIRECT("F"&amp;ROW())-INDIRECT("E"&amp;ROW()))*2*24,(INDIRECT("H"&amp;ROW())-INDIRECT("G"&amp;ROW()))*2*24)</f>
        <v>#VALUE!</v>
      </c>
    </row>
    <row r="15" spans="1:14" ht="18.75">
      <c r="A15" s="27" t="str">
        <f t="shared" si="0"/>
        <v>Domingo</v>
      </c>
      <c r="B15" s="28">
        <v>46152</v>
      </c>
      <c r="C15" s="33">
        <v>0.72708333333333297</v>
      </c>
      <c r="D15" s="34">
        <v>0.81736111111111098</v>
      </c>
      <c r="E15" s="33"/>
      <c r="F15" s="34"/>
      <c r="G15" s="33"/>
      <c r="H15" s="34"/>
      <c r="I15" s="33">
        <v>9.0277777777777804E-2</v>
      </c>
      <c r="J15" s="31" t="s">
        <v>23</v>
      </c>
      <c r="K15" t="e">
        <f t="array" aca="1" ref="K15" ca="1">SUM((INDIRECT("D"&amp;ROW())-INDIRECT("C"&amp;ROW()))*2*24,(INDIRECT("F"&amp;ROW())-INDIRECT("E"&amp;ROW()))*2*24,(INDIRECT("H"&amp;ROW())-INDIRECT("G"&amp;ROW()))*2*24)</f>
        <v>#VALUE!</v>
      </c>
    </row>
    <row r="16" spans="1:14" ht="18.75">
      <c r="A16" s="27" t="str">
        <f t="shared" si="0"/>
        <v>Lunes</v>
      </c>
      <c r="B16" s="32">
        <v>46153</v>
      </c>
      <c r="C16" s="33"/>
      <c r="D16" s="34"/>
      <c r="E16" s="33"/>
      <c r="F16" s="34"/>
      <c r="G16" s="33"/>
      <c r="H16" s="34"/>
      <c r="I16" s="33">
        <f t="shared" ref="I16:I36" si="1">SUM(C16:H16)</f>
        <v>0</v>
      </c>
      <c r="J16" s="31"/>
      <c r="K16" t="e">
        <f t="array" aca="1" ref="K16" ca="1">SUM((INDIRECT("D"&amp;ROW())-INDIRECT("C"&amp;ROW()))*1.5*24,(INDIRECT("F"&amp;ROW())-INDIRECT("E"&amp;ROW()))*1.5*24,(INDIRECT("H"&amp;ROW())-INDIRECT("G"&amp;ROW()))*1.5*24)</f>
        <v>#VALUE!</v>
      </c>
    </row>
    <row r="17" spans="1:11" ht="18.75">
      <c r="A17" s="27" t="str">
        <f t="shared" si="0"/>
        <v>Martes</v>
      </c>
      <c r="B17" s="32">
        <v>46154</v>
      </c>
      <c r="C17" s="33">
        <v>0.375</v>
      </c>
      <c r="D17" s="34">
        <v>0.91666666666666696</v>
      </c>
      <c r="E17" s="33"/>
      <c r="F17" s="34"/>
      <c r="G17" s="33"/>
      <c r="H17" s="34"/>
      <c r="I17" s="33">
        <f>D17-C17</f>
        <v>0.54166666666666696</v>
      </c>
      <c r="J17" s="31"/>
      <c r="K17" t="e">
        <f t="array" aca="1" ref="K17" ca="1">SUM((INDIRECT("D"&amp;ROW())-INDIRECT("C"&amp;ROW()))*1.5*24,(INDIRECT("F"&amp;ROW())-INDIRECT("E"&amp;ROW()))*1.5*24,(INDIRECT("H"&amp;ROW())-INDIRECT("G"&amp;ROW()))*1.5*24)</f>
        <v>#VALUE!</v>
      </c>
    </row>
    <row r="18" spans="1:11" ht="18.75">
      <c r="A18" s="27" t="str">
        <f t="shared" si="0"/>
        <v>Miércoles</v>
      </c>
      <c r="B18" s="28">
        <v>46155</v>
      </c>
      <c r="C18" s="33"/>
      <c r="D18" s="34"/>
      <c r="E18" s="33"/>
      <c r="F18" s="34"/>
      <c r="G18" s="33"/>
      <c r="H18" s="34"/>
      <c r="I18" s="33">
        <f t="shared" si="1"/>
        <v>0</v>
      </c>
      <c r="J18" s="31"/>
      <c r="K18" t="e">
        <f t="array" aca="1" ref="K18" ca="1">SUM((INDIRECT("D"&amp;ROW())-INDIRECT("C"&amp;ROW()))*1.5*24,(INDIRECT("F"&amp;ROW())-INDIRECT("E"&amp;ROW()))*1.5*24,(INDIRECT("H"&amp;ROW())-INDIRECT("G"&amp;ROW()))*1.5*24)</f>
        <v>#VALUE!</v>
      </c>
    </row>
    <row r="19" spans="1:11" ht="18.75">
      <c r="A19" s="27" t="str">
        <f t="shared" si="0"/>
        <v>Jueves</v>
      </c>
      <c r="B19" s="32">
        <v>46156</v>
      </c>
      <c r="C19" s="33"/>
      <c r="D19" s="34"/>
      <c r="E19" s="33"/>
      <c r="F19" s="34"/>
      <c r="G19" s="33"/>
      <c r="H19" s="34"/>
      <c r="I19" s="33">
        <f t="shared" si="1"/>
        <v>0</v>
      </c>
      <c r="J19" s="31"/>
      <c r="K19" t="e">
        <f t="array" aca="1" ref="K19" ca="1">SUM((INDIRECT("D"&amp;ROW())-INDIRECT("C"&amp;ROW()))*1.5*24,(INDIRECT("F"&amp;ROW())-INDIRECT("E"&amp;ROW()))*1.5*24,(INDIRECT("H"&amp;ROW())-INDIRECT("G"&amp;ROW()))*1.5*24)</f>
        <v>#VALUE!</v>
      </c>
    </row>
    <row r="20" spans="1:11" ht="18.75">
      <c r="A20" s="27" t="str">
        <f t="shared" si="0"/>
        <v>Viernes</v>
      </c>
      <c r="B20" s="32">
        <v>46157</v>
      </c>
      <c r="C20" s="33"/>
      <c r="D20" s="34"/>
      <c r="E20" s="33"/>
      <c r="F20" s="34"/>
      <c r="G20" s="33"/>
      <c r="H20" s="34"/>
      <c r="I20" s="33">
        <f t="shared" si="1"/>
        <v>0</v>
      </c>
      <c r="J20" s="31"/>
      <c r="K20" t="e">
        <f t="array" aca="1" ref="K20" ca="1">SUM((INDIRECT("D"&amp;ROW())-INDIRECT("C"&amp;ROW()))*1.5*24,(INDIRECT("F"&amp;ROW())-INDIRECT("E"&amp;ROW()))*1.5*24,(INDIRECT("H"&amp;ROW())-INDIRECT("G"&amp;ROW()))*1.5*24)</f>
        <v>#VALUE!</v>
      </c>
    </row>
    <row r="21" spans="1:11" ht="18.75">
      <c r="A21" s="27" t="str">
        <f t="shared" si="0"/>
        <v>Sábado</v>
      </c>
      <c r="B21" s="28">
        <v>46158</v>
      </c>
      <c r="C21" s="33"/>
      <c r="D21" s="34"/>
      <c r="E21" s="33"/>
      <c r="F21" s="34"/>
      <c r="G21" s="33"/>
      <c r="H21" s="34"/>
      <c r="I21" s="33">
        <f t="shared" si="1"/>
        <v>0</v>
      </c>
      <c r="J21" s="31"/>
      <c r="K21" t="e">
        <f t="array" aca="1" ref="K21" ca="1">SUM((INDIRECT("D"&amp;ROW())-INDIRECT("C"&amp;ROW()))*2*24,(INDIRECT("F"&amp;ROW())-INDIRECT("E"&amp;ROW()))*2*24,(INDIRECT("H"&amp;ROW())-INDIRECT("G"&amp;ROW()))*2*24)</f>
        <v>#VALUE!</v>
      </c>
    </row>
    <row r="22" spans="1:11" ht="18.75">
      <c r="A22" s="27" t="str">
        <f t="shared" si="0"/>
        <v>Domingo</v>
      </c>
      <c r="B22" s="32">
        <v>46159</v>
      </c>
      <c r="C22" s="33"/>
      <c r="D22" s="34"/>
      <c r="E22" s="33"/>
      <c r="F22" s="34"/>
      <c r="G22" s="33"/>
      <c r="H22" s="34"/>
      <c r="I22" s="33">
        <f t="shared" si="1"/>
        <v>0</v>
      </c>
      <c r="J22" s="31"/>
      <c r="K22" t="e">
        <f t="array" aca="1" ref="K22" ca="1">SUM((INDIRECT("D"&amp;ROW())-INDIRECT("C"&amp;ROW()))*2*24,(INDIRECT("F"&amp;ROW())-INDIRECT("E"&amp;ROW()))*2*24,(INDIRECT("H"&amp;ROW())-INDIRECT("G"&amp;ROW()))*2*24)</f>
        <v>#VALUE!</v>
      </c>
    </row>
    <row r="23" spans="1:11" ht="18.75">
      <c r="A23" s="27" t="str">
        <f t="shared" si="0"/>
        <v>Lunes</v>
      </c>
      <c r="B23" s="32">
        <v>46160</v>
      </c>
      <c r="C23" s="33"/>
      <c r="D23" s="34"/>
      <c r="E23" s="33"/>
      <c r="F23" s="34"/>
      <c r="G23" s="33"/>
      <c r="H23" s="34"/>
      <c r="I23" s="33">
        <f t="shared" si="1"/>
        <v>0</v>
      </c>
      <c r="J23" s="31"/>
      <c r="K23" t="e">
        <f t="array" aca="1" ref="K23" ca="1">SUM((INDIRECT("D"&amp;ROW())-INDIRECT("C"&amp;ROW()))*1.5*24,(INDIRECT("F"&amp;ROW())-INDIRECT("E"&amp;ROW()))*1.5*24,(INDIRECT("H"&amp;ROW())-INDIRECT("G"&amp;ROW()))*1.5*24)</f>
        <v>#VALUE!</v>
      </c>
    </row>
    <row r="24" spans="1:11" ht="18.75">
      <c r="A24" s="27" t="str">
        <f t="shared" si="0"/>
        <v>Martes</v>
      </c>
      <c r="B24" s="28">
        <v>46161</v>
      </c>
      <c r="C24" s="33"/>
      <c r="D24" s="34"/>
      <c r="E24" s="33"/>
      <c r="F24" s="34"/>
      <c r="G24" s="33"/>
      <c r="H24" s="34"/>
      <c r="I24" s="33">
        <f t="shared" si="1"/>
        <v>0</v>
      </c>
      <c r="J24" s="31"/>
      <c r="K24" t="e">
        <f t="array" aca="1" ref="K24" ca="1">SUM((INDIRECT("D"&amp;ROW())-INDIRECT("C"&amp;ROW()))*1.5*24,(INDIRECT("F"&amp;ROW())-INDIRECT("E"&amp;ROW()))*1.5*24,(INDIRECT("H"&amp;ROW())-INDIRECT("G"&amp;ROW()))*1.5*24)</f>
        <v>#VALUE!</v>
      </c>
    </row>
    <row r="25" spans="1:11" ht="18.75">
      <c r="A25" s="27" t="str">
        <f t="shared" si="0"/>
        <v>Miércoles</v>
      </c>
      <c r="B25" s="32">
        <v>46162</v>
      </c>
      <c r="C25" s="33"/>
      <c r="D25" s="34"/>
      <c r="E25" s="33"/>
      <c r="F25" s="34"/>
      <c r="G25" s="33"/>
      <c r="H25" s="34"/>
      <c r="I25" s="33">
        <f t="shared" si="1"/>
        <v>0</v>
      </c>
      <c r="J25" s="31"/>
      <c r="K25" t="e">
        <f t="array" aca="1" ref="K25" ca="1">SUM((INDIRECT("D"&amp;ROW())-INDIRECT("C"&amp;ROW()))*1.5*24,(INDIRECT("F"&amp;ROW())-INDIRECT("E"&amp;ROW()))*1.5*24,(INDIRECT("H"&amp;ROW())-INDIRECT("G"&amp;ROW()))*1.5*24)</f>
        <v>#VALUE!</v>
      </c>
    </row>
    <row r="26" spans="1:11" ht="18.75">
      <c r="A26" s="27" t="str">
        <f t="shared" si="0"/>
        <v>Jueves</v>
      </c>
      <c r="B26" s="32">
        <v>46163</v>
      </c>
      <c r="C26" s="33"/>
      <c r="D26" s="34"/>
      <c r="E26" s="33"/>
      <c r="F26" s="34"/>
      <c r="G26" s="33"/>
      <c r="H26" s="34"/>
      <c r="I26" s="33">
        <f t="shared" si="1"/>
        <v>0</v>
      </c>
      <c r="J26" s="31"/>
      <c r="K26" t="e">
        <f t="array" aca="1" ref="K26" ca="1">SUM((INDIRECT("D"&amp;ROW())-INDIRECT("C"&amp;ROW()))*1.5*24,(INDIRECT("F"&amp;ROW())-INDIRECT("E"&amp;ROW()))*1.5*24,(INDIRECT("H"&amp;ROW())-INDIRECT("G"&amp;ROW()))*1.5*24)</f>
        <v>#VALUE!</v>
      </c>
    </row>
    <row r="27" spans="1:11" ht="18.75">
      <c r="A27" s="27" t="str">
        <f t="shared" si="0"/>
        <v>Viernes</v>
      </c>
      <c r="B27" s="28">
        <v>46164</v>
      </c>
      <c r="C27" s="33"/>
      <c r="D27" s="34"/>
      <c r="E27" s="33"/>
      <c r="F27" s="34"/>
      <c r="G27" s="33"/>
      <c r="H27" s="34"/>
      <c r="I27" s="33">
        <f t="shared" si="1"/>
        <v>0</v>
      </c>
      <c r="J27" s="31"/>
      <c r="K27" t="e">
        <f t="array" aca="1" ref="K27" ca="1">SUM((INDIRECT("D"&amp;ROW())-INDIRECT("C"&amp;ROW()))*1.5*24,(INDIRECT("F"&amp;ROW())-INDIRECT("E"&amp;ROW()))*1.5*24,(INDIRECT("H"&amp;ROW())-INDIRECT("G"&amp;ROW()))*1.5*24)</f>
        <v>#VALUE!</v>
      </c>
    </row>
    <row r="28" spans="1:11" ht="18.75">
      <c r="A28" s="27" t="str">
        <f t="shared" si="0"/>
        <v>Sábado</v>
      </c>
      <c r="B28" s="32">
        <v>46165</v>
      </c>
      <c r="C28" s="33"/>
      <c r="D28" s="34"/>
      <c r="E28" s="33"/>
      <c r="F28" s="34"/>
      <c r="G28" s="33"/>
      <c r="H28" s="34"/>
      <c r="I28" s="33">
        <f t="shared" si="1"/>
        <v>0</v>
      </c>
      <c r="J28" s="31"/>
      <c r="K28" t="e">
        <f t="array" aca="1" ref="K28" ca="1">SUM((INDIRECT("D"&amp;ROW())-INDIRECT("C"&amp;ROW()))*2*24,(INDIRECT("F"&amp;ROW())-INDIRECT("E"&amp;ROW()))*2*24,(INDIRECT("H"&amp;ROW())-INDIRECT("G"&amp;ROW()))*2*24)</f>
        <v>#VALUE!</v>
      </c>
    </row>
    <row r="29" spans="1:11" ht="18.75">
      <c r="A29" s="27" t="str">
        <f t="shared" si="0"/>
        <v>Domingo</v>
      </c>
      <c r="B29" s="32">
        <v>46166</v>
      </c>
      <c r="C29" s="33"/>
      <c r="D29" s="34"/>
      <c r="E29" s="33"/>
      <c r="F29" s="34"/>
      <c r="G29" s="33"/>
      <c r="H29" s="34"/>
      <c r="I29" s="33">
        <f t="shared" si="1"/>
        <v>0</v>
      </c>
      <c r="J29" s="31"/>
      <c r="K29" t="e">
        <f t="array" aca="1" ref="K29" ca="1">SUM((INDIRECT("D"&amp;ROW())-INDIRECT("C"&amp;ROW()))*2*24,(INDIRECT("F"&amp;ROW())-INDIRECT("E"&amp;ROW()))*2*24,(INDIRECT("H"&amp;ROW())-INDIRECT("G"&amp;ROW()))*2*24)</f>
        <v>#VALUE!</v>
      </c>
    </row>
    <row r="30" spans="1:11" ht="18.75">
      <c r="A30" s="27" t="str">
        <f t="shared" si="0"/>
        <v>Lunes</v>
      </c>
      <c r="B30" s="28">
        <v>46167</v>
      </c>
      <c r="C30" s="33"/>
      <c r="D30" s="34"/>
      <c r="E30" s="33"/>
      <c r="F30" s="34"/>
      <c r="G30" s="33"/>
      <c r="H30" s="34"/>
      <c r="I30" s="33">
        <f t="shared" si="1"/>
        <v>0</v>
      </c>
      <c r="J30" s="31"/>
      <c r="K30" t="e">
        <f t="array" aca="1" ref="K30" ca="1">SUM((INDIRECT("D"&amp;ROW())-INDIRECT("C"&amp;ROW()))*2*24,(INDIRECT("F"&amp;ROW())-INDIRECT("E"&amp;ROW()))*2*24,(INDIRECT("H"&amp;ROW())-INDIRECT("G"&amp;ROW()))*2*24)</f>
        <v>#VALUE!</v>
      </c>
    </row>
    <row r="31" spans="1:11" ht="18.75">
      <c r="A31" s="27" t="str">
        <f t="shared" si="0"/>
        <v>Martes</v>
      </c>
      <c r="B31" s="32">
        <v>46168</v>
      </c>
      <c r="C31" s="33"/>
      <c r="D31" s="34"/>
      <c r="E31" s="33"/>
      <c r="F31" s="34"/>
      <c r="G31" s="33"/>
      <c r="H31" s="34"/>
      <c r="I31" s="33">
        <f t="shared" si="1"/>
        <v>0</v>
      </c>
      <c r="J31" s="31"/>
      <c r="K31" t="e">
        <f t="array" aca="1" ref="K31" ca="1">SUM((INDIRECT("D"&amp;ROW())-INDIRECT("C"&amp;ROW()))*1.5*24,(INDIRECT("F"&amp;ROW())-INDIRECT("E"&amp;ROW()))*1.5*24,(INDIRECT("H"&amp;ROW())-INDIRECT("G"&amp;ROW()))*1.5*24)</f>
        <v>#VALUE!</v>
      </c>
    </row>
    <row r="32" spans="1:11" ht="18.75">
      <c r="A32" s="27" t="str">
        <f t="shared" si="0"/>
        <v>Miércoles</v>
      </c>
      <c r="B32" s="32">
        <v>46169</v>
      </c>
      <c r="C32" s="33"/>
      <c r="D32" s="34"/>
      <c r="E32" s="33"/>
      <c r="F32" s="34"/>
      <c r="G32" s="33"/>
      <c r="H32" s="34"/>
      <c r="I32" s="33">
        <f t="shared" si="1"/>
        <v>0</v>
      </c>
      <c r="J32" s="31"/>
      <c r="K32" t="e">
        <f t="array" aca="1" ref="K32" ca="1">SUM((INDIRECT("D"&amp;ROW())-INDIRECT("C"&amp;ROW()))*1.5*24,(INDIRECT("F"&amp;ROW())-INDIRECT("E"&amp;ROW()))*1.5*24,(INDIRECT("H"&amp;ROW())-INDIRECT("G"&amp;ROW()))*1.5*24)</f>
        <v>#VALUE!</v>
      </c>
    </row>
    <row r="33" spans="1:11" ht="18.75">
      <c r="A33" s="27" t="str">
        <f t="shared" si="0"/>
        <v>Jueves</v>
      </c>
      <c r="B33" s="28">
        <v>46170</v>
      </c>
      <c r="C33" s="33"/>
      <c r="D33" s="34"/>
      <c r="E33" s="33"/>
      <c r="F33" s="34"/>
      <c r="G33" s="33"/>
      <c r="H33" s="34"/>
      <c r="I33" s="33">
        <f t="shared" si="1"/>
        <v>0</v>
      </c>
      <c r="J33" s="31"/>
      <c r="K33" t="e">
        <f t="array" aca="1" ref="K33" ca="1">SUM((INDIRECT("D"&amp;ROW())-INDIRECT("C"&amp;ROW()))*1.5*24,(INDIRECT("F"&amp;ROW())-INDIRECT("E"&amp;ROW()))*1.5*24,(INDIRECT("H"&amp;ROW())-INDIRECT("G"&amp;ROW()))*1.5*24)</f>
        <v>#VALUE!</v>
      </c>
    </row>
    <row r="34" spans="1:11" ht="18.75">
      <c r="A34" s="27" t="str">
        <f t="shared" si="0"/>
        <v>Viernes</v>
      </c>
      <c r="B34" s="32">
        <v>46171</v>
      </c>
      <c r="C34" s="33"/>
      <c r="D34" s="34"/>
      <c r="E34" s="33"/>
      <c r="F34" s="34"/>
      <c r="G34" s="33"/>
      <c r="H34" s="34"/>
      <c r="I34" s="33">
        <f t="shared" si="1"/>
        <v>0</v>
      </c>
      <c r="J34" s="31"/>
      <c r="K34" t="e">
        <f t="array" aca="1" ref="K34" ca="1">SUM((INDIRECT("D"&amp;ROW())-INDIRECT("C"&amp;ROW()))*1.5*24,(INDIRECT("F"&amp;ROW())-INDIRECT("E"&amp;ROW()))*1.5*24,(INDIRECT("H"&amp;ROW())-INDIRECT("G"&amp;ROW()))*1.5*24)</f>
        <v>#VALUE!</v>
      </c>
    </row>
    <row r="35" spans="1:11" ht="18.75">
      <c r="A35" s="27" t="str">
        <f t="shared" si="0"/>
        <v>Sábado</v>
      </c>
      <c r="B35" s="32">
        <v>46172</v>
      </c>
      <c r="C35" s="33"/>
      <c r="D35" s="34"/>
      <c r="E35" s="33"/>
      <c r="F35" s="34"/>
      <c r="G35" s="33"/>
      <c r="H35" s="34"/>
      <c r="I35" s="33">
        <f t="shared" si="1"/>
        <v>0</v>
      </c>
      <c r="J35" s="31"/>
      <c r="K35" t="e">
        <f t="array" aca="1" ref="K35" ca="1">SUM((INDIRECT("D"&amp;ROW())-INDIRECT("C"&amp;ROW()))*2*24,(INDIRECT("F"&amp;ROW())-INDIRECT("E"&amp;ROW()))*2*24,(INDIRECT("H"&amp;ROW())-INDIRECT("G"&amp;ROW()))*2*24)</f>
        <v>#VALUE!</v>
      </c>
    </row>
    <row r="36" spans="1:11" ht="18.75">
      <c r="A36" s="37" t="str">
        <f t="shared" si="0"/>
        <v/>
      </c>
      <c r="B36" s="38"/>
      <c r="C36" s="39"/>
      <c r="D36" s="40"/>
      <c r="E36" s="39"/>
      <c r="F36" s="40"/>
      <c r="G36" s="39"/>
      <c r="H36" s="40"/>
      <c r="I36" s="39">
        <f t="shared" si="1"/>
        <v>0</v>
      </c>
      <c r="J36" s="41"/>
    </row>
    <row r="37" spans="1:11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I6:I36">
    <cfRule type="cellIs" dxfId="1" priority="1" operator="equal">
      <formula>0</formula>
    </cfRule>
  </conditionalFormatting>
  <printOptions horizontalCentered="1"/>
  <pageMargins left="0.27569444444444402" right="0.27569444444444402" top="0.23611111111111099" bottom="0.23611111111111099" header="0.511811023622047" footer="0.23611111111111099"/>
  <pageSetup paperSize="9" scale="65" orientation="landscape" horizontalDpi="300" verticalDpi="300"/>
  <headerFooter>
    <oddFooter>&amp;RPágina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HORAS_EXTRA</vt:lpstr>
      <vt:lpstr>HORAS_EXTRA!Área_de_impresión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Planificación</dc:creator>
  <dc:description/>
  <cp:lastModifiedBy>Ernesto Vladimir Palacios Merino</cp:lastModifiedBy>
  <cp:revision>23</cp:revision>
  <cp:lastPrinted>2026-06-04T14:54:57Z</cp:lastPrinted>
  <dcterms:created xsi:type="dcterms:W3CDTF">1999-03-18T09:31:00Z</dcterms:created>
  <dcterms:modified xsi:type="dcterms:W3CDTF">2026-08-11T15:00:16Z</dcterms:modified>
  <dc:language>es-EC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