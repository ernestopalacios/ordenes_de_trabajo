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1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" sheetId="1" state="visible" r:id="rId3"/>
    <sheet name="RS" sheetId="2" state="visible" r:id="rId4"/>
    <sheet name="LL" sheetId="3" state="visible" r:id="rId5"/>
    <sheet name="VZH" sheetId="4" state="visible" r:id="rId6"/>
    <sheet name="LM" sheetId="5" state="visible" r:id="rId7"/>
    <sheet name="RY" sheetId="6" state="visible" r:id="rId8"/>
    <sheet name="MC" sheetId="7" state="visible" r:id="rId9"/>
    <sheet name="ADC" sheetId="8" state="visible" r:id="rId10"/>
    <sheet name="NL" sheetId="9" state="visible" r:id="rId11"/>
    <sheet name="MCC" sheetId="10" state="visible" r:id="rId12"/>
    <sheet name="RV" sheetId="11" state="visible" r:id="rId13"/>
    <sheet name="SB" sheetId="12" state="visible" r:id="rId14"/>
    <sheet name="AO" sheetId="13" state="visible" r:id="rId15"/>
    <sheet name="JLC" sheetId="14" state="visible" r:id="rId16"/>
    <sheet name="GT" sheetId="15" state="visible" r:id="rId17"/>
    <sheet name="JA" sheetId="16" state="visible" r:id="rId18"/>
    <sheet name="DG" sheetId="17" state="visible" r:id="rId19"/>
    <sheet name="JJ" sheetId="18" state="visible" r:id="rId20"/>
    <sheet name="CQ" sheetId="19" state="visible" r:id="rId21"/>
    <sheet name="AC" sheetId="20" state="visible" r:id="rId22"/>
    <sheet name="JL" sheetId="21" state="visible" r:id="rId23"/>
    <sheet name="HM" sheetId="22" state="visible" r:id="rId24"/>
    <sheet name="LV" sheetId="23" state="visible" r:id="rId25"/>
    <sheet name="FG" sheetId="24" state="visible" r:id="rId26"/>
    <sheet name="CLP" sheetId="25" state="visible" r:id="rId27"/>
    <sheet name="GJ" sheetId="26" state="visible" r:id="rId28"/>
    <sheet name="RCL" sheetId="27" state="visible" r:id="rId29"/>
    <sheet name="PCH" sheetId="28" state="visible" r:id="rId30"/>
    <sheet name="LP" sheetId="29" state="visible" r:id="rId31"/>
    <sheet name="FA" sheetId="30" state="visible" r:id="rId32"/>
    <sheet name="AS" sheetId="31" state="visible" r:id="rId33"/>
    <sheet name="CB" sheetId="32" state="visible" r:id="rId34"/>
    <sheet name="GC" sheetId="33" state="visible" r:id="rId35"/>
  </sheets>
  <definedNames>
    <definedName function="false" hidden="false" name="AREA" vbProcedure="false">NA()</definedName>
    <definedName function="false" hidden="false" name="AREA_2000" vbProcedure="false">NA()</definedName>
    <definedName function="false" hidden="false" name="LISTAMAT" vbProcedure="false">NA()</definedName>
    <definedName function="false" hidden="false" name="Listamateriales" vbProcedure="false">NA()</definedName>
    <definedName function="false" hidden="false" name="_Fill" vbProcedure="false">NA()</definedName>
    <definedName function="false" hidden="false" name="_Key1" vbProcedure="false">NA()</definedName>
    <definedName function="false" hidden="false" name="_Order1" vbProcedure="false">255</definedName>
    <definedName function="false" hidden="false" name="_Sort" vbProcedure="false">NA()</definedName>
    <definedName function="false" hidden="false" name="_xlfn_IFERROR" vbProcedure="false">#ref!</definedName>
    <definedName function="false" hidden="false" name="_xlfn__FV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<sst xmlns="http://schemas.openxmlformats.org/spreadsheetml/2006/main" count="698" uniqueCount="95">
  <si>
    <t xml:space="preserve">GERENCIA DE OPERACIÓN Y MANTENIMIENTO
SUPERINTENDENCIA DE OPERACIÓN Y MANTENIMIENTO ZONA 1
Reporte Horas Extraordinarias
</t>
  </si>
  <si>
    <t xml:space="preserve">Nombre del trabajador: </t>
  </si>
  <si>
    <t xml:space="preserve">RIOS RIOS FRANCISCO FERNANDO</t>
  </si>
  <si>
    <t xml:space="preserve">TOTAL</t>
  </si>
  <si>
    <t xml:space="preserve">Cuadrilla o Agencia:</t>
  </si>
  <si>
    <t xml:space="preserve">Cuadrilla Zamora</t>
  </si>
  <si>
    <t xml:space="preserve">( horas reloj )</t>
  </si>
  <si>
    <t xml:space="preserve">Parte:</t>
  </si>
  <si>
    <t xml:space="preserve">                      Trabajador                                                         Jefe Zonal                                                          Ingeniero 1                            </t>
  </si>
  <si>
    <t xml:space="preserve">DIA</t>
  </si>
  <si>
    <t xml:space="preserve">FECHA</t>
  </si>
  <si>
    <t xml:space="preserve">Extra 1</t>
  </si>
  <si>
    <t xml:space="preserve">Fin 1</t>
  </si>
  <si>
    <t xml:space="preserve">Extra 2</t>
  </si>
  <si>
    <t xml:space="preserve">Fin 2</t>
  </si>
  <si>
    <t xml:space="preserve">Extra 3</t>
  </si>
  <si>
    <t xml:space="preserve">Fin 3</t>
  </si>
  <si>
    <t xml:space="preserve">Horas</t>
  </si>
  <si>
    <t xml:space="preserve">BREVE EXPLICACION</t>
  </si>
  <si>
    <t xml:space="preserve">OT # 179973. El Minero, Est 218086 se cambia fusible de 6A-T, se retira rama de la línea de medio voltaje, fuertes lluvias.</t>
  </si>
  <si>
    <t xml:space="preserve">OT # 180101. Piuntza de Guadalupe, Est 38644, apertura de seccionadores tipo barra. Guyabal, se encuentra un deslave, no es posible ingresar a Kantzama, se toma las medidas de seguridad; se realiza la apertura de puentes en medio voltaje. Se coordina con Centro de Maniobras. OT # 180101. Zamora, Diego de Vaca, Med 1000371883 breaker en mal estado, se normaliza. Guadalupe, Guayabal, Kantzama, Se relizan labores para recuperar carga por desastre natural en coordinación con Centro de Control y Grupo Energizado. .</t>
  </si>
  <si>
    <t xml:space="preserve">OT # 180112. La Chacra, se carga estructura de 12m tipo C de hormigón. Se ejecutan maniobras en coordinación con Centro de Control para recuperar el AP Yacuambi .</t>
  </si>
  <si>
    <t xml:space="preserve">SILVA ARMIJOS ROMEL EDUARDO</t>
  </si>
  <si>
    <t xml:space="preserve">OT # 180193. Guadalupe, En coordinación con el Ing Andrew Quezada se colabora con el PMU (Puesto de Mando Unificado) se instala S/O con 80 metros de TX6 estructura 274469. Zamora, Av. Alonso de Mercadillo se revisa daño Med # 1000383263, conexiones recalentadas en la barra de neutros, se corrige.</t>
  </si>
  <si>
    <t xml:space="preserve">LEON CUEVA LUIS ALBERTO</t>
  </si>
  <si>
    <t xml:space="preserve">OT # 180090. Cumbaratza, Est 197839, se cambia fusible de 12 A-T, se desconoce la causa. El Oso, se cambia fusible 6 A-T, fuertes lluvias.</t>
  </si>
  <si>
    <t xml:space="preserve">ZHUNAULA GUAMAN VICTOR ANIBAL</t>
  </si>
  <si>
    <t xml:space="preserve">OT # 179906. Guadalupe, Med # 18-245422, se revisa breaker recalentado, se cambia y se restablece el servicio eléctrico. OT # 179906. Yacuambi, 18 de Noviembre, Med # 1000368797, breaker recalentado, acometida anti-hurto recalentado, se cambia breaker, se empalma acometida, se restablece el servicio eléctrico.</t>
  </si>
  <si>
    <t xml:space="preserve">MORALES RIVERA LUIS ALBERTO</t>
  </si>
  <si>
    <t xml:space="preserve">Alumbrado Zamora</t>
  </si>
  <si>
    <t xml:space="preserve">OT # 180182. Loja, se retira materiales para arreglo de alumbrado público y se lo traslada a la ciudad de Zamora.</t>
  </si>
  <si>
    <t xml:space="preserve">YAURE DIAZ RAMIRO GABRIEL</t>
  </si>
  <si>
    <t xml:space="preserve">OT # 180182. Loja, se retira materiales para arreglo de alumbrado público y se lo traslada a la ciudad de Zamora. OT # 180182. Loja, se retira materiales para arreglo de alumbrado público y se lo traslada a la ciudad de Zamora.</t>
  </si>
  <si>
    <t xml:space="preserve">CABRERA CABRERA MIGUEL ISAURO</t>
  </si>
  <si>
    <t xml:space="preserve">CAMPOVERDE ROMERO ALEXIS DAMIÁN</t>
  </si>
  <si>
    <t xml:space="preserve">LOZANO SIGCHO NAUN ENRIQUE</t>
  </si>
  <si>
    <t xml:space="preserve">Cuadrilla Yacuambi</t>
  </si>
  <si>
    <t xml:space="preserve">OT # 180085. La Saquea, por falla en el AP Yacuambi, en Kantzama Bajo estructura colapsada por desastre natural, se realizan maniobras en coordinación con Centro de Control.</t>
  </si>
  <si>
    <t xml:space="preserve">OT # 180114. Piuntza Alto, Est 276154 se ejecuta maniobras coordinaión Centro de Control.</t>
  </si>
  <si>
    <t xml:space="preserve">OT # 180134. Pomarrosa, Med # 113223, se encuentra acometida en mal estado, se coordina con el cliente quedando pendiente no se cuenta con material en camioneta. </t>
  </si>
  <si>
    <t xml:space="preserve">CORDERO CASTILLO MARIO</t>
  </si>
  <si>
    <t xml:space="preserve">VILLACIS ARMIJOS RONALD ABDON</t>
  </si>
  <si>
    <t xml:space="preserve">BARRAZUETA GONZAGA SERVIO GUILLERMO</t>
  </si>
  <si>
    <t xml:space="preserve">Cuadrilla Yantzaza</t>
  </si>
  <si>
    <t xml:space="preserve">OT # 180181. San Pablo, S/E Yantzaza se carga estructura de 12C en vehículo grúa 2-141, para cambio en el sector de El Carmen</t>
  </si>
  <si>
    <t xml:space="preserve">OCHOA JARAMILLO ANGEL CLAUDIO</t>
  </si>
  <si>
    <t xml:space="preserve">OT # 180059. Kantzama, se labora en apoyo a las cuadrillas para recuperar el servicio eléctrico que fue afectado por el aluvión, se transporta materiales y aploma estructuras .</t>
  </si>
  <si>
    <t xml:space="preserve">CORDOVA JIMENEZ JORGE LUIS</t>
  </si>
  <si>
    <t xml:space="preserve">TORRES MALDONADO GALO DANIEL</t>
  </si>
  <si>
    <t xml:space="preserve">AMARI ORDONEZ JUNIOR IVAN</t>
  </si>
  <si>
    <t xml:space="preserve">Cuadrilla Paquisha</t>
  </si>
  <si>
    <t xml:space="preserve">OT # 179890. Zurmi, Est 34347 Trafo 16866 de 15 kVA bloqueado, se revisa y en la Est 34328 - 34329 se encuentra RBV arrancada, por maquinaria desconocida; Se empalma, regula y tensa la RBV.</t>
  </si>
  <si>
    <t xml:space="preserve">GRANDA MORALES DANIEL ALEJANDRO</t>
  </si>
  <si>
    <t xml:space="preserve">JARAMILLO PINTA JORGE JOVANNY</t>
  </si>
  <si>
    <t xml:space="preserve">QUIROGA ORDONEZ CARLOS HERNAN</t>
  </si>
  <si>
    <t xml:space="preserve">Cuadrilla Guayzimi</t>
  </si>
  <si>
    <t xml:space="preserve">OT # 179899. Las Orquideasm, Est 33062, reconectador monofásico abierto por falla fortuita, se lo retira temporalmente al equipo para reprogramación; se cierra con tirafusible de 40 A-T; se continúa revisando hasta Est 34404, por caída de la noche y presencia de lluvias suspende los trabajos.</t>
  </si>
  <si>
    <t xml:space="preserve">OT # 179965. Puerto Jua, Est 34404 por persistir la falla retoma trabajos de recorrido LMT1 encontrándose en la parte alta de Shaime, zona montañosa Tramo Est 501637 - 500433 LMT arrancada por caída de un árbol de gran magnitud desde afuera de la franja de servidumbre, se despeja y normaliza el servicio eléctrico .</t>
  </si>
  <si>
    <t xml:space="preserve">OT # 180045. Guayzmi, Est 33187 se revisa tablero de Med # 1000385687; por falla borneras, se corrige conexiones. OT # 180045. El Bosque, Est 233735, se revisa trafo 10 kVA, SICAP 23095; Causa: neutro general suelto, se ajusta conexiones y rehabilita trafo.</t>
  </si>
  <si>
    <t xml:space="preserve">OT # 180098. Guayzimi, Est 232633, tirafusible quemado falla fortuita se revisa LMT y se dificulta el recorrido por inundaciones, Est 32977 se abre puente MV, retonamos al arranque y se repone tirafusible de 12 A-K. OT # 180098. Guayzimi, Est 94001 revisa circuito RBV de Trafo # 8712; sin novedad, se rehabilita trafo. </t>
  </si>
  <si>
    <t xml:space="preserve">CACAY LUZURIAGA ASDRUBAL HUMBERTO</t>
  </si>
  <si>
    <t xml:space="preserve">LARA JIMENEZ JAIME PATRICIO</t>
  </si>
  <si>
    <t xml:space="preserve">MENDIETA MENDIETA HENRRY ALEXANDER</t>
  </si>
  <si>
    <t xml:space="preserve">Cuadrilla El Pangui</t>
  </si>
  <si>
    <t xml:space="preserve">OT # 180185. El Quimi, Est 69870, se reajusta conexiones y se resetea Med # 1000366578, Causa: cortocircuito interno. Chantzas, Est 127516, se encuentra el fusible quemado en derivación a Chantzas, se repone tirafusible de 6 A-K.</t>
  </si>
  <si>
    <t xml:space="preserve">VERA SANCHEZ LIVIO STALIN</t>
  </si>
  <si>
    <t xml:space="preserve">OT # 179971. El Oasis, se cambia el tirafusible de 8 A-T, Est 71288, causa descargas atmosféricas.</t>
  </si>
  <si>
    <t xml:space="preserve">OT # 180067. El Pangui, Med # 1000414938 y se encuentra con valores normales, daño es interno. Traslado a Chanzas, en el transporte se encuentra un derrumbo en el sector El Miassi, traslado por Chicaña - El Oso – Kunki; Chanzas Alto, se rehabilita Trafo # 13787 de 3 kVA, Est 128295; Descargas atmosféricas . OT # 180067. Manchinatza Alto, Est 289890 se revisa LMT y se cambia el tirafusible de 15 A-T, (Fase B) causa descargas atmosféricas; fuertes lluvias retrasan las actividades. </t>
  </si>
  <si>
    <t xml:space="preserve">GUZMAN BARROS MARCO FERNANDO</t>
  </si>
  <si>
    <t xml:space="preserve">Cuadrilla Gualaquiza</t>
  </si>
  <si>
    <t xml:space="preserve">OT # 179893. Nueva Zaruma, se repone fusibles Est 290625 de 0,4 SR alimenta al Trafo 27689 de 15 kVA, Est 290286 fusible de 2,3 SR; Est 290224 de 6 A-T; Est 127824 de 8 A-T; Causa: árbol sobre la Red.</t>
  </si>
  <si>
    <t xml:space="preserve">OT # 179975. El Cádi, Est 128601 desbroce de vegetación, se despeja linea, se regula la linea, por la oscuridad y lluvia, queda al siguiente día.</t>
  </si>
  <si>
    <t xml:space="preserve">OT # 180075. El Cadi, se alza LMV en la Est 128601, el neutro no se alza por qué está enterrado en el piso, traslado a Nueva Tarqui, se cierra seccionalizador 29375. San Pedro, se revisa acometidas, se encuentra caído la columna, se reubica los medidores y se arregla las acometidas; Med 18-237899 y 1000421767, queda provisional hasta que haga la columna. OT # 180075. Nueva Tarqui, se realiza recorrido revisando estructura en riesgo de derrumbe por creciente de los ríos en diferentes sectores del cantón; Se informa por WhatsApp y con fotos estructura con posibles riesgo. Nueva Tarqui, vivienda en riesgo con su medidor, se retira el Med # 251782 para que reubiquen vivienda. </t>
  </si>
  <si>
    <t xml:space="preserve">OT # 180119. La Florida, Med 1257818; Est 161517, se revisa LMT, se encuentra quemado el fusible en Est 161107, se revisa la red, sin novedad, se repone el fusible de 15 A-T Est 161107. OT # 180119. Guayusal, Med 1242540 Est 128479, se revisa LMT, se encuentra quemado el fusible en la Est 128372, se revisa la LMT, no se encuentra novedad, se repone el fusible de 15 A-T en la Est 128372.</t>
  </si>
  <si>
    <t xml:space="preserve">OT # 180189. Kayamaza, se regula tensor, se abre el transformador, se reubica red y se empalma acometidas y se conecta acometidas, se energiza.</t>
  </si>
  <si>
    <t xml:space="preserve">LOJAN PAZ CARLOS DIEGO</t>
  </si>
  <si>
    <t xml:space="preserve">JARA NARVAEZ GALO SILVERIO</t>
  </si>
  <si>
    <t xml:space="preserve">Agencia Zamora</t>
  </si>
  <si>
    <t xml:space="preserve">CUADRADO LEON RAUL EFREN</t>
  </si>
  <si>
    <t xml:space="preserve">Agencia Yantzaza</t>
  </si>
  <si>
    <t xml:space="preserve">OT # 179866. Los Sauces, Est 93718, se encuentran tensores rotos, causa, máquina; Se repone los tensores, se regulan y se aploma el estructura; Se resetea el Trafo 19009. Coopmego, se coordina con SCADA; se ingresa a la CoopMEGO, en el tablero se hacen mediciones de voltaje y amperaje RBV hacia GAD Municipal, se encuentra fases desbalanceadas.</t>
  </si>
  <si>
    <t xml:space="preserve">OT # 179953. Chimbutza, Est 29464, trafo 14693;abierto por sobrecarga; se rehabilita.</t>
  </si>
  <si>
    <t xml:space="preserve">OT # 180030. Mutintza, se retira rama sobre la LBV en Est 30481, se rehabilita Trafo 9916; Ungumiatza, Med # 1000365315, cortocircuito interno, se despeja y ajustan borneras, se indica al cliente que haga revisar las instalaciones internas. Los Almendros, Med # 143078, acometida arrancada; Causa árbol caido, se empalma y tenza, se normaliza el servicio.</t>
  </si>
  <si>
    <t xml:space="preserve">OT # 180036. “Y” de Chicaña. se realizan maniobras, Est  258861; Se cierran seccionadores barra, se abre el seccionador fusible, para mallar el AP Los Encuentros y AP Yacuambi, a causa de deslave en Kantzma OT # 180036. Barrio Leonidas Proaño, Es 179546, se rehabilita Trafo 19509 de 25Kva, sin novedad. El Zarza, Est 33972, se encuentra fusible quemado en derivación a San Antonio, fuertes vientos; Se repone 15 A-T.San Antonio, Est 222167, se rehabilita Trafo 17085 de 10 Kva, sin novedad. .</t>
  </si>
  <si>
    <t xml:space="preserve">CHAMBA CANGO PEDRO ROSALINO</t>
  </si>
  <si>
    <t xml:space="preserve">POMA GUAMAN LUIS ANTONIO</t>
  </si>
  <si>
    <t xml:space="preserve">AMBULUDI SILVA FAUSTO JOEL</t>
  </si>
  <si>
    <t xml:space="preserve">Agencia El Pangui</t>
  </si>
  <si>
    <t xml:space="preserve">OT # 180183. El Pangui, se arregla la L2 de la RBT arrancada por una volqueta entre los postes 35709 y 35708, se resetea el Trafo 20447 Est 185625. Reina del Cisnta, se recorre la RBT no se encuentra novedad, se restituye tirafusible de 1.3 SR en la Est 185385; Trafo 19428 de 25 KVA.</t>
  </si>
  <si>
    <t xml:space="preserve">SALDAÑA PRIETO ANTHONY MICHAEL</t>
  </si>
  <si>
    <t xml:space="preserve">BUELE UYAGUARI CESAR CRISTIAN</t>
  </si>
  <si>
    <t xml:space="preserve">Agencia Gualaquiza</t>
  </si>
  <si>
    <t xml:space="preserve">OT # 179828. Gualaquiza, Bromelias y Treboles, Est 279081, se instala Med # 18-270296, 18-270297, 18-270298, 18-270299, con 28mt Tx6, como nuevo servicio. Guayusal, Est 128492, arreglo acometida Med 246795, neutro arrancado por sulfato.</t>
  </si>
  <si>
    <t xml:space="preserve">OT # 180075. El Cadi, se alza LMV en la Est 128601, el neutro no se alza por qué está enterrado en el piso, traslado a Nueva Tarqui, se cierra seccionalizador 29375. San Pedro, se revisa acometidas, se encuentra caído la columna, se reubica los medidores y se arregla las acometidas; Med 18-237899 y 1000421767, queda provisional hasta que haga la columna.</t>
  </si>
  <si>
    <t xml:space="preserve">CARTUCHE SILVA GERARDO PATRICIO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</si>
</sst>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&quot;( &quot;[h]:mm&quot; )&quot;"/>
    <numFmt numFmtId="167" formatCode="h:mm;@"/>
    <numFmt numFmtId="168" formatCode="[$-C0A]d/mmm\ yyyy;@"/>
  </numFmts>
  <fonts count="23">
    <font>
      <sz val="12"/>
      <name val="Courier Ne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000000"/>
      <name val="Courier New"/>
      <family val="0"/>
      <charset val="134"/>
    </font>
    <font>
      <i val="true"/>
      <sz val="1"/>
      <color rgb="FF000000"/>
      <name val="Courier New"/>
      <family val="0"/>
      <charset val="134"/>
    </font>
    <font>
      <sz val="10"/>
      <name val="Arial"/>
      <family val="0"/>
      <charset val="134"/>
    </font>
    <font>
      <b val="true"/>
      <sz val="12"/>
      <name val="Franklin Gothic Book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21"/>
      <name val="Times New Roman"/>
      <family val="0"/>
      <charset val="134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theme="0"/>
      <name val="Aptos Display"/>
      <family val="2"/>
      <charset val="1"/>
    </font>
    <font>
      <sz val="12"/>
      <color theme="0"/>
      <name val="Courier New"/>
      <family val="3"/>
      <charset val="1"/>
    </font>
    <font>
      <sz val="14"/>
      <name val="Calibri"/>
      <family val="2"/>
      <charset val="1"/>
    </font>
    <font>
      <sz val="9"/>
      <name val="Iosevka Aile"/>
      <family val="0"/>
      <charset val="1"/>
    </font>
    <font>
      <sz val="12"/>
      <name val="Aptos Display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99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>
        <color rgb="FF3465A4"/>
      </right>
      <top style="thin"/>
      <bottom/>
      <diagonal/>
    </border>
    <border diagonalUp="false" diagonalDown="false">
      <left/>
      <right style="thin">
        <color rgb="FF3465A4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/>
      <bottom style="hair">
        <color rgb="FF3465A4"/>
      </bottom>
      <diagonal/>
    </border>
    <border diagonalUp="false" diagonalDown="false">
      <left/>
      <right/>
      <top/>
      <bottom style="hair">
        <color rgb="FF3465A4"/>
      </bottom>
      <diagonal/>
    </border>
    <border diagonalUp="false" diagonalDown="false">
      <left style="thin">
        <color rgb="FF3465A4"/>
      </left>
      <right style="thin"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/>
      <diagonal/>
    </border>
    <border diagonalUp="false" diagonalDown="false">
      <left style="thin">
        <color rgb="FF3465A4"/>
      </left>
      <right style="thin">
        <color rgb="FF3465A4"/>
      </right>
      <top style="hair">
        <color theme="5"/>
      </top>
      <bottom style="hair">
        <color theme="5"/>
      </bottom>
      <diagonal/>
    </border>
    <border diagonalUp="false" diagonalDown="false">
      <left style="thin"/>
      <right/>
      <top style="hair">
        <color rgb="FF3465A4"/>
      </top>
      <bottom style="thin"/>
      <diagonal/>
    </border>
    <border diagonalUp="false" diagonalDown="false">
      <left/>
      <right style="thin">
        <color rgb="FF3465A4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465A4"/>
      </left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2" xfId="20"/>
    <cellStyle name="F3" xfId="21"/>
    <cellStyle name="F4" xfId="22"/>
    <cellStyle name="F5" xfId="23"/>
    <cellStyle name="F6" xfId="24"/>
    <cellStyle name="F7" xfId="25"/>
    <cellStyle name="F8" xfId="26"/>
    <cellStyle name="Normal 2" xfId="27"/>
  </cellStyles>
  <dxfs count="2">
    <dxf>
      <font>
        <color rgb="FFFFFFFF"/>
      </font>
      <fill>
        <patternFill>
          <bgColor rgb="FF8D8DB3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66699"/>
      <rgbColor rgb="FF8D8D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</v>
      </c>
      <c r="I2" s="8" t="n">
        <f aca="false">SUM(K6:K36)</f>
        <v>53.4833333333333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</v>
      </c>
      <c r="I3" s="12" t="n">
        <f aca="false">SUM(I6:I36)</f>
        <v>1.13333333333333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0.779861111111111</v>
      </c>
      <c r="D8" s="35" t="n">
        <v>0.85625</v>
      </c>
      <c r="E8" s="34"/>
      <c r="F8" s="35"/>
      <c r="G8" s="34"/>
      <c r="H8" s="35"/>
      <c r="I8" s="34" t="n">
        <f aca="false">SUM(D8-C8,F8-E8,H8-G8)</f>
        <v>0.0763888888888889</v>
      </c>
      <c r="J8" s="32" t="s">
        <v>19</v>
      </c>
      <c r="K8" s="1" t="n">
        <f aca="false">SUM((D8-C8)*1.5*24)</f>
        <v>2.75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0.0701388888888889</v>
      </c>
      <c r="D9" s="35" t="n">
        <v>0.294444444444445</v>
      </c>
      <c r="E9" s="34" t="n">
        <v>0.346527777777778</v>
      </c>
      <c r="F9" s="35" t="n">
        <v>0.541666666666667</v>
      </c>
      <c r="G9" s="34" t="n">
        <v>0.583333333333333</v>
      </c>
      <c r="H9" s="35" t="n">
        <v>0.748611111111111</v>
      </c>
      <c r="I9" s="34" t="n">
        <f aca="false">SUM(D9-C9,F9-E9,H9-G9)</f>
        <v>0.584722222222222</v>
      </c>
      <c r="J9" s="32" t="s">
        <v>20</v>
      </c>
      <c r="K9" s="1" t="n">
        <f aca="false">SUM((D9-C9)*2*24,(F9-E9)*2*24,(H9-G9)*2*24)</f>
        <v>28.0666666666667</v>
      </c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0.253472222222222</v>
      </c>
      <c r="D10" s="35" t="n">
        <v>0.541666666666667</v>
      </c>
      <c r="E10" s="34" t="n">
        <v>0.583333333333333</v>
      </c>
      <c r="F10" s="35" t="n">
        <v>0.767361111111111</v>
      </c>
      <c r="G10" s="34"/>
      <c r="H10" s="35"/>
      <c r="I10" s="34" t="n">
        <f aca="false">SUM(D10-C10,F10-E10,H10-G10)</f>
        <v>0.472222222222222</v>
      </c>
      <c r="J10" s="32" t="s">
        <v>21</v>
      </c>
      <c r="K10" s="1" t="n">
        <f aca="false">SUM((D10-C10)*2*24,(F10-E10)*2*24)</f>
        <v>22.6666666666667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22</v>
      </c>
      <c r="I2" s="8" t="n">
        <f aca="false">SUM(K6:K36)</f>
        <v>26.5833333333333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</v>
      </c>
      <c r="I3" s="12" t="n">
        <f aca="false">SUM(I6:I36)</f>
        <v>0.586805555555556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0.270833333333333</v>
      </c>
      <c r="D10" s="35" t="n">
        <v>0.541666666666667</v>
      </c>
      <c r="E10" s="34" t="n">
        <v>0.583333333333333</v>
      </c>
      <c r="F10" s="35" t="n">
        <v>0.767361111111111</v>
      </c>
      <c r="G10" s="34"/>
      <c r="H10" s="35"/>
      <c r="I10" s="34" t="n">
        <f aca="false">SUM(D10-C10,F10-E10,H10-G10)</f>
        <v>0.454861111111111</v>
      </c>
      <c r="J10" s="32" t="s">
        <v>21</v>
      </c>
      <c r="K10" s="1" t="n">
        <f aca="false">SUM((D10-C10)*2*24,(F10-E10)*2*24)</f>
        <v>21.8333333333333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39.7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0.840277777777778</v>
      </c>
      <c r="E12" s="34"/>
      <c r="F12" s="35"/>
      <c r="G12" s="34"/>
      <c r="H12" s="35"/>
      <c r="I12" s="37" t="n">
        <f aca="false">SUM(D12-C12,F12-E12,H12-G12)</f>
        <v>0.131944444444444</v>
      </c>
      <c r="J12" s="32" t="s">
        <v>23</v>
      </c>
      <c r="K12" s="1" t="n">
        <f aca="false">SUM((D12-C12)*1.5*24)</f>
        <v>4.75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24</v>
      </c>
      <c r="I2" s="8" t="n">
        <f aca="false">SUM(K6:K36)</f>
        <v>6.1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</v>
      </c>
      <c r="I3" s="12" t="n">
        <f aca="false">SUM(I6:I36)</f>
        <v>0.127083333333333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0.633333333333333</v>
      </c>
      <c r="D9" s="35" t="n">
        <v>0.760416666666667</v>
      </c>
      <c r="E9" s="34"/>
      <c r="F9" s="35"/>
      <c r="G9" s="34"/>
      <c r="H9" s="35"/>
      <c r="I9" s="34" t="n">
        <f aca="false">SUM(D9-C9,F9-E9,H9-G9)</f>
        <v>0.127083333333333</v>
      </c>
      <c r="J9" s="32" t="s">
        <v>25</v>
      </c>
      <c r="K9" s="1" t="n">
        <f aca="false">SUM((D9-C9)*2*24)</f>
        <v>6.1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26</v>
      </c>
      <c r="I2" s="8" t="n">
        <f aca="false">SUM(K6:K36)</f>
        <v>6.025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</v>
      </c>
      <c r="I3" s="12" t="n">
        <f aca="false">SUM(I6:I36)</f>
        <v>0.167361111111111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39.7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0.776388888888889</v>
      </c>
      <c r="E7" s="34" t="n">
        <v>0.820138888888889</v>
      </c>
      <c r="F7" s="35" t="n">
        <v>0.919444444444444</v>
      </c>
      <c r="G7" s="34"/>
      <c r="H7" s="35"/>
      <c r="I7" s="34" t="n">
        <f aca="false">SUM(D7-C7,F7-E7,H7-G7)</f>
        <v>0.167361111111111</v>
      </c>
      <c r="J7" s="32" t="s">
        <v>27</v>
      </c>
      <c r="K7" s="1" t="n">
        <f aca="false">SUM((D7-C7)*1.5*24,(F7-E7)*1.5*24)</f>
        <v>6.025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28</v>
      </c>
      <c r="I2" s="8" t="n">
        <f aca="false">SUM(K6:K36)</f>
        <v>25.4416666666667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29</v>
      </c>
      <c r="I3" s="12" t="n">
        <f aca="false">SUM(I6:I36)</f>
        <v>0.549305555555556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0.253472222222222</v>
      </c>
      <c r="D10" s="35" t="n">
        <v>0.541666666666667</v>
      </c>
      <c r="E10" s="34" t="n">
        <v>0.583333333333333</v>
      </c>
      <c r="F10" s="35" t="n">
        <v>0.767361111111111</v>
      </c>
      <c r="G10" s="34"/>
      <c r="H10" s="35"/>
      <c r="I10" s="34" t="n">
        <f aca="false">SUM(D10-C10,F10-E10,H10-G10)</f>
        <v>0.472222222222222</v>
      </c>
      <c r="J10" s="32" t="s">
        <v>21</v>
      </c>
      <c r="K10" s="1" t="n">
        <f aca="false">SUM((D10-C10)*2*24,(F10-E10)*2*24)</f>
        <v>22.6666666666667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0.785416666666667</v>
      </c>
      <c r="E12" s="34"/>
      <c r="F12" s="35"/>
      <c r="G12" s="34"/>
      <c r="H12" s="35"/>
      <c r="I12" s="37" t="n">
        <f aca="false">SUM(D12-C12,F12-E12,H12-G12)</f>
        <v>0.0770833333333333</v>
      </c>
      <c r="J12" s="32" t="s">
        <v>30</v>
      </c>
      <c r="K12" s="1" t="n">
        <f aca="false">SUM((D12-C12)*1.5*24)</f>
        <v>2.775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31</v>
      </c>
      <c r="I2" s="8" t="n">
        <f aca="false">SUM(K6:K36)</f>
        <v>29.0416666666667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29</v>
      </c>
      <c r="I3" s="12" t="n">
        <f aca="false">SUM(I6:I36)</f>
        <v>0.649305555555556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0.253472222222222</v>
      </c>
      <c r="D10" s="35" t="n">
        <v>0.541666666666667</v>
      </c>
      <c r="E10" s="34" t="n">
        <v>0.583333333333333</v>
      </c>
      <c r="F10" s="35" t="n">
        <v>0.767361111111111</v>
      </c>
      <c r="G10" s="34"/>
      <c r="H10" s="35"/>
      <c r="I10" s="34" t="n">
        <f aca="false">SUM(D10-C10,F10-E10,H10-G10)</f>
        <v>0.472222222222222</v>
      </c>
      <c r="J10" s="32" t="s">
        <v>21</v>
      </c>
      <c r="K10" s="1" t="n">
        <f aca="false">SUM((D10-C10)*2*24,(F10-E10)*2*24)</f>
        <v>22.6666666666667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0.785416666666667</v>
      </c>
      <c r="E12" s="34" t="n">
        <v>0.7125</v>
      </c>
      <c r="F12" s="35" t="n">
        <v>0.8125</v>
      </c>
      <c r="G12" s="34"/>
      <c r="H12" s="35"/>
      <c r="I12" s="37" t="n">
        <f aca="false">SUM(D12-C12,F12-E12,H12-G12)</f>
        <v>0.177083333333333</v>
      </c>
      <c r="J12" s="32" t="s">
        <v>32</v>
      </c>
      <c r="K12" s="1" t="n">
        <f aca="false">SUM((D12-C12)*1.5*24,(F12-E12)*1.5*24)</f>
        <v>6.375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33</v>
      </c>
      <c r="I2" s="8" t="n">
        <f aca="false">SUM(K6:K36)</f>
        <v>6.375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29</v>
      </c>
      <c r="I3" s="12" t="n">
        <f aca="false">SUM(I6:I36)</f>
        <v>0.177083333333333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0.785416666666667</v>
      </c>
      <c r="E12" s="34" t="n">
        <v>0.7125</v>
      </c>
      <c r="F12" s="35" t="n">
        <v>0.8125</v>
      </c>
      <c r="G12" s="34"/>
      <c r="H12" s="35"/>
      <c r="I12" s="37" t="n">
        <f aca="false">SUM(D12-C12,F12-E12,H12-G12)</f>
        <v>0.177083333333333</v>
      </c>
      <c r="J12" s="32" t="s">
        <v>32</v>
      </c>
      <c r="K12" s="1" t="n">
        <f aca="false">SUM((D12-C12)*1.5*24,(F12-E12)*1.5*24)</f>
        <v>6.375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34</v>
      </c>
      <c r="I2" s="8" t="n">
        <f aca="false">SUM(K6:K36)</f>
        <v>2.775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29</v>
      </c>
      <c r="I3" s="12" t="n">
        <f aca="false">SUM(I6:I36)</f>
        <v>0.0770833333333333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0.785416666666667</v>
      </c>
      <c r="E12" s="34"/>
      <c r="F12" s="35"/>
      <c r="G12" s="34"/>
      <c r="H12" s="35"/>
      <c r="I12" s="37" t="n">
        <f aca="false">SUM(D12-C12,F12-E12,H12-G12)</f>
        <v>0.0770833333333333</v>
      </c>
      <c r="J12" s="32" t="s">
        <v>30</v>
      </c>
      <c r="K12" s="1" t="n">
        <f aca="false">SUM((D12-C12)*1.5*24)</f>
        <v>2.775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35</v>
      </c>
      <c r="I2" s="8" t="n">
        <f aca="false">SUM(K6:K36)</f>
        <v>24.6916666666667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36</v>
      </c>
      <c r="I3" s="12" t="n">
        <f aca="false">SUM(I6:I36)</f>
        <v>0.596527777777778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39.7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0.776388888888889</v>
      </c>
      <c r="E7" s="34" t="n">
        <v>0.820138888888889</v>
      </c>
      <c r="F7" s="35" t="n">
        <v>0.919444444444444</v>
      </c>
      <c r="G7" s="34"/>
      <c r="H7" s="35"/>
      <c r="I7" s="34" t="n">
        <f aca="false">SUM(D7-C7,F7-E7,H7-G7)</f>
        <v>0.167361111111111</v>
      </c>
      <c r="J7" s="32" t="s">
        <v>27</v>
      </c>
      <c r="K7" s="1" t="n">
        <f aca="false">SUM((D7-C7)*1.5*24,(F7-E7)*1.5*24)</f>
        <v>6.025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27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0.0208333333333333</v>
      </c>
      <c r="D9" s="35" t="n">
        <v>0.229861111111111</v>
      </c>
      <c r="E9" s="34"/>
      <c r="F9" s="35"/>
      <c r="G9" s="34"/>
      <c r="H9" s="35"/>
      <c r="I9" s="34" t="n">
        <f aca="false">SUM(D9-C9,F9-E9,H9-G9)</f>
        <v>0.209027777777778</v>
      </c>
      <c r="J9" s="32" t="s">
        <v>37</v>
      </c>
      <c r="K9" s="1" t="n">
        <f aca="false">SUM((D9-C9)*2*24)</f>
        <v>10.0333333333333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0.576388888888889</v>
      </c>
      <c r="D10" s="35" t="n">
        <v>0.635416666666667</v>
      </c>
      <c r="E10" s="34"/>
      <c r="F10" s="35"/>
      <c r="G10" s="34"/>
      <c r="H10" s="35"/>
      <c r="I10" s="34" t="n">
        <f aca="false">SUM(D10-C10,F10-E10,H10-G10)</f>
        <v>0.0590277777777778</v>
      </c>
      <c r="J10" s="32" t="s">
        <v>38</v>
      </c>
      <c r="K10" s="1" t="n">
        <f aca="false">SUM((D10-C10)*2*24)</f>
        <v>2.83333333333333</v>
      </c>
    </row>
    <row r="11" customFormat="false" ht="27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 t="n">
        <v>0.722222222222222</v>
      </c>
      <c r="D11" s="35" t="n">
        <v>0.883333333333333</v>
      </c>
      <c r="E11" s="34"/>
      <c r="F11" s="35"/>
      <c r="G11" s="34"/>
      <c r="H11" s="35"/>
      <c r="I11" s="36" t="n">
        <f aca="false">SUM(D11-C11,F11-E11,H11-G11)</f>
        <v>0.161111111111111</v>
      </c>
      <c r="J11" s="32" t="s">
        <v>39</v>
      </c>
      <c r="K11" s="1" t="n">
        <f aca="false">SUM((D11-C11)*1.5*24)</f>
        <v>5.8</v>
      </c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40</v>
      </c>
      <c r="I2" s="8" t="n">
        <f aca="false">SUM(K6:K36)</f>
        <v>5.8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36</v>
      </c>
      <c r="I3" s="12" t="n">
        <f aca="false">SUM(I6:I36)</f>
        <v>0.161111111111111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27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 t="n">
        <v>0.722222222222222</v>
      </c>
      <c r="D11" s="35" t="n">
        <v>0.883333333333333</v>
      </c>
      <c r="E11" s="34"/>
      <c r="F11" s="35"/>
      <c r="G11" s="34"/>
      <c r="H11" s="35"/>
      <c r="I11" s="36" t="n">
        <f aca="false">SUM(D11-C11,F11-E11,H11-G11)</f>
        <v>0.161111111111111</v>
      </c>
      <c r="J11" s="32" t="s">
        <v>39</v>
      </c>
      <c r="K11" s="1" t="n">
        <f aca="false">SUM((D11-C11)*1.5*24)</f>
        <v>5.8</v>
      </c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41</v>
      </c>
      <c r="I2" s="8" t="n">
        <f aca="false">SUM(K6:K36)</f>
        <v>5.8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36</v>
      </c>
      <c r="I3" s="12" t="n">
        <f aca="false">SUM(I6:I36)</f>
        <v>0.161111111111111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27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 t="n">
        <v>0.722222222222222</v>
      </c>
      <c r="D11" s="35" t="n">
        <v>0.883333333333333</v>
      </c>
      <c r="E11" s="34"/>
      <c r="F11" s="35"/>
      <c r="G11" s="34"/>
      <c r="H11" s="35"/>
      <c r="I11" s="36" t="n">
        <f aca="false">SUM(D11-C11,F11-E11,H11-G11)</f>
        <v>0.161111111111111</v>
      </c>
      <c r="J11" s="32" t="s">
        <v>39</v>
      </c>
      <c r="K11" s="1" t="n">
        <f aca="false">SUM((D11-C11)*1.5*24)</f>
        <v>5.8</v>
      </c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42</v>
      </c>
      <c r="I2" s="8" t="n">
        <f aca="false">SUM(K6:K36)</f>
        <v>1.5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43</v>
      </c>
      <c r="I3" s="12" t="n">
        <f aca="false">SUM(I6:I36)</f>
        <v>0.0416666666666667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0.291666666666667</v>
      </c>
      <c r="D12" s="35" t="n">
        <v>0.333333333333333</v>
      </c>
      <c r="E12" s="34"/>
      <c r="F12" s="35"/>
      <c r="G12" s="34"/>
      <c r="H12" s="35"/>
      <c r="I12" s="37" t="n">
        <f aca="false">SUM(D12-C12,F12-E12,H12-G12)</f>
        <v>0.0416666666666667</v>
      </c>
      <c r="J12" s="32" t="s">
        <v>44</v>
      </c>
      <c r="K12" s="1" t="n">
        <f aca="false">SUM((D12-C12)*1.5*24)</f>
        <v>1.5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45</v>
      </c>
      <c r="I2" s="8" t="n">
        <f aca="false">SUM(K6:K36)</f>
        <v>20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43</v>
      </c>
      <c r="I3" s="12" t="n">
        <f aca="false">SUM(I6:I36)</f>
        <v>0.427083333333333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0.291666666666667</v>
      </c>
      <c r="D10" s="35" t="n">
        <v>0.541666666666667</v>
      </c>
      <c r="E10" s="34" t="n">
        <v>0.583333333333333</v>
      </c>
      <c r="F10" s="35" t="n">
        <v>0.71875</v>
      </c>
      <c r="G10" s="34"/>
      <c r="H10" s="35"/>
      <c r="I10" s="34" t="n">
        <f aca="false">SUM(D10-C10,F10-E10,H10-G10)</f>
        <v>0.385416666666667</v>
      </c>
      <c r="J10" s="32" t="s">
        <v>46</v>
      </c>
      <c r="K10" s="1" t="n">
        <f aca="false">SUM((D10-C10)*2*24,(F10-E10)*2*24)</f>
        <v>18.5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0.291666666666667</v>
      </c>
      <c r="D12" s="35" t="n">
        <v>0.333333333333333</v>
      </c>
      <c r="E12" s="34"/>
      <c r="F12" s="35"/>
      <c r="G12" s="34"/>
      <c r="H12" s="35"/>
      <c r="I12" s="37" t="n">
        <f aca="false">SUM(D12-C12,F12-E12,H12-G12)</f>
        <v>0.0416666666666667</v>
      </c>
      <c r="J12" s="32" t="s">
        <v>44</v>
      </c>
      <c r="K12" s="1" t="n">
        <f aca="false">SUM((D12-C12)*1.5*24)</f>
        <v>1.5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47</v>
      </c>
      <c r="I2" s="8" t="n">
        <f aca="false">SUM(K6:K36)</f>
        <v>1.5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43</v>
      </c>
      <c r="I3" s="12" t="n">
        <f aca="false">SUM(I6:I36)</f>
        <v>0.0416666666666667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0.291666666666667</v>
      </c>
      <c r="D12" s="35" t="n">
        <v>0.333333333333333</v>
      </c>
      <c r="E12" s="34"/>
      <c r="F12" s="35"/>
      <c r="G12" s="34"/>
      <c r="H12" s="35"/>
      <c r="I12" s="37" t="n">
        <f aca="false">SUM(D12-C12,F12-E12,H12-G12)</f>
        <v>0.0416666666666667</v>
      </c>
      <c r="J12" s="32" t="s">
        <v>44</v>
      </c>
      <c r="K12" s="1" t="n">
        <f aca="false">SUM((D12-C12)*1.5*24)</f>
        <v>1.5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48</v>
      </c>
      <c r="I2" s="8" t="n">
        <f aca="false">SUM(K6:K36)</f>
        <v>1.5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43</v>
      </c>
      <c r="I3" s="12" t="n">
        <f aca="false">SUM(I6:I36)</f>
        <v>0.0416666666666667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0.291666666666667</v>
      </c>
      <c r="D12" s="35" t="n">
        <v>0.333333333333333</v>
      </c>
      <c r="E12" s="34"/>
      <c r="F12" s="35"/>
      <c r="G12" s="34"/>
      <c r="H12" s="35"/>
      <c r="I12" s="37" t="n">
        <f aca="false">SUM(D12-C12,F12-E12,H12-G12)</f>
        <v>0.0416666666666667</v>
      </c>
      <c r="J12" s="32" t="s">
        <v>44</v>
      </c>
      <c r="K12" s="1" t="n">
        <f aca="false">SUM((D12-C12)*1.5*24)</f>
        <v>1.5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49</v>
      </c>
      <c r="I2" s="8" t="n">
        <f aca="false">SUM(K6:K36)</f>
        <v>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50</v>
      </c>
      <c r="I3" s="12" t="n">
        <f aca="false">SUM(I6:I36)</f>
        <v>0.0833333333333333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27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0.791666666666667</v>
      </c>
      <c r="E7" s="34"/>
      <c r="F7" s="35"/>
      <c r="G7" s="34"/>
      <c r="H7" s="35"/>
      <c r="I7" s="34" t="n">
        <f aca="false">SUM(D7-C7,F7-E7,H7-G7)</f>
        <v>0.0833333333333333</v>
      </c>
      <c r="J7" s="32" t="s">
        <v>51</v>
      </c>
      <c r="K7" s="1" t="n">
        <f aca="false">SUM((D7-C7)*1.5*24)</f>
        <v>3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52</v>
      </c>
      <c r="I2" s="8" t="n">
        <f aca="false">SUM(K6:K36)</f>
        <v>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50</v>
      </c>
      <c r="I3" s="12" t="n">
        <f aca="false">SUM(I6:I36)</f>
        <v>0.0833333333333333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27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0.791666666666667</v>
      </c>
      <c r="E7" s="34"/>
      <c r="F7" s="35"/>
      <c r="G7" s="34"/>
      <c r="H7" s="35"/>
      <c r="I7" s="34" t="n">
        <f aca="false">SUM(D7-C7,F7-E7,H7-G7)</f>
        <v>0.0833333333333333</v>
      </c>
      <c r="J7" s="32" t="s">
        <v>51</v>
      </c>
      <c r="K7" s="1" t="n">
        <f aca="false">SUM((D7-C7)*1.5*24)</f>
        <v>3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53</v>
      </c>
      <c r="I2" s="8" t="n">
        <f aca="false">SUM(K6:K36)</f>
        <v>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50</v>
      </c>
      <c r="I3" s="12" t="n">
        <f aca="false">SUM(I6:I36)</f>
        <v>0.0833333333333333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27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0.791666666666667</v>
      </c>
      <c r="E7" s="34"/>
      <c r="F7" s="35"/>
      <c r="G7" s="34"/>
      <c r="H7" s="35"/>
      <c r="I7" s="34" t="n">
        <f aca="false">SUM(D7-C7,F7-E7,H7-G7)</f>
        <v>0.0833333333333333</v>
      </c>
      <c r="J7" s="32" t="s">
        <v>51</v>
      </c>
      <c r="K7" s="1" t="n">
        <f aca="false">SUM((D7-C7)*1.5*24)</f>
        <v>3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54</v>
      </c>
      <c r="I2" s="8" t="n">
        <f aca="false">SUM(K6:K36)</f>
        <v>22.525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55</v>
      </c>
      <c r="I3" s="12" t="n">
        <f aca="false">SUM(I6:I36)</f>
        <v>0.543055555555556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39.7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0.828472222222222</v>
      </c>
      <c r="E7" s="34"/>
      <c r="F7" s="35"/>
      <c r="G7" s="34"/>
      <c r="H7" s="35"/>
      <c r="I7" s="34" t="n">
        <f aca="false">SUM(D7-C7,F7-E7,H7-G7)</f>
        <v>0.120138888888889</v>
      </c>
      <c r="J7" s="32" t="s">
        <v>56</v>
      </c>
      <c r="K7" s="1" t="n">
        <f aca="false">SUM((D7-C7)*1.5*24)</f>
        <v>4.325</v>
      </c>
    </row>
    <row r="8" customFormat="false" ht="39.7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0.254861111111111</v>
      </c>
      <c r="D8" s="35" t="n">
        <v>0.333333333333333</v>
      </c>
      <c r="E8" s="34" t="n">
        <v>0.708333333333333</v>
      </c>
      <c r="F8" s="35" t="n">
        <v>0.804861111111111</v>
      </c>
      <c r="G8" s="34"/>
      <c r="H8" s="35"/>
      <c r="I8" s="34" t="n">
        <f aca="false">SUM(D8-C8,F8-E8,H8-G8)</f>
        <v>0.175</v>
      </c>
      <c r="J8" s="32" t="s">
        <v>57</v>
      </c>
      <c r="K8" s="1" t="n">
        <f aca="false">SUM((D8-C8)*1.5*24,(F8-E8)*1.5*24)</f>
        <v>6.3</v>
      </c>
    </row>
    <row r="9" customFormat="false" ht="27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0.499305555555556</v>
      </c>
      <c r="D9" s="35" t="n">
        <v>0.55625</v>
      </c>
      <c r="E9" s="34" t="n">
        <v>0.775694444444445</v>
      </c>
      <c r="F9" s="35" t="n">
        <v>0.840972222222222</v>
      </c>
      <c r="G9" s="34"/>
      <c r="H9" s="35"/>
      <c r="I9" s="34" t="n">
        <f aca="false">SUM(D9-C9,F9-E9,H9-G9)</f>
        <v>0.122222222222222</v>
      </c>
      <c r="J9" s="32" t="s">
        <v>58</v>
      </c>
      <c r="K9" s="1" t="n">
        <f aca="false">SUM((D9-C9)*2*24,(F9-E9)*2*24)</f>
        <v>5.86666666666667</v>
      </c>
    </row>
    <row r="10" customFormat="false" ht="39.7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0.761805555555556</v>
      </c>
      <c r="D10" s="35" t="n">
        <v>0.843055555555556</v>
      </c>
      <c r="E10" s="34" t="n">
        <v>0.899305555555556</v>
      </c>
      <c r="F10" s="35" t="n">
        <v>0.94375</v>
      </c>
      <c r="G10" s="34"/>
      <c r="H10" s="35"/>
      <c r="I10" s="34" t="n">
        <f aca="false">SUM(D10-C10,F10-E10,H10-G10)</f>
        <v>0.125694444444444</v>
      </c>
      <c r="J10" s="32" t="s">
        <v>59</v>
      </c>
      <c r="K10" s="1" t="n">
        <f aca="false">SUM((D10-C10)*2*24,(F10-E10)*2*24)</f>
        <v>6.03333333333333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60</v>
      </c>
      <c r="I2" s="8" t="n">
        <f aca="false">SUM(K6:K36)</f>
        <v>6.3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55</v>
      </c>
      <c r="I3" s="12" t="n">
        <f aca="false">SUM(I6:I36)</f>
        <v>0.175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39.7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0.254861111111111</v>
      </c>
      <c r="D8" s="35" t="n">
        <v>0.333333333333333</v>
      </c>
      <c r="E8" s="34" t="n">
        <v>0.708333333333333</v>
      </c>
      <c r="F8" s="35" t="n">
        <v>0.804861111111111</v>
      </c>
      <c r="G8" s="34"/>
      <c r="H8" s="35"/>
      <c r="I8" s="34" t="n">
        <f aca="false">SUM(D8-C8,F8-E8,H8-G8)</f>
        <v>0.175</v>
      </c>
      <c r="J8" s="32" t="s">
        <v>57</v>
      </c>
      <c r="K8" s="1" t="n">
        <f aca="false">SUM((D8-C8)*1.5*24,(F8-E8)*1.5*24)</f>
        <v>6.3</v>
      </c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61</v>
      </c>
      <c r="I2" s="8" t="n">
        <f aca="false">SUM(K6:K36)</f>
        <v>22.525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55</v>
      </c>
      <c r="I3" s="12" t="n">
        <f aca="false">SUM(I6:I36)</f>
        <v>0.543055555555556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39.7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0.828472222222222</v>
      </c>
      <c r="E7" s="34"/>
      <c r="F7" s="35"/>
      <c r="G7" s="34"/>
      <c r="H7" s="35"/>
      <c r="I7" s="34" t="n">
        <f aca="false">SUM(D7-C7,F7-E7,H7-G7)</f>
        <v>0.120138888888889</v>
      </c>
      <c r="J7" s="32" t="s">
        <v>56</v>
      </c>
      <c r="K7" s="1" t="n">
        <f aca="false">SUM((D7-C7)*1.5*24)</f>
        <v>4.325</v>
      </c>
    </row>
    <row r="8" customFormat="false" ht="39.7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0.254861111111111</v>
      </c>
      <c r="D8" s="35" t="n">
        <v>0.333333333333333</v>
      </c>
      <c r="E8" s="34" t="n">
        <v>0.708333333333333</v>
      </c>
      <c r="F8" s="35" t="n">
        <v>0.804861111111111</v>
      </c>
      <c r="G8" s="34"/>
      <c r="H8" s="35"/>
      <c r="I8" s="34" t="n">
        <f aca="false">SUM(D8-C8,F8-E8,H8-G8)</f>
        <v>0.175</v>
      </c>
      <c r="J8" s="32" t="s">
        <v>57</v>
      </c>
      <c r="K8" s="1" t="n">
        <f aca="false">SUM((D8-C8)*1.5*24,(F8-E8)*1.5*24)</f>
        <v>6.3</v>
      </c>
    </row>
    <row r="9" customFormat="false" ht="27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0.499305555555556</v>
      </c>
      <c r="D9" s="35" t="n">
        <v>0.55625</v>
      </c>
      <c r="E9" s="34" t="n">
        <v>0.775694444444445</v>
      </c>
      <c r="F9" s="35" t="n">
        <v>0.840972222222222</v>
      </c>
      <c r="G9" s="34"/>
      <c r="H9" s="35"/>
      <c r="I9" s="34" t="n">
        <f aca="false">SUM(D9-C9,F9-E9,H9-G9)</f>
        <v>0.122222222222222</v>
      </c>
      <c r="J9" s="32" t="s">
        <v>58</v>
      </c>
      <c r="K9" s="1" t="n">
        <f aca="false">SUM((D9-C9)*2*24,(F9-E9)*2*24)</f>
        <v>5.86666666666667</v>
      </c>
    </row>
    <row r="10" customFormat="false" ht="39.7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0.761805555555556</v>
      </c>
      <c r="D10" s="35" t="n">
        <v>0.843055555555556</v>
      </c>
      <c r="E10" s="34" t="n">
        <v>0.899305555555556</v>
      </c>
      <c r="F10" s="35" t="n">
        <v>0.94375</v>
      </c>
      <c r="G10" s="34"/>
      <c r="H10" s="35"/>
      <c r="I10" s="34" t="n">
        <f aca="false">SUM(D10-C10,F10-E10,H10-G10)</f>
        <v>0.125694444444444</v>
      </c>
      <c r="J10" s="32" t="s">
        <v>59</v>
      </c>
      <c r="K10" s="1" t="n">
        <f aca="false">SUM((D10-C10)*2*24,(F10-E10)*2*24)</f>
        <v>6.03333333333333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62</v>
      </c>
      <c r="I2" s="8" t="n">
        <f aca="false">SUM(K6:K36)</f>
        <v>4.8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63</v>
      </c>
      <c r="I3" s="12" t="n">
        <f aca="false">SUM(I6:I36)</f>
        <v>0.133333333333333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0.736111111111111</v>
      </c>
      <c r="D12" s="35" t="n">
        <v>0.869444444444445</v>
      </c>
      <c r="E12" s="34"/>
      <c r="F12" s="35"/>
      <c r="G12" s="34"/>
      <c r="H12" s="35"/>
      <c r="I12" s="37" t="n">
        <f aca="false">SUM(D12-C12,F12-E12,H12-G12)</f>
        <v>0.133333333333333</v>
      </c>
      <c r="J12" s="32" t="s">
        <v>64</v>
      </c>
      <c r="K12" s="1" t="n">
        <f aca="false">SUM((D12-C12)*1.5*24)</f>
        <v>4.8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65</v>
      </c>
      <c r="I2" s="8" t="n">
        <f aca="false">SUM(K6:K36)</f>
        <v>22.3666666666667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63</v>
      </c>
      <c r="I3" s="12" t="n">
        <f aca="false">SUM(I6:I36)</f>
        <v>0.511805555555556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0.758333333333333</v>
      </c>
      <c r="E8" s="34"/>
      <c r="F8" s="35"/>
      <c r="G8" s="34"/>
      <c r="H8" s="35"/>
      <c r="I8" s="34" t="n">
        <f aca="false">SUM(D8-C8,F8-E8,H8-G8)</f>
        <v>0.05</v>
      </c>
      <c r="J8" s="32" t="s">
        <v>66</v>
      </c>
      <c r="K8" s="1" t="n">
        <f aca="false">SUM((D8-C8)*1.5*24)</f>
        <v>1.8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0.491666666666667</v>
      </c>
      <c r="D9" s="35" t="n">
        <v>0.541666666666667</v>
      </c>
      <c r="E9" s="34" t="n">
        <v>0.583333333333333</v>
      </c>
      <c r="F9" s="35" t="n">
        <v>0.75</v>
      </c>
      <c r="G9" s="34" t="n">
        <v>0.8875</v>
      </c>
      <c r="H9" s="35" t="n">
        <v>0.999305555555556</v>
      </c>
      <c r="I9" s="34" t="n">
        <f aca="false">SUM(D9-C9,F9-E9,H9-G9)</f>
        <v>0.328472222222222</v>
      </c>
      <c r="J9" s="32" t="s">
        <v>67</v>
      </c>
      <c r="K9" s="1" t="n">
        <f aca="false">SUM((D9-C9)*2*24,(F9-E9)*2*24,(H9-G9)*2*24)</f>
        <v>15.7666666666667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0.736111111111111</v>
      </c>
      <c r="D12" s="35" t="n">
        <v>0.869444444444445</v>
      </c>
      <c r="E12" s="34"/>
      <c r="F12" s="35"/>
      <c r="G12" s="34"/>
      <c r="H12" s="35"/>
      <c r="I12" s="37" t="n">
        <f aca="false">SUM(D12-C12,F12-E12,H12-G12)</f>
        <v>0.133333333333333</v>
      </c>
      <c r="J12" s="32" t="s">
        <v>64</v>
      </c>
      <c r="K12" s="1" t="n">
        <f aca="false">SUM((D12-C12)*1.5*24)</f>
        <v>4.8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68</v>
      </c>
      <c r="I2" s="8" t="n">
        <f aca="false">SUM(K6:K36)</f>
        <v>28.25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69</v>
      </c>
      <c r="I3" s="12" t="n">
        <f aca="false">SUM(I6:I36)</f>
        <v>0.65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27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0.772222222222222</v>
      </c>
      <c r="E7" s="34"/>
      <c r="F7" s="35"/>
      <c r="G7" s="34"/>
      <c r="H7" s="35"/>
      <c r="I7" s="34" t="n">
        <f aca="false">SUM(D7-C7,F7-E7,H7-G7)</f>
        <v>0.0638888888888889</v>
      </c>
      <c r="J7" s="32" t="s">
        <v>70</v>
      </c>
      <c r="K7" s="1" t="n">
        <f aca="false">SUM((D7-C7)*1.5*24)</f>
        <v>2.3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0.846527777777778</v>
      </c>
      <c r="E8" s="34"/>
      <c r="F8" s="35"/>
      <c r="G8" s="34"/>
      <c r="H8" s="35"/>
      <c r="I8" s="34" t="n">
        <f aca="false">SUM(D8-C8,F8-E8,H8-G8)</f>
        <v>0.138194444444444</v>
      </c>
      <c r="J8" s="32" t="s">
        <v>71</v>
      </c>
      <c r="K8" s="1" t="n">
        <f aca="false">SUM((D8-C8)*1.5*24)</f>
        <v>4.975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0.34375</v>
      </c>
      <c r="D9" s="35" t="n">
        <v>0.530555555555556</v>
      </c>
      <c r="E9" s="34" t="n">
        <v>0.64375</v>
      </c>
      <c r="F9" s="35" t="n">
        <v>0.720138888888889</v>
      </c>
      <c r="G9" s="34"/>
      <c r="H9" s="35"/>
      <c r="I9" s="34" t="n">
        <f aca="false">SUM(D9-C9,F9-E9,H9-G9)</f>
        <v>0.263194444444444</v>
      </c>
      <c r="J9" s="32" t="s">
        <v>72</v>
      </c>
      <c r="K9" s="1" t="n">
        <f aca="false">SUM((D9-C9)*2*24,(F9-E9)*2*24)</f>
        <v>12.6333333333333</v>
      </c>
    </row>
    <row r="10" customFormat="false" ht="39.7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0.457638888888889</v>
      </c>
      <c r="D10" s="35" t="n">
        <v>0.547222222222222</v>
      </c>
      <c r="E10" s="34" t="n">
        <v>0.805555555555556</v>
      </c>
      <c r="F10" s="35" t="n">
        <v>0.856944444444444</v>
      </c>
      <c r="G10" s="34"/>
      <c r="H10" s="35"/>
      <c r="I10" s="34" t="n">
        <f aca="false">SUM(D10-C10,F10-E10,H10-G10)</f>
        <v>0.140972222222222</v>
      </c>
      <c r="J10" s="32" t="s">
        <v>73</v>
      </c>
      <c r="K10" s="1" t="n">
        <f aca="false">SUM((D10-C10)*2*24,(F10-E10)*2*24)</f>
        <v>6.76666666666667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0.752083333333333</v>
      </c>
      <c r="E12" s="34"/>
      <c r="F12" s="35"/>
      <c r="G12" s="34"/>
      <c r="H12" s="35"/>
      <c r="I12" s="37" t="n">
        <f aca="false">SUM(D12-C12,F12-E12,H12-G12)</f>
        <v>0.04375</v>
      </c>
      <c r="J12" s="32" t="s">
        <v>74</v>
      </c>
      <c r="K12" s="1" t="n">
        <f aca="false">SUM((D12-C12)*1.5*24)</f>
        <v>1.575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75</v>
      </c>
      <c r="I2" s="8" t="n">
        <f aca="false">SUM(K6:K36)</f>
        <v>28.25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69</v>
      </c>
      <c r="I3" s="12" t="n">
        <f aca="false">SUM(I6:I36)</f>
        <v>0.65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27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0.708333333333333</v>
      </c>
      <c r="D7" s="35" t="n">
        <v>0.772222222222222</v>
      </c>
      <c r="E7" s="34"/>
      <c r="F7" s="35"/>
      <c r="G7" s="34"/>
      <c r="H7" s="35"/>
      <c r="I7" s="34" t="n">
        <f aca="false">SUM(D7-C7,F7-E7,H7-G7)</f>
        <v>0.0638888888888889</v>
      </c>
      <c r="J7" s="32" t="s">
        <v>70</v>
      </c>
      <c r="K7" s="1" t="n">
        <f aca="false">SUM((D7-C7)*1.5*24)</f>
        <v>2.3</v>
      </c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0.846527777777778</v>
      </c>
      <c r="E8" s="34"/>
      <c r="F8" s="35"/>
      <c r="G8" s="34"/>
      <c r="H8" s="35"/>
      <c r="I8" s="34" t="n">
        <f aca="false">SUM(D8-C8,F8-E8,H8-G8)</f>
        <v>0.138194444444444</v>
      </c>
      <c r="J8" s="32" t="s">
        <v>71</v>
      </c>
      <c r="K8" s="1" t="n">
        <f aca="false">SUM((D8-C8)*1.5*24)</f>
        <v>4.975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0.34375</v>
      </c>
      <c r="D9" s="35" t="n">
        <v>0.530555555555556</v>
      </c>
      <c r="E9" s="34" t="n">
        <v>0.64375</v>
      </c>
      <c r="F9" s="35" t="n">
        <v>0.720138888888889</v>
      </c>
      <c r="G9" s="34"/>
      <c r="H9" s="35"/>
      <c r="I9" s="34" t="n">
        <f aca="false">SUM(D9-C9,F9-E9,H9-G9)</f>
        <v>0.263194444444444</v>
      </c>
      <c r="J9" s="32" t="s">
        <v>72</v>
      </c>
      <c r="K9" s="1" t="n">
        <f aca="false">SUM((D9-C9)*2*24,(F9-E9)*2*24)</f>
        <v>12.6333333333333</v>
      </c>
    </row>
    <row r="10" customFormat="false" ht="39.7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0.457638888888889</v>
      </c>
      <c r="D10" s="35" t="n">
        <v>0.547222222222222</v>
      </c>
      <c r="E10" s="34" t="n">
        <v>0.805555555555556</v>
      </c>
      <c r="F10" s="35" t="n">
        <v>0.856944444444444</v>
      </c>
      <c r="G10" s="34"/>
      <c r="H10" s="35"/>
      <c r="I10" s="34" t="n">
        <f aca="false">SUM(D10-C10,F10-E10,H10-G10)</f>
        <v>0.140972222222222</v>
      </c>
      <c r="J10" s="32" t="s">
        <v>73</v>
      </c>
      <c r="K10" s="1" t="n">
        <f aca="false">SUM((D10-C10)*2*24,(F10-E10)*2*24)</f>
        <v>6.76666666666667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0.752083333333333</v>
      </c>
      <c r="E12" s="34"/>
      <c r="F12" s="35"/>
      <c r="G12" s="34"/>
      <c r="H12" s="35"/>
      <c r="I12" s="37" t="n">
        <f aca="false">SUM(D12-C12,F12-E12,H12-G12)</f>
        <v>0.04375</v>
      </c>
      <c r="J12" s="32" t="s">
        <v>74</v>
      </c>
      <c r="K12" s="1" t="n">
        <f aca="false">SUM((D12-C12)*1.5*24)</f>
        <v>1.575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76</v>
      </c>
      <c r="I2" s="8" t="n">
        <f aca="false">SUM(K6:K36)</f>
        <v>35.5666666666667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77</v>
      </c>
      <c r="I3" s="12" t="n">
        <f aca="false">SUM(I6:I36)</f>
        <v>0.793055555555556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0.779861111111111</v>
      </c>
      <c r="D8" s="35" t="n">
        <v>0.85625</v>
      </c>
      <c r="E8" s="34"/>
      <c r="F8" s="35"/>
      <c r="G8" s="34"/>
      <c r="H8" s="35"/>
      <c r="I8" s="34" t="n">
        <f aca="false">SUM(D8-C8,F8-E8,H8-G8)</f>
        <v>0.0763888888888889</v>
      </c>
      <c r="J8" s="32" t="s">
        <v>19</v>
      </c>
      <c r="K8" s="1" t="n">
        <f aca="false">SUM((D8-C8)*1.5*24)</f>
        <v>2.75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0.0701388888888889</v>
      </c>
      <c r="D9" s="35" t="n">
        <v>0.294444444444445</v>
      </c>
      <c r="E9" s="34" t="n">
        <v>0.346527777777778</v>
      </c>
      <c r="F9" s="35" t="n">
        <v>0.541666666666667</v>
      </c>
      <c r="G9" s="34" t="n">
        <v>0.583333333333333</v>
      </c>
      <c r="H9" s="35" t="n">
        <v>0.748611111111111</v>
      </c>
      <c r="I9" s="34" t="n">
        <f aca="false">SUM(D9-C9,F9-E9,H9-G9)</f>
        <v>0.584722222222222</v>
      </c>
      <c r="J9" s="32" t="s">
        <v>20</v>
      </c>
      <c r="K9" s="1" t="n">
        <f aca="false">SUM((D9-C9)*2*24,(F9-E9)*2*24,(H9-G9)*2*24)</f>
        <v>28.0666666666667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39.7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0.708333333333333</v>
      </c>
      <c r="D12" s="35" t="n">
        <v>0.840277777777778</v>
      </c>
      <c r="E12" s="34"/>
      <c r="F12" s="35"/>
      <c r="G12" s="34"/>
      <c r="H12" s="35"/>
      <c r="I12" s="37" t="n">
        <f aca="false">SUM(D12-C12,F12-E12,H12-G12)</f>
        <v>0.131944444444444</v>
      </c>
      <c r="J12" s="32" t="s">
        <v>23</v>
      </c>
      <c r="K12" s="1" t="n">
        <f aca="false">SUM((D12-C12)*1.5*24)</f>
        <v>4.75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78</v>
      </c>
      <c r="I2" s="8" t="n">
        <f aca="false">SUM(K6:K36)</f>
        <v>31.825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79</v>
      </c>
      <c r="I3" s="12" t="n">
        <f aca="false">SUM(I6:I36)</f>
        <v>0.779861111111111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39.7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 t="n">
        <v>0.767361111111111</v>
      </c>
      <c r="D6" s="31" t="n">
        <v>0.958333333333333</v>
      </c>
      <c r="E6" s="30"/>
      <c r="F6" s="31"/>
      <c r="G6" s="30"/>
      <c r="H6" s="31"/>
      <c r="I6" s="30" t="n">
        <f aca="false">SUM(D6-C6,F6-E6,H6-G6)</f>
        <v>0.190972222222222</v>
      </c>
      <c r="J6" s="32" t="s">
        <v>80</v>
      </c>
      <c r="K6" s="1" t="n">
        <f aca="false">SUM((D6-C6)*1.5*24)</f>
        <v>6.875</v>
      </c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0.834722222222222</v>
      </c>
      <c r="D7" s="35" t="n">
        <v>0.886111111111111</v>
      </c>
      <c r="E7" s="34"/>
      <c r="F7" s="35"/>
      <c r="G7" s="34"/>
      <c r="H7" s="35"/>
      <c r="I7" s="34" t="n">
        <f aca="false">SUM(D7-C7,F7-E7,H7-G7)</f>
        <v>0.0513888888888889</v>
      </c>
      <c r="J7" s="32" t="s">
        <v>81</v>
      </c>
      <c r="K7" s="1" t="n">
        <f aca="false">SUM((D7-C7)*1.5*24)</f>
        <v>1.85</v>
      </c>
    </row>
    <row r="8" customFormat="false" ht="39.7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0.933333333333333</v>
      </c>
      <c r="E8" s="34"/>
      <c r="F8" s="35"/>
      <c r="G8" s="34"/>
      <c r="H8" s="35"/>
      <c r="I8" s="34" t="n">
        <f aca="false">SUM(D8-C8,F8-E8,H8-G8)</f>
        <v>0.225</v>
      </c>
      <c r="J8" s="32" t="s">
        <v>82</v>
      </c>
      <c r="K8" s="1" t="n">
        <f aca="false">SUM((D8-C8)*1.5*24)</f>
        <v>8.1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0.163888888888889</v>
      </c>
      <c r="D9" s="35" t="n">
        <v>0.198611111111111</v>
      </c>
      <c r="E9" s="34" t="n">
        <v>0.430555555555556</v>
      </c>
      <c r="F9" s="35" t="n">
        <v>0.625</v>
      </c>
      <c r="G9" s="34" t="n">
        <v>0.777777777777778</v>
      </c>
      <c r="H9" s="35" t="n">
        <v>0.861111111111111</v>
      </c>
      <c r="I9" s="34" t="n">
        <f aca="false">SUM(D9-C9,F9-E9,H9-G9)</f>
        <v>0.3125</v>
      </c>
      <c r="J9" s="32" t="s">
        <v>83</v>
      </c>
      <c r="K9" s="1" t="n">
        <f aca="false">SUM((D9-C9)*2*24,(F9-E9)*2*24,(H9-G9)*2*24)</f>
        <v>15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84</v>
      </c>
      <c r="I2" s="8" t="n">
        <f aca="false">SUM(K6:K36)</f>
        <v>31.825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79</v>
      </c>
      <c r="I3" s="12" t="n">
        <f aca="false">SUM(I6:I36)</f>
        <v>0.779861111111111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39.7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 t="n">
        <v>0.767361111111111</v>
      </c>
      <c r="D6" s="31" t="n">
        <v>0.958333333333333</v>
      </c>
      <c r="E6" s="30"/>
      <c r="F6" s="31"/>
      <c r="G6" s="30"/>
      <c r="H6" s="31"/>
      <c r="I6" s="30" t="n">
        <f aca="false">SUM(D6-C6,F6-E6,H6-G6)</f>
        <v>0.190972222222222</v>
      </c>
      <c r="J6" s="32" t="s">
        <v>80</v>
      </c>
      <c r="K6" s="1" t="n">
        <f aca="false">SUM((D6-C6)*1.5*24)</f>
        <v>6.875</v>
      </c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 t="n">
        <v>0.834722222222222</v>
      </c>
      <c r="D7" s="35" t="n">
        <v>0.886111111111111</v>
      </c>
      <c r="E7" s="34"/>
      <c r="F7" s="35"/>
      <c r="G7" s="34"/>
      <c r="H7" s="35"/>
      <c r="I7" s="34" t="n">
        <f aca="false">SUM(D7-C7,F7-E7,H7-G7)</f>
        <v>0.0513888888888889</v>
      </c>
      <c r="J7" s="32" t="s">
        <v>81</v>
      </c>
      <c r="K7" s="1" t="n">
        <f aca="false">SUM((D7-C7)*1.5*24)</f>
        <v>1.85</v>
      </c>
    </row>
    <row r="8" customFormat="false" ht="39.7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0.933333333333333</v>
      </c>
      <c r="E8" s="34"/>
      <c r="F8" s="35"/>
      <c r="G8" s="34"/>
      <c r="H8" s="35"/>
      <c r="I8" s="34" t="n">
        <f aca="false">SUM(D8-C8,F8-E8,H8-G8)</f>
        <v>0.225</v>
      </c>
      <c r="J8" s="32" t="s">
        <v>82</v>
      </c>
      <c r="K8" s="1" t="n">
        <f aca="false">SUM((D8-C8)*1.5*24)</f>
        <v>8.1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0.163888888888889</v>
      </c>
      <c r="D9" s="35" t="n">
        <v>0.198611111111111</v>
      </c>
      <c r="E9" s="34" t="n">
        <v>0.430555555555556</v>
      </c>
      <c r="F9" s="35" t="n">
        <v>0.625</v>
      </c>
      <c r="G9" s="34" t="n">
        <v>0.777777777777778</v>
      </c>
      <c r="H9" s="35" t="n">
        <v>0.861111111111111</v>
      </c>
      <c r="I9" s="34" t="n">
        <f aca="false">SUM(D9-C9,F9-E9,H9-G9)</f>
        <v>0.3125</v>
      </c>
      <c r="J9" s="32" t="s">
        <v>83</v>
      </c>
      <c r="K9" s="1" t="n">
        <f aca="false">SUM((D9-C9)*2*24,(F9-E9)*2*24,(H9-G9)*2*24)</f>
        <v>15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85</v>
      </c>
      <c r="I2" s="8" t="n">
        <f aca="false">SUM(K6:K36)</f>
        <v>18.5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79</v>
      </c>
      <c r="I3" s="12" t="n">
        <f aca="false">SUM(I6:I36)</f>
        <v>0.385416666666667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27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 t="n">
        <v>0.291666666666667</v>
      </c>
      <c r="D10" s="35" t="n">
        <v>0.541666666666667</v>
      </c>
      <c r="E10" s="34" t="n">
        <v>0.583333333333333</v>
      </c>
      <c r="F10" s="35" t="n">
        <v>0.71875</v>
      </c>
      <c r="G10" s="34"/>
      <c r="H10" s="35"/>
      <c r="I10" s="34" t="n">
        <f aca="false">SUM(D10-C10,F10-E10,H10-G10)</f>
        <v>0.385416666666667</v>
      </c>
      <c r="J10" s="32" t="s">
        <v>46</v>
      </c>
      <c r="K10" s="1" t="n">
        <f aca="false">SUM((D10-C10)*2*24,(F10-E10)*2*24)</f>
        <v>18.5</v>
      </c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86</v>
      </c>
      <c r="I2" s="8" t="n">
        <f aca="false">SUM(K6:K36)</f>
        <v>20.3666666666667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87</v>
      </c>
      <c r="I3" s="12" t="n">
        <f aca="false">SUM(I6:I36)</f>
        <v>0.45625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0.758333333333333</v>
      </c>
      <c r="E8" s="34"/>
      <c r="F8" s="35"/>
      <c r="G8" s="34"/>
      <c r="H8" s="35"/>
      <c r="I8" s="34" t="n">
        <f aca="false">SUM(D8-C8,F8-E8,H8-G8)</f>
        <v>0.05</v>
      </c>
      <c r="J8" s="32" t="s">
        <v>66</v>
      </c>
      <c r="K8" s="1" t="n">
        <f aca="false">SUM((D8-C8)*1.5*24)</f>
        <v>1.8</v>
      </c>
    </row>
    <row r="9" customFormat="false" ht="60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0.491666666666667</v>
      </c>
      <c r="D9" s="35" t="n">
        <v>0.541666666666667</v>
      </c>
      <c r="E9" s="34" t="n">
        <v>0.583333333333333</v>
      </c>
      <c r="F9" s="35" t="n">
        <v>0.75</v>
      </c>
      <c r="G9" s="34" t="n">
        <v>0.8875</v>
      </c>
      <c r="H9" s="35" t="n">
        <v>0.999305555555556</v>
      </c>
      <c r="I9" s="34" t="n">
        <f aca="false">SUM(D9-C9,F9-E9,H9-G9)</f>
        <v>0.328472222222222</v>
      </c>
      <c r="J9" s="32" t="s">
        <v>67</v>
      </c>
      <c r="K9" s="1" t="n">
        <f aca="false">SUM((D9-C9)*2*24,(F9-E9)*2*24,(H9-G9)*2*24)</f>
        <v>15.7666666666667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0.729166666666667</v>
      </c>
      <c r="D12" s="35" t="n">
        <v>0.806944444444445</v>
      </c>
      <c r="E12" s="34"/>
      <c r="F12" s="35"/>
      <c r="G12" s="34"/>
      <c r="H12" s="35"/>
      <c r="I12" s="37" t="n">
        <f aca="false">SUM(D12-C12,F12-E12,H12-G12)</f>
        <v>0.0777777777777778</v>
      </c>
      <c r="J12" s="32" t="s">
        <v>88</v>
      </c>
      <c r="K12" s="1" t="n">
        <f aca="false">SUM((D12-C12)*1.5*24)</f>
        <v>2.8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89</v>
      </c>
      <c r="I2" s="8" t="n">
        <f aca="false">SUM(K6:K36)</f>
        <v>4.6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87</v>
      </c>
      <c r="I3" s="12" t="n">
        <f aca="false">SUM(I6:I36)</f>
        <v>0.127777777777778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/>
      <c r="D6" s="31"/>
      <c r="E6" s="30"/>
      <c r="F6" s="31"/>
      <c r="G6" s="30"/>
      <c r="H6" s="31"/>
      <c r="I6" s="30" t="n">
        <f aca="false">SUM(D6-C6,F6-E6,H6-G6)</f>
        <v>0</v>
      </c>
      <c r="J6" s="32"/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0.758333333333333</v>
      </c>
      <c r="E8" s="34"/>
      <c r="F8" s="35"/>
      <c r="G8" s="34"/>
      <c r="H8" s="35"/>
      <c r="I8" s="34" t="n">
        <f aca="false">SUM(D8-C8,F8-E8,H8-G8)</f>
        <v>0.05</v>
      </c>
      <c r="J8" s="32" t="s">
        <v>66</v>
      </c>
      <c r="K8" s="1" t="n">
        <f aca="false">SUM((D8-C8)*1.5*24)</f>
        <v>1.8</v>
      </c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27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 t="n">
        <v>0.729166666666667</v>
      </c>
      <c r="D12" s="35" t="n">
        <v>0.806944444444445</v>
      </c>
      <c r="E12" s="34"/>
      <c r="F12" s="35"/>
      <c r="G12" s="34"/>
      <c r="H12" s="35"/>
      <c r="I12" s="37" t="n">
        <f aca="false">SUM(D12-C12,F12-E12,H12-G12)</f>
        <v>0.0777777777777778</v>
      </c>
      <c r="J12" s="32" t="s">
        <v>88</v>
      </c>
      <c r="K12" s="1" t="n">
        <f aca="false">SUM((D12-C12)*1.5*24)</f>
        <v>2.8</v>
      </c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90</v>
      </c>
      <c r="I2" s="8" t="n">
        <f aca="false">SUM(K6:K36)</f>
        <v>15.7666666666667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91</v>
      </c>
      <c r="I3" s="12" t="n">
        <f aca="false">SUM(I6:I36)</f>
        <v>0.375694444444444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7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 t="n">
        <v>0.708333333333333</v>
      </c>
      <c r="D6" s="31" t="n">
        <v>0.759027777777778</v>
      </c>
      <c r="E6" s="30"/>
      <c r="F6" s="31"/>
      <c r="G6" s="30"/>
      <c r="H6" s="31"/>
      <c r="I6" s="30" t="n">
        <f aca="false">SUM(D6-C6,F6-E6,H6-G6)</f>
        <v>0.0506944444444444</v>
      </c>
      <c r="J6" s="32" t="s">
        <v>92</v>
      </c>
      <c r="K6" s="1" t="n">
        <f aca="false">SUM((D6-C6)*1.5*24)</f>
        <v>1.825</v>
      </c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 t="n">
        <v>0.708333333333333</v>
      </c>
      <c r="D8" s="35" t="n">
        <v>0.846527777777778</v>
      </c>
      <c r="E8" s="34"/>
      <c r="F8" s="35"/>
      <c r="G8" s="34"/>
      <c r="H8" s="35"/>
      <c r="I8" s="34" t="n">
        <f aca="false">SUM(D8-C8,F8-E8,H8-G8)</f>
        <v>0.138194444444444</v>
      </c>
      <c r="J8" s="32" t="s">
        <v>71</v>
      </c>
      <c r="K8" s="1" t="n">
        <f aca="false">SUM((D8-C8)*1.5*24)</f>
        <v>4.975</v>
      </c>
    </row>
    <row r="9" customFormat="false" ht="39.7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 t="n">
        <v>0.34375</v>
      </c>
      <c r="D9" s="35" t="n">
        <v>0.530555555555556</v>
      </c>
      <c r="E9" s="34"/>
      <c r="F9" s="35"/>
      <c r="G9" s="34"/>
      <c r="H9" s="35"/>
      <c r="I9" s="34" t="n">
        <f aca="false">SUM(D9-C9,F9-E9,H9-G9)</f>
        <v>0.186805555555556</v>
      </c>
      <c r="J9" s="32" t="s">
        <v>93</v>
      </c>
      <c r="K9" s="1" t="n">
        <f aca="false">SUM((D9-C9)*2*24)</f>
        <v>8.96666666666667</v>
      </c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6.3"/>
    <col collapsed="false" customWidth="true" hidden="false" outlineLevel="0" max="9" min="9" style="2" width="9.9"/>
    <col collapsed="false" customWidth="true" hidden="false" outlineLevel="0" max="10" min="10" style="1" width="101.6"/>
    <col collapsed="false" customWidth="true" hidden="false" outlineLevel="0" max="11" min="11" style="1" width="7.9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94</v>
      </c>
      <c r="I2" s="8" t="n">
        <f aca="false">SUM(K6:K36)</f>
        <v>1.825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91</v>
      </c>
      <c r="I3" s="12" t="n">
        <f aca="false">SUM(I6:I36)</f>
        <v>0.0506944444444444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JULIO 2026</v>
      </c>
      <c r="I4" s="18"/>
      <c r="J4" s="19" t="s">
        <v>8</v>
      </c>
      <c r="K4" s="20"/>
      <c r="L4" s="20"/>
      <c r="M4" s="20"/>
      <c r="N4" s="20"/>
    </row>
    <row r="5" s="27" customFormat="tru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7" hidden="false" customHeight="true" outlineLevel="0" collapsed="false">
      <c r="A6" s="28" t="str">
        <f aca="false">IF(B6&gt;0,PROPER(TEXT(B6,"dddd")),"")</f>
        <v>Miércoles</v>
      </c>
      <c r="B6" s="29" t="n">
        <v>46204</v>
      </c>
      <c r="C6" s="30" t="n">
        <v>0.708333333333333</v>
      </c>
      <c r="D6" s="31" t="n">
        <v>0.759027777777778</v>
      </c>
      <c r="E6" s="30"/>
      <c r="F6" s="31"/>
      <c r="G6" s="30"/>
      <c r="H6" s="31"/>
      <c r="I6" s="30" t="n">
        <f aca="false">SUM(D6-C6,F6-E6,H6-G6)</f>
        <v>0.0506944444444444</v>
      </c>
      <c r="J6" s="32" t="s">
        <v>92</v>
      </c>
      <c r="K6" s="1" t="n">
        <f aca="false">SUM((D6-C6)*1.5*24)</f>
        <v>1.825</v>
      </c>
    </row>
    <row r="7" customFormat="false" ht="17.25" hidden="false" customHeight="true" outlineLevel="0" collapsed="false">
      <c r="A7" s="28" t="str">
        <f aca="false">IF(B7&gt;0,PROPER(TEXT(B7,"dddd")),"")</f>
        <v>Jueves</v>
      </c>
      <c r="B7" s="33" t="n">
        <v>46205</v>
      </c>
      <c r="C7" s="34"/>
      <c r="D7" s="35"/>
      <c r="E7" s="34"/>
      <c r="F7" s="35"/>
      <c r="G7" s="34"/>
      <c r="H7" s="35"/>
      <c r="I7" s="34" t="n">
        <f aca="false">SUM(D7-C7,F7-E7,H7-G7)</f>
        <v>0</v>
      </c>
      <c r="J7" s="32"/>
    </row>
    <row r="8" customFormat="false" ht="17.25" hidden="false" customHeight="true" outlineLevel="0" collapsed="false">
      <c r="A8" s="28" t="str">
        <f aca="false">IF(B8&gt;0,PROPER(TEXT(B8,"dddd")),"")</f>
        <v>Viernes</v>
      </c>
      <c r="B8" s="33" t="n">
        <v>46206</v>
      </c>
      <c r="C8" s="34"/>
      <c r="D8" s="35"/>
      <c r="E8" s="34"/>
      <c r="F8" s="35"/>
      <c r="G8" s="34"/>
      <c r="H8" s="35"/>
      <c r="I8" s="34" t="n">
        <f aca="false">SUM(D8-C8,F8-E8,H8-G8)</f>
        <v>0</v>
      </c>
      <c r="J8" s="32"/>
    </row>
    <row r="9" customFormat="false" ht="17.25" hidden="false" customHeight="true" outlineLevel="0" collapsed="false">
      <c r="A9" s="28" t="str">
        <f aca="false">IF(B9&gt;0,PROPER(TEXT(B9,"dddd")),"")</f>
        <v>Sábado</v>
      </c>
      <c r="B9" s="29" t="n">
        <v>46207</v>
      </c>
      <c r="C9" s="34"/>
      <c r="D9" s="35"/>
      <c r="E9" s="34"/>
      <c r="F9" s="35"/>
      <c r="G9" s="34"/>
      <c r="H9" s="35"/>
      <c r="I9" s="34" t="n">
        <f aca="false">SUM(D9-C9,F9-E9,H9-G9)</f>
        <v>0</v>
      </c>
      <c r="J9" s="32"/>
    </row>
    <row r="10" customFormat="false" ht="17.25" hidden="false" customHeight="true" outlineLevel="0" collapsed="false">
      <c r="A10" s="28" t="str">
        <f aca="false">IF(B10&gt;0,PROPER(TEXT(B10,"dddd")),"")</f>
        <v>Domingo</v>
      </c>
      <c r="B10" s="33" t="n">
        <v>46208</v>
      </c>
      <c r="C10" s="34"/>
      <c r="D10" s="35"/>
      <c r="E10" s="34"/>
      <c r="F10" s="35"/>
      <c r="G10" s="34"/>
      <c r="H10" s="35"/>
      <c r="I10" s="34" t="n">
        <f aca="false">SUM(D10-C10,F10-E10,H10-G10)</f>
        <v>0</v>
      </c>
      <c r="J10" s="32"/>
    </row>
    <row r="11" customFormat="false" ht="17.25" hidden="false" customHeight="true" outlineLevel="0" collapsed="false">
      <c r="A11" s="28" t="str">
        <f aca="false">IF(B11&gt;0,PROPER(TEXT(B11,"dddd")),"")</f>
        <v>Lunes</v>
      </c>
      <c r="B11" s="33" t="n">
        <v>46209</v>
      </c>
      <c r="C11" s="34"/>
      <c r="D11" s="35"/>
      <c r="E11" s="34"/>
      <c r="F11" s="35"/>
      <c r="G11" s="34"/>
      <c r="H11" s="35"/>
      <c r="I11" s="36" t="n">
        <f aca="false">SUM(D11-C11,F11-E11,H11-G11)</f>
        <v>0</v>
      </c>
      <c r="J11" s="32"/>
    </row>
    <row r="12" customFormat="false" ht="17.25" hidden="false" customHeight="true" outlineLevel="0" collapsed="false">
      <c r="A12" s="28" t="str">
        <f aca="false">IF(B12&gt;0,PROPER(TEXT(B12,"dddd")),"")</f>
        <v>Martes</v>
      </c>
      <c r="B12" s="29" t="n">
        <v>46210</v>
      </c>
      <c r="C12" s="34"/>
      <c r="D12" s="35"/>
      <c r="E12" s="34"/>
      <c r="F12" s="35"/>
      <c r="G12" s="34"/>
      <c r="H12" s="35"/>
      <c r="I12" s="37" t="n">
        <f aca="false">SUM(D12-C12,F12-E12,H12-G12)</f>
        <v>0</v>
      </c>
      <c r="J12" s="32"/>
    </row>
    <row r="13" customFormat="false" ht="17.25" hidden="false" customHeight="true" outlineLevel="0" collapsed="false">
      <c r="A13" s="28" t="str">
        <f aca="false">IF(B13&gt;0,PROPER(TEXT(B13,"dddd")),"")</f>
        <v>Miércoles</v>
      </c>
      <c r="B13" s="33" t="n">
        <v>46211</v>
      </c>
      <c r="C13" s="34"/>
      <c r="D13" s="35"/>
      <c r="E13" s="34"/>
      <c r="F13" s="35"/>
      <c r="G13" s="34"/>
      <c r="H13" s="35"/>
      <c r="I13" s="30" t="n">
        <f aca="false">SUM(D13-C13,F13-E13,H13-G13)</f>
        <v>0</v>
      </c>
      <c r="J13" s="32"/>
    </row>
    <row r="14" customFormat="false" ht="17.25" hidden="false" customHeight="true" outlineLevel="0" collapsed="false">
      <c r="A14" s="28" t="str">
        <f aca="false">IF(B14&gt;0,PROPER(TEXT(B14,"dddd")),"")</f>
        <v>Jueves</v>
      </c>
      <c r="B14" s="33" t="n">
        <v>46212</v>
      </c>
      <c r="C14" s="34"/>
      <c r="D14" s="35"/>
      <c r="E14" s="34"/>
      <c r="F14" s="35"/>
      <c r="G14" s="34"/>
      <c r="H14" s="35"/>
      <c r="I14" s="34" t="n">
        <f aca="false">SUM(D14-C14,F14-E14,H14-G14)</f>
        <v>0</v>
      </c>
      <c r="J14" s="32"/>
    </row>
    <row r="15" customFormat="false" ht="17.25" hidden="false" customHeight="true" outlineLevel="0" collapsed="false">
      <c r="A15" s="28" t="str">
        <f aca="false">IF(B15&gt;0,PROPER(TEXT(B15,"dddd")),"")</f>
        <v>Viernes</v>
      </c>
      <c r="B15" s="29" t="n">
        <v>46213</v>
      </c>
      <c r="C15" s="34"/>
      <c r="D15" s="35"/>
      <c r="E15" s="34"/>
      <c r="F15" s="35"/>
      <c r="G15" s="34"/>
      <c r="H15" s="35"/>
      <c r="I15" s="34" t="n">
        <f aca="false">SUM(D15-C15,F15-E15,H15-G15)</f>
        <v>0</v>
      </c>
      <c r="J15" s="32"/>
    </row>
    <row r="16" customFormat="false" ht="17.25" hidden="false" customHeight="true" outlineLevel="0" collapsed="false">
      <c r="A16" s="28" t="str">
        <f aca="false">IF(B16&gt;0,PROPER(TEXT(B16,"dddd")),"")</f>
        <v>Sábado</v>
      </c>
      <c r="B16" s="33" t="n">
        <v>46214</v>
      </c>
      <c r="C16" s="34"/>
      <c r="D16" s="35"/>
      <c r="E16" s="34"/>
      <c r="F16" s="35"/>
      <c r="G16" s="34"/>
      <c r="H16" s="35"/>
      <c r="I16" s="34" t="n">
        <f aca="false">SUM(D16-C16,F16-E16,H16-G16)</f>
        <v>0</v>
      </c>
      <c r="J16" s="32"/>
    </row>
    <row r="17" customFormat="false" ht="17.25" hidden="false" customHeight="true" outlineLevel="0" collapsed="false">
      <c r="A17" s="28" t="str">
        <f aca="false">IF(B17&gt;0,PROPER(TEXT(B17,"dddd")),"")</f>
        <v>Domingo</v>
      </c>
      <c r="B17" s="33" t="n">
        <v>46215</v>
      </c>
      <c r="C17" s="34"/>
      <c r="D17" s="35"/>
      <c r="E17" s="34"/>
      <c r="F17" s="35"/>
      <c r="G17" s="34"/>
      <c r="H17" s="35"/>
      <c r="I17" s="34" t="n">
        <f aca="false">SUM(D17-C17,F17-E17,H17-G17)</f>
        <v>0</v>
      </c>
      <c r="J17" s="32"/>
    </row>
    <row r="18" customFormat="false" ht="17.25" hidden="false" customHeight="true" outlineLevel="0" collapsed="false">
      <c r="A18" s="28" t="str">
        <f aca="false">IF(B18&gt;0,PROPER(TEXT(B18,"dddd")),"")</f>
        <v>Lunes</v>
      </c>
      <c r="B18" s="29" t="n">
        <v>46216</v>
      </c>
      <c r="C18" s="34"/>
      <c r="D18" s="35"/>
      <c r="E18" s="34"/>
      <c r="F18" s="35"/>
      <c r="G18" s="34"/>
      <c r="H18" s="35"/>
      <c r="I18" s="34" t="n">
        <f aca="false">SUM(D18-C18,F18-E18,H18-G18)</f>
        <v>0</v>
      </c>
      <c r="J18" s="32"/>
    </row>
    <row r="19" customFormat="false" ht="17.25" hidden="false" customHeight="true" outlineLevel="0" collapsed="false">
      <c r="A19" s="28" t="str">
        <f aca="false">IF(B19&gt;0,PROPER(TEXT(B19,"dddd")),"")</f>
        <v>Martes</v>
      </c>
      <c r="B19" s="33" t="n">
        <v>46217</v>
      </c>
      <c r="C19" s="34"/>
      <c r="D19" s="35"/>
      <c r="E19" s="34"/>
      <c r="F19" s="35"/>
      <c r="G19" s="34"/>
      <c r="H19" s="35"/>
      <c r="I19" s="34" t="n">
        <f aca="false">SUM(D19-C19,F19-E19,H19-G19)</f>
        <v>0</v>
      </c>
      <c r="J19" s="32"/>
    </row>
    <row r="20" customFormat="false" ht="17.25" hidden="false" customHeight="true" outlineLevel="0" collapsed="false">
      <c r="A20" s="28" t="str">
        <f aca="false">IF(B20&gt;0,PROPER(TEXT(B20,"dddd")),"")</f>
        <v>Miércoles</v>
      </c>
      <c r="B20" s="33" t="n">
        <v>46218</v>
      </c>
      <c r="C20" s="34"/>
      <c r="D20" s="35"/>
      <c r="E20" s="34"/>
      <c r="F20" s="35"/>
      <c r="G20" s="34"/>
      <c r="H20" s="35"/>
      <c r="I20" s="34" t="n">
        <f aca="false">SUM(D20-C20,F20-E20,H20-G20)</f>
        <v>0</v>
      </c>
      <c r="J20" s="32"/>
    </row>
    <row r="21" customFormat="false" ht="17.25" hidden="false" customHeight="true" outlineLevel="0" collapsed="false">
      <c r="A21" s="28" t="str">
        <f aca="false">IF(B21&gt;0,PROPER(TEXT(B21,"dddd")),"")</f>
        <v>Jueves</v>
      </c>
      <c r="B21" s="29" t="n">
        <v>46219</v>
      </c>
      <c r="C21" s="34"/>
      <c r="D21" s="35"/>
      <c r="E21" s="34"/>
      <c r="F21" s="35"/>
      <c r="G21" s="34"/>
      <c r="H21" s="35"/>
      <c r="I21" s="34" t="n">
        <f aca="false">SUM(D21-C21,F21-E21,H21-G21)</f>
        <v>0</v>
      </c>
      <c r="J21" s="32"/>
    </row>
    <row r="22" customFormat="false" ht="17.25" hidden="false" customHeight="true" outlineLevel="0" collapsed="false">
      <c r="A22" s="28" t="str">
        <f aca="false">IF(B22&gt;0,PROPER(TEXT(B22,"dddd")),"")</f>
        <v>Viernes</v>
      </c>
      <c r="B22" s="33" t="n">
        <v>46220</v>
      </c>
      <c r="C22" s="34"/>
      <c r="D22" s="35"/>
      <c r="E22" s="34"/>
      <c r="F22" s="35"/>
      <c r="G22" s="34"/>
      <c r="H22" s="35"/>
      <c r="I22" s="34" t="n">
        <f aca="false">SUM(D22-C22,F22-E22,H22-G22)</f>
        <v>0</v>
      </c>
      <c r="J22" s="32"/>
    </row>
    <row r="23" customFormat="false" ht="17.25" hidden="false" customHeight="true" outlineLevel="0" collapsed="false">
      <c r="A23" s="28" t="str">
        <f aca="false">IF(B23&gt;0,PROPER(TEXT(B23,"dddd")),"")</f>
        <v>Sábado</v>
      </c>
      <c r="B23" s="33" t="n">
        <v>46221</v>
      </c>
      <c r="C23" s="34"/>
      <c r="D23" s="35"/>
      <c r="E23" s="34"/>
      <c r="F23" s="35"/>
      <c r="G23" s="34"/>
      <c r="H23" s="35"/>
      <c r="I23" s="34" t="n">
        <f aca="false">SUM(D23-C23,F23-E23,H23-G23)</f>
        <v>0</v>
      </c>
      <c r="J23" s="32"/>
    </row>
    <row r="24" customFormat="false" ht="17.25" hidden="false" customHeight="true" outlineLevel="0" collapsed="false">
      <c r="A24" s="28" t="str">
        <f aca="false">IF(B24&gt;0,PROPER(TEXT(B24,"dddd")),"")</f>
        <v>Domingo</v>
      </c>
      <c r="B24" s="29" t="n">
        <v>46222</v>
      </c>
      <c r="C24" s="34"/>
      <c r="D24" s="35"/>
      <c r="E24" s="34"/>
      <c r="F24" s="35"/>
      <c r="G24" s="34"/>
      <c r="H24" s="35"/>
      <c r="I24" s="34" t="n">
        <f aca="false">SUM(D24-C24,F24-E24,H24-G24)</f>
        <v>0</v>
      </c>
      <c r="J24" s="32"/>
    </row>
    <row r="25" customFormat="false" ht="17.25" hidden="false" customHeight="true" outlineLevel="0" collapsed="false">
      <c r="A25" s="28" t="str">
        <f aca="false">IF(B25&gt;0,PROPER(TEXT(B25,"dddd")),"")</f>
        <v>Lunes</v>
      </c>
      <c r="B25" s="33" t="n">
        <v>46223</v>
      </c>
      <c r="C25" s="34"/>
      <c r="D25" s="35"/>
      <c r="E25" s="34"/>
      <c r="F25" s="35"/>
      <c r="G25" s="34"/>
      <c r="H25" s="35"/>
      <c r="I25" s="34" t="n">
        <f aca="false">SUM(D25-C25,F25-E25,H25-G25)</f>
        <v>0</v>
      </c>
      <c r="J25" s="32"/>
    </row>
    <row r="26" customFormat="false" ht="17.25" hidden="false" customHeight="true" outlineLevel="0" collapsed="false">
      <c r="A26" s="28" t="str">
        <f aca="false">IF(B26&gt;0,PROPER(TEXT(B26,"dddd")),"")</f>
        <v>Martes</v>
      </c>
      <c r="B26" s="33" t="n">
        <v>46224</v>
      </c>
      <c r="C26" s="34"/>
      <c r="D26" s="35"/>
      <c r="E26" s="34"/>
      <c r="F26" s="35"/>
      <c r="G26" s="34"/>
      <c r="H26" s="35"/>
      <c r="I26" s="34" t="n">
        <f aca="false">SUM(D26-C26,F26-E26,H26-G26)</f>
        <v>0</v>
      </c>
      <c r="J26" s="32"/>
    </row>
    <row r="27" customFormat="false" ht="17.25" hidden="false" customHeight="true" outlineLevel="0" collapsed="false">
      <c r="A27" s="28" t="str">
        <f aca="false">IF(B27&gt;0,PROPER(TEXT(B27,"dddd")),"")</f>
        <v>Miércoles</v>
      </c>
      <c r="B27" s="29" t="n">
        <v>46225</v>
      </c>
      <c r="C27" s="34"/>
      <c r="D27" s="35"/>
      <c r="E27" s="34"/>
      <c r="F27" s="35"/>
      <c r="G27" s="34"/>
      <c r="H27" s="35"/>
      <c r="I27" s="34" t="n">
        <f aca="false">SUM(D27-C27,F27-E27,H27-G27)</f>
        <v>0</v>
      </c>
      <c r="J27" s="32"/>
    </row>
    <row r="28" customFormat="false" ht="17.25" hidden="false" customHeight="true" outlineLevel="0" collapsed="false">
      <c r="A28" s="28" t="str">
        <f aca="false">IF(B28&gt;0,PROPER(TEXT(B28,"dddd")),"")</f>
        <v>Jueves</v>
      </c>
      <c r="B28" s="33" t="n">
        <v>46226</v>
      </c>
      <c r="C28" s="34"/>
      <c r="D28" s="35"/>
      <c r="E28" s="34"/>
      <c r="F28" s="35"/>
      <c r="G28" s="34"/>
      <c r="H28" s="35"/>
      <c r="I28" s="34" t="n">
        <f aca="false">SUM(D28-C28,F28-E28,H28-G28)</f>
        <v>0</v>
      </c>
      <c r="J28" s="32"/>
    </row>
    <row r="29" customFormat="false" ht="17.25" hidden="false" customHeight="true" outlineLevel="0" collapsed="false">
      <c r="A29" s="28" t="str">
        <f aca="false">IF(B29&gt;0,PROPER(TEXT(B29,"dddd")),"")</f>
        <v>Viernes</v>
      </c>
      <c r="B29" s="33" t="n">
        <v>46227</v>
      </c>
      <c r="C29" s="34"/>
      <c r="D29" s="35"/>
      <c r="E29" s="34"/>
      <c r="F29" s="35"/>
      <c r="G29" s="34"/>
      <c r="H29" s="35"/>
      <c r="I29" s="34" t="n">
        <f aca="false">SUM(D29-C29,F29-E29,H29-G29)</f>
        <v>0</v>
      </c>
      <c r="J29" s="32"/>
    </row>
    <row r="30" customFormat="false" ht="17.25" hidden="false" customHeight="true" outlineLevel="0" collapsed="false">
      <c r="A30" s="28" t="str">
        <f aca="false">IF(B30&gt;0,PROPER(TEXT(B30,"dddd")),"")</f>
        <v>Sábado</v>
      </c>
      <c r="B30" s="29" t="n">
        <v>46228</v>
      </c>
      <c r="C30" s="34"/>
      <c r="D30" s="35"/>
      <c r="E30" s="34"/>
      <c r="F30" s="35"/>
      <c r="G30" s="34"/>
      <c r="H30" s="35"/>
      <c r="I30" s="34" t="n">
        <f aca="false">SUM(D30-C30,F30-E30,H30-G30)</f>
        <v>0</v>
      </c>
      <c r="J30" s="32"/>
    </row>
    <row r="31" customFormat="false" ht="17.25" hidden="false" customHeight="true" outlineLevel="0" collapsed="false">
      <c r="A31" s="28" t="str">
        <f aca="false">IF(B31&gt;0,PROPER(TEXT(B31,"dddd")),"")</f>
        <v>Domingo</v>
      </c>
      <c r="B31" s="33" t="n">
        <v>46229</v>
      </c>
      <c r="C31" s="34"/>
      <c r="D31" s="35"/>
      <c r="E31" s="34"/>
      <c r="F31" s="35"/>
      <c r="G31" s="34"/>
      <c r="H31" s="35"/>
      <c r="I31" s="34" t="n">
        <f aca="false">SUM(D31-C31,F31-E31,H31-G31)</f>
        <v>0</v>
      </c>
      <c r="J31" s="32"/>
    </row>
    <row r="32" customFormat="false" ht="17.25" hidden="false" customHeight="true" outlineLevel="0" collapsed="false">
      <c r="A32" s="28" t="str">
        <f aca="false">IF(B32&gt;0,PROPER(TEXT(B32,"dddd")),"")</f>
        <v>Lunes</v>
      </c>
      <c r="B32" s="33" t="n">
        <v>46230</v>
      </c>
      <c r="C32" s="34"/>
      <c r="D32" s="35"/>
      <c r="E32" s="34"/>
      <c r="F32" s="35"/>
      <c r="G32" s="34"/>
      <c r="H32" s="35"/>
      <c r="I32" s="34" t="n">
        <f aca="false">SUM(D32-C32,F32-E32,H32-G32)</f>
        <v>0</v>
      </c>
      <c r="J32" s="32"/>
    </row>
    <row r="33" customFormat="false" ht="17.25" hidden="false" customHeight="true" outlineLevel="0" collapsed="false">
      <c r="A33" s="28" t="str">
        <f aca="false">IF(B33&gt;0,PROPER(TEXT(B33,"dddd")),"")</f>
        <v>Martes</v>
      </c>
      <c r="B33" s="29" t="n">
        <v>46231</v>
      </c>
      <c r="C33" s="34"/>
      <c r="D33" s="35"/>
      <c r="E33" s="34"/>
      <c r="F33" s="35"/>
      <c r="G33" s="34"/>
      <c r="H33" s="35"/>
      <c r="I33" s="34" t="n">
        <f aca="false">SUM(D33-C33,F33-E33,H33-G33)</f>
        <v>0</v>
      </c>
      <c r="J33" s="32"/>
    </row>
    <row r="34" customFormat="false" ht="17.25" hidden="false" customHeight="true" outlineLevel="0" collapsed="false">
      <c r="A34" s="28" t="str">
        <f aca="false">IF(B34&gt;0,PROPER(TEXT(B34,"dddd")),"")</f>
        <v>Miércoles</v>
      </c>
      <c r="B34" s="33" t="n">
        <v>46232</v>
      </c>
      <c r="C34" s="34"/>
      <c r="D34" s="35"/>
      <c r="E34" s="34"/>
      <c r="F34" s="35"/>
      <c r="G34" s="34"/>
      <c r="H34" s="35"/>
      <c r="I34" s="34" t="n">
        <f aca="false">SUM(D34-C34,F34-E34,H34-G34)</f>
        <v>0</v>
      </c>
      <c r="J34" s="32"/>
    </row>
    <row r="35" customFormat="false" ht="17.25" hidden="false" customHeight="true" outlineLevel="0" collapsed="false">
      <c r="A35" s="28" t="str">
        <f aca="false">IF(B35&gt;0,PROPER(TEXT(B35,"dddd")),"")</f>
        <v>Jueves</v>
      </c>
      <c r="B35" s="33" t="n">
        <v>46233</v>
      </c>
      <c r="C35" s="34"/>
      <c r="D35" s="35"/>
      <c r="E35" s="34"/>
      <c r="F35" s="35"/>
      <c r="G35" s="34"/>
      <c r="H35" s="35"/>
      <c r="I35" s="34" t="n">
        <f aca="false">SUM(D35-C35,F35-E35,H35-G35)</f>
        <v>0</v>
      </c>
      <c r="J35" s="32"/>
    </row>
    <row r="36" customFormat="false" ht="17.25" hidden="false" customHeight="true" outlineLevel="0" collapsed="false">
      <c r="A36" s="38" t="str">
        <f aca="false">IF(B36&gt;0,PROPER(TEXT(B36,"dddd")),"")</f>
        <v>Viernes</v>
      </c>
      <c r="B36" s="39" t="n">
        <v>46234</v>
      </c>
      <c r="C36" s="40"/>
      <c r="D36" s="41"/>
      <c r="E36" s="40"/>
      <c r="F36" s="41"/>
      <c r="G36" s="40"/>
      <c r="H36" s="41"/>
      <c r="I36" s="40" t="n">
        <f aca="false">SUM(D36-C36,F36-E36,H36-G36)</f>
        <v>0</v>
      </c>
      <c r="J36" s="42"/>
    </row>
    <row r="37" customFormat="false" ht="15.75" hidden="false" customHeight="true" outlineLevel="0" collapsed="false">
      <c r="A37" s="43"/>
      <c r="B37" s="44"/>
      <c r="C37" s="44"/>
      <c r="D37" s="44"/>
      <c r="E37" s="44"/>
      <c r="F37" s="44"/>
      <c r="G37" s="44"/>
      <c r="H37" s="44"/>
      <c r="I37" s="45"/>
      <c r="J37" s="44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236111111111111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LibreOffice_project/f4d82cf4d44730936b3f1a72d05a6253f577d3e9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1999-03-18T09:31:00Z</dcterms:created>
  <dc:creator>Planificación</dc:creator>
  <dc:description/>
  <dc:language>es-EC</dc:language>
  <cp:lastModifiedBy>Ernesto Palacios</cp:lastModifiedBy>
  <cp:lastPrinted>2026-06-04T14:54:57Z</cp:lastPrinted>
  <dcterms:modified xsi:type="dcterms:W3CDTF">2026-07-09T12:53:39Z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