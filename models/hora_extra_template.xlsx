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3" documentId="11_857A820262CC3F16C8B32A21E7F667A23019B9A8" xr6:coauthVersionLast="47" xr6:coauthVersionMax="47" xr10:uidLastSave="{50BAF90B-F98B-4A18-94BE-E99C27620654}"/>
  <bookViews>
    <workbookView xWindow="-120" yWindow="-120" windowWidth="26490" windowHeight="15390" tabRatio="500" activeTab="1" xr2:uid="{00000000-000D-0000-FFFF-FFFF00000000}"/>
  </bookViews>
  <sheets>
    <sheet name="Revisar_primero" sheetId="1" r:id="rId1"/>
    <sheet name="result" sheetId="2" r:id="rId2"/>
  </sheets>
  <definedNames>
    <definedName name="_xlnm._FilterDatabase" localSheetId="1" hidden="1">result!$A$1:$M$225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G225" i="2" l="1"/>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sharedStrings.xml><?xml version="1.0" encoding="utf-8"?>
<sst xmlns="http://schemas.openxmlformats.org/spreadsheetml/2006/main" count="1491" uniqueCount="589">
  <si>
    <t>Aplica</t>
  </si>
  <si>
    <t>Fecha</t>
  </si>
  <si>
    <t>Etiqueta</t>
  </si>
  <si>
    <t>Cuentas</t>
  </si>
  <si>
    <t>Colores</t>
  </si>
  <si>
    <t>Reglas de colores aplicadas al documento</t>
  </si>
  <si>
    <t>TODOS</t>
  </si>
  <si>
    <t>“Año Nuevo”</t>
  </si>
  <si>
    <t>sábado</t>
  </si>
  <si>
    <t>“Oriente”</t>
  </si>
  <si>
    <t xml:space="preserve"> REDES</t>
  </si>
  <si>
    <t>domingo</t>
  </si>
  <si>
    <t>“Carnaval L”</t>
  </si>
  <si>
    <t xml:space="preserve"> ALUMBRADO</t>
  </si>
  <si>
    <t>feriado</t>
  </si>
  <si>
    <t>“Carnaval M”</t>
  </si>
  <si>
    <t xml:space="preserve"> ACOMETIDAS</t>
  </si>
  <si>
    <t>madrugada</t>
  </si>
  <si>
    <t>“Viernes Santo”</t>
  </si>
  <si>
    <t xml:space="preserve"> MEDIDORES</t>
  </si>
  <si>
    <t>revisar hora inicio</t>
  </si>
  <si>
    <t>debería ser hasta 08:00 am</t>
  </si>
  <si>
    <t>“Trabajo”</t>
  </si>
  <si>
    <t xml:space="preserve"> informativa</t>
  </si>
  <si>
    <t>revisar hora final</t>
  </si>
  <si>
    <t>debería ser desde 17:00 pm</t>
  </si>
  <si>
    <t>“Pichincha”</t>
  </si>
  <si>
    <t xml:space="preserve"> transporte</t>
  </si>
  <si>
    <t xml:space="preserve">“Independencia” </t>
  </si>
  <si>
    <t xml:space="preserve"> SUBESTACION</t>
  </si>
  <si>
    <t xml:space="preserve">“Guayaquil” </t>
  </si>
  <si>
    <t xml:space="preserve"> SUBTRANSMISION</t>
  </si>
  <si>
    <t>“Difuntos”</t>
  </si>
  <si>
    <t xml:space="preserve"> Servicios_Ocasional</t>
  </si>
  <si>
    <t>“Cuenca”</t>
  </si>
  <si>
    <t xml:space="preserve"> PLANILL</t>
  </si>
  <si>
    <t>“Provincializacion”</t>
  </si>
  <si>
    <t xml:space="preserve"> Nuevos_Servici</t>
  </si>
  <si>
    <t>“Navidad”</t>
  </si>
  <si>
    <t xml:space="preserve"> se_labora</t>
  </si>
  <si>
    <t>Zamora Z1 (Cuadrilla. Nro. 6)</t>
  </si>
  <si>
    <t>“Cantonizacion”</t>
  </si>
  <si>
    <t xml:space="preserve"> lunch</t>
  </si>
  <si>
    <t>Zamora Z1 (Cuadrilla. AP Nro. 4)</t>
  </si>
  <si>
    <t xml:space="preserve"> ?</t>
  </si>
  <si>
    <t>Zamora (Agencia)</t>
  </si>
  <si>
    <t>Jefatura Zonal Zamora</t>
  </si>
  <si>
    <t>Yacuambi Z1 (Cuadrilla. Nro. 8)</t>
  </si>
  <si>
    <t>Yantzaza Z1 (Cuadrilla. Nro. 5)</t>
  </si>
  <si>
    <t>Líneas Energizadas (Cuadrilla  Nro.6)</t>
  </si>
  <si>
    <t>Yantzaza (Agencia)</t>
  </si>
  <si>
    <t>Paquisha Z1 (Cuadrilla Nro. 10)</t>
  </si>
  <si>
    <t>Guayzimi Z1 (Cuadrilla. Nro. 7)</t>
  </si>
  <si>
    <t>El Pangui Z1 (Cuadrilla. Nro. 4)</t>
  </si>
  <si>
    <t>El Pangui (Agencia)</t>
  </si>
  <si>
    <t>Gualaquiza Z1 (Cuadrilla. Nro. 3)</t>
  </si>
  <si>
    <t>“Cantonización”</t>
  </si>
  <si>
    <t>Gualaquiza (Agencia)</t>
  </si>
  <si>
    <t>Cuadrilla</t>
  </si>
  <si>
    <t>Responsable</t>
  </si>
  <si>
    <t>Dia</t>
  </si>
  <si>
    <t>InicioEvento</t>
  </si>
  <si>
    <t>FinEvento</t>
  </si>
  <si>
    <t>Duracion</t>
  </si>
  <si>
    <t>Evento</t>
  </si>
  <si>
    <t>Cuenta</t>
  </si>
  <si>
    <t>id_ot</t>
  </si>
  <si>
    <t>Items</t>
  </si>
  <si>
    <t>Num_Filas</t>
  </si>
  <si>
    <t>Archivo</t>
  </si>
  <si>
    <t>RS, JCR</t>
  </si>
  <si>
    <t>lunes</t>
  </si>
  <si>
    <t>San Carlos de las Minas, arreglo de conexiones y cambio de breaker del M# 297664 desde la Est # 245700</t>
  </si>
  <si>
    <t>ACOMETIDAS</t>
  </si>
  <si>
    <t>OT [01] Cuadrilla Zamora 2026-03-02 (007) RS.pdf</t>
  </si>
  <si>
    <t>FR, RS, LL, VZH, JCR</t>
  </si>
  <si>
    <t>martes</t>
  </si>
  <si>
    <t>Los Cedrales, se coordina con Personal de GEGEA y Centro de Maniobras, en la estructura 27803 se cierra seccionador y normaliza el servicio eléctrico</t>
  </si>
  <si>
    <t>REDES</t>
  </si>
  <si>
    <t>OT [01] Cuadrilla Zamora 2026-03-03 (006) FR.pdf</t>
  </si>
  <si>
    <t>FR, RS, JCR</t>
  </si>
  <si>
    <t>miércoles</t>
  </si>
  <si>
    <t>El Tambo, en la Est 34831 se cambia fusible de 25A-T Fase A, causa: descargas atmosféricas</t>
  </si>
  <si>
    <t>OT [01] Cuadrilla Zamora 2026-03-04 (006) FR.pdf</t>
  </si>
  <si>
    <t>Jamboe, se revisa y arregla conexión arrancada por recalentamiento del M# 18518314 desde la Est # 273221.</t>
  </si>
  <si>
    <t>OT [01] Cuadrilla Zamora 2026-03-04 (007) RS.pdf</t>
  </si>
  <si>
    <t>Napintza, previa revisión de la LMT 1F entre las estructuras 217134 y 217133 se encuentra material aglomerado de minería cerca a la LMT 1F; se hace desalojar parte del material antes de energizar, en la Est 191853 se cambia tirafusible de 25 A-T Fase C.</t>
  </si>
  <si>
    <t>OT [01] Cuadrilla Zamora 2026-03-07 (007) RS.pdf</t>
  </si>
  <si>
    <t>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</si>
  <si>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</si>
  <si>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OT [01] Cuadrilla Zamora 2026-03-08 (007) RS.pdf</t>
  </si>
  <si>
    <t>Rio Blanco, se revisa, detecta y despeja falla en el M# 18-238241 de la Est # 210898 trafo SICAP 9579 de 5KVA. Traslado a vía Jamboe, se revisa y retira en la estructura. 273205 rama desplomada por fuertes vientos y cambia en la Est # 273612 tirafusible de 12-T.</t>
  </si>
  <si>
    <t>Tranposrte, nos trasladamos desde agencia EERSSA Zamora a la calle Diego de Vaca, continua al siguiente día.</t>
  </si>
  <si>
    <t>Zamora calle Diego de Vaca, se revisa M# 248193 y arregla recalentamiento en puente a causa de conexión floja.</t>
  </si>
  <si>
    <t>OT [01] Cuadrilla Zamora 2026-03-09 (007) RS.pdf</t>
  </si>
  <si>
    <t>FR, RS</t>
  </si>
  <si>
    <t>Agencia Zamora, se carga 2 transformadores de 15KVA para cambio en apoyo a Cuadrilla Yacuambi; desde la Agencia Zamora nos trasladamos hacia Yacuambi</t>
  </si>
  <si>
    <t>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</si>
  <si>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</si>
  <si>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FR, LL, VZH, JCR</t>
  </si>
  <si>
    <t>viernes</t>
  </si>
  <si>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</si>
  <si>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OT [01] Cuadrilla Zamora 2026-03-13 (006) FR.pdf</t>
  </si>
  <si>
    <t>LL, SO</t>
  </si>
  <si>
    <t>Sakantza, M# 18-237293 breaker dañado, se cambia breaker y se normaliza el servicio eléctrico.</t>
  </si>
  <si>
    <t>OT [01] Cuadrilla Zamora 2026-03-16 (006) FR.pdf</t>
  </si>
  <si>
    <t xml:space="preserve">San Carlos, M# 1-51490 se encuentra acometida sulfatado, se arregla y despeja la falla y se normaliza el servicio eléctrico. </t>
  </si>
  <si>
    <t>OT [01] Cuadrilla Zamora 2026-03-18 (006) FR.pdf</t>
  </si>
  <si>
    <t>jueves</t>
  </si>
  <si>
    <t xml:space="preserve">Barrio La Unión, Est # 252977 trafo 21060 de 25KVA, se habilita, acometida arrancada por vehículo, M# 233917. Namirez Bajo, M# 241868 conexiones de breaker flojas se despeja la falla. </t>
  </si>
  <si>
    <t>REDES:70, ACOMETIDAS:30</t>
  </si>
  <si>
    <t>OT [01] Cuadrilla Zamora 2026-03-19 (006) FR.pdf</t>
  </si>
  <si>
    <t>FR, VZH, JCR</t>
  </si>
  <si>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</si>
  <si>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REDES:90,ACOMETIDAS:10</t>
  </si>
  <si>
    <t>OT [01] Cuadrilla Zamora 2026-03-20 (006) FR.pdf</t>
  </si>
  <si>
    <t>FR, RS, GJ</t>
  </si>
  <si>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</si>
  <si>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SUBTRANSMISION</t>
  </si>
  <si>
    <t>OT [01] Cuadrilla Zamora 2026-03-21 (006) FR.pdf</t>
  </si>
  <si>
    <t>Desde Panguintza, nos trasladamos hacia la Agencia Zamora</t>
  </si>
  <si>
    <t>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</si>
  <si>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OT [01] Cuadrilla Zamora 2026-03-21 (008) LL.pdf</t>
  </si>
  <si>
    <t>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</si>
  <si>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Carmelo de Guadalupe, daño reportado por Centro de Control; reclamante Edwin Cabrera, No se pudo dar con la falla ya que es un lugar rural, oscuridad y abundante vegetación no nos permitio solucionarlo, queda pendiente para el siguiente día.</t>
  </si>
  <si>
    <t>Agencia Zamora, se equipa vehículo de materiales y herramientas. Soapaca, se coordina trabajo con el Ing Andrew Quezada. Panguintza, Est # 221730-221731, se coloca crucetas de 1,20m, con pies de amigos, se eleva puentes con cadena de aisladores, limpieza de discos de aisladores.</t>
  </si>
  <si>
    <t>OT [01] Cuadrilla Zamora 2026-03-22 (006) FR.pdf</t>
  </si>
  <si>
    <t>OT [01] Cuadrilla Zamora 2026-03-22 (008) LL.pdf</t>
  </si>
  <si>
    <t>Carmelo de Guadalupe, se revisa linea al Carmelo, se cambia fusible quemado de 8A-T en la Est # 235933, se normaliza el servicio eléctrico al Carmelo.</t>
  </si>
  <si>
    <t>LM, JCH, MC</t>
  </si>
  <si>
    <t>Piuntza de Guadalupe, Est # 179690, se arregla conexiones recalentadas en bajantes del trafo 19567 de 37,5 kVA. Kantzama de Guadalupe, Est # 38462, se arregla conexiones sulfatadas del M# 18-251396.</t>
  </si>
  <si>
    <t>OT [02] Alumbrado Zamora 2026-03-10 (012) LM.pdf</t>
  </si>
  <si>
    <t>La Florida de Yantzaza, arreglo de luminarias en mal estado, traslado desde el barrio playa de La Florida hacia Zamora.</t>
  </si>
  <si>
    <t>ALUMBRADO</t>
  </si>
  <si>
    <t>OT [02] Alumbrado Zamora 2026-03-11 (012) LM.pdf</t>
  </si>
  <si>
    <t>Calle Sevilla de Oro y Francisco de Orellana, Est # 27284 se repone tirafusible 6A-T derivación monofásica de dos transformadores de 15 KVA; causa: ave electrocutada. Continua, al siguiente día.</t>
  </si>
  <si>
    <t>Calle Sevilla de Oro y Francisco de Orellana, Est # 27284 se repone tirafusible 6A-T derivación monofásica de dos transformadores de 15 KVA; causa: ave electrocutada, se verifica el servicio.</t>
  </si>
  <si>
    <t>OT [02] Alumbrado Zamora 2026-03-12 (012) LM.pdf</t>
  </si>
  <si>
    <t>LM, RY, JCH</t>
  </si>
  <si>
    <t xml:space="preserve">Sector de Campanillas, San Carlos de Las Minas en el vano entre las Est # 211768, 252347, se revisa y se arregla línea neutro picada y retorna a Zamora. </t>
  </si>
  <si>
    <t>OT [02] Alumbrado Zamora 2026-03-14 (012) LM.pdf</t>
  </si>
  <si>
    <t>RY, JCH</t>
  </si>
  <si>
    <t>La Pituca, se recorre LMT desde el arranque hasta La Pituca en Est # 38972, sin presentar novedad; Est # 38807 se encuentra fusible quemado, se presume descarga eléctrica por fuertes lluvias, se repone tirafusible 6A-T.</t>
  </si>
  <si>
    <t>OT [02] Alumbrado Zamora 2026-03-15 (013) RY.pdf</t>
  </si>
  <si>
    <t>LM, MC</t>
  </si>
  <si>
    <t>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</si>
  <si>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OT [02] Alumbrado Zamora 2026-03-19 (012) LM.pdf</t>
  </si>
  <si>
    <t>INC No. 11041012368. Atendido, luminaria de 70 W Na en mal estado, Repotenciación, se reemplaza por 150W Na 2NP Nos trasladamos desde el barrio La Unión de Chicaña hacia Los Encuentros.</t>
  </si>
  <si>
    <t>LM, RY, JCH, MC</t>
  </si>
  <si>
    <t>Transporte desde Gualaquiza hasta Zamora luego de atender incidencias de Alumbrado,.</t>
  </si>
  <si>
    <t>OT [02] Alumbrado Zamora 2026-03-20 (012) LM.pdf</t>
  </si>
  <si>
    <t>NL, WC</t>
  </si>
  <si>
    <t>Jembuentza, se encuentra breaker de caja moldeada carbonizado de los Med 1000379108, 207709, se coordina con el cliente quien nos entrega un breaker nuevo, se restablece el servicio eléctrico.</t>
  </si>
  <si>
    <t>OT [03] Cuadrilla Yacuambi 2026-03-07 (017) NL.pdf</t>
  </si>
  <si>
    <t>Napurak, Est # 39204 se repone tirafusible 25A-T. Cambana, trafo 24856 de 15KVA, se revisa encontrando RBV pegadas por maquinaria de minería, se corrige y repone tirafusible de 0,7SR.</t>
  </si>
  <si>
    <t>OT [03] Cuadrilla Yacuambi 2026-03-08 (017) NL.pdf</t>
  </si>
  <si>
    <t>NL, WC, NR, VZH, JCR</t>
  </si>
  <si>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</si>
  <si>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</si>
  <si>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</si>
  <si>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OT [03] Cuadrilla Yacuambi 2026-03-11 (017) NL.pdf</t>
  </si>
  <si>
    <t>NL, WC, NR</t>
  </si>
  <si>
    <t>Traslado desde Barbascal de Chivatos hasta San José Chico, se encuentra Med 1000383227 acometida arrancada por caída de vegetación, se restablece\nel servicio eléctrico.</t>
  </si>
  <si>
    <t>OT [03] Cuadrilla Yacuambi 2026-03-13 (017) NL.pdf</t>
  </si>
  <si>
    <t>Piuntza Alto de La Paz, en la Est # 276154 se abre puentes de LBT para división de circuitos, en la Est 275803 se viste transformador SICAP 17242 de 10KVA, se retorna a Yacuambi.</t>
  </si>
  <si>
    <t>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</si>
  <si>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</si>
  <si>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REDES:50, ACOMETIDAS:50</t>
  </si>
  <si>
    <t>OT [03] Cuadrilla Yacuambi 2026-03-20 (017) NL.pdf</t>
  </si>
  <si>
    <t>En Agencia Zamora, se coordina trabajos con el Ing Anderw Quezada, se equipa vehículo de herramientas, materiales, sector Chamico se labora en conjunto con la Cuadrilla de Loja trabajos planificados de la LST Cumbaratza Yantzaza.</t>
  </si>
  <si>
    <t>OT [03] Cuadrilla Yacuambi 2026-03-21 (017) NL.pdf</t>
  </si>
  <si>
    <t>Chamico, se continua con labores con la Cuadrilla de Loja trabajos planificados de la LST Cumbaratza Yantzaza.</t>
  </si>
  <si>
    <t>OT [03] Cuadrilla Yacuambi 2026-03-22 (017) NL.pdf</t>
  </si>
  <si>
    <t>WC, NR</t>
  </si>
  <si>
    <t>Traslado desde Bodega hasta Kantzama Bajo, en la Est # 70782 se revisa y repone tirafusible de 0,4SR del transformador SICAP 18219 de 5KVA, se revisa se repone.</t>
  </si>
  <si>
    <t>OT [03] Cuadrilla Yacuambi 2026-03-22 (018) WC.pdf</t>
  </si>
  <si>
    <t>SB, JLC</t>
  </si>
  <si>
    <t>Barrio Klever Herrera, se reajusta conexiones de medidor 23435 bornera recalentada, se informa que es necesario restituir breker trifásico de 50 A, se reestablece el servicio.</t>
  </si>
  <si>
    <t>OT [04] Cuadrilla Yantzaza 2026-03-01 (021) SB.pdf</t>
  </si>
  <si>
    <t>La Delicia, estructura 161991, se rehabilita transformador # 7129 de 10KVA a las 20:00. Causa: sobrecarga temporal.</t>
  </si>
  <si>
    <t>AA, RCL</t>
  </si>
  <si>
    <t>Vista Hermosa, estructura 64365, se rehabilita el trafo 17252 de 10 KVA, se verifica que todo quede normalizado.</t>
  </si>
  <si>
    <t>OT [04] Cuadrilla Yantzaza 2026-03-09 (022) AA.pdf</t>
  </si>
  <si>
    <t>Vista Hermosa, se revisa el medidor 1000410526, se encuentra con breaker en mal estado, el cliente adquiere un nuevo y se lo repone.</t>
  </si>
  <si>
    <t xml:space="preserve">San Juan de Chicaña, estructura 280028, se resetea el transformador 7049 de 10 KVA por sobrecarga. </t>
  </si>
  <si>
    <t>OT [04] Cuadrilla Yantzaza 2026-03-12 (022) AA.pdf</t>
  </si>
  <si>
    <t>Los Encuentros, medidor 18-208577, se encuentra cortado por falta de pago, queda sin servicios hasta su cancelación.</t>
  </si>
  <si>
    <t>OT [04] Cuadrilla Yantzaza 2026-03-13 (022) AA.pdf</t>
  </si>
  <si>
    <t>Nos trasladamos de la agencia Yantzaza a Los Encuentros, por falla del Reconectador Bellavista, continúa.</t>
  </si>
  <si>
    <t>Se recorre y revisa, entre las estructura 31834 y 31835 se encuentra un derrumbo en la vía y un árbol sobre la LMT 3Ø, se retira el árbol, se cierra los seccionadores en la estructura 31578 y se normaliza el servicio.</t>
  </si>
  <si>
    <t>OT [04] Cuadrilla Yantzaza 2026-03-14 (022) AA.pdf</t>
  </si>
  <si>
    <t>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</si>
  <si>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</si>
  <si>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</si>
  <si>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OT [04] Cuadrilla Yantzaza 2026-03-15 (022) AA.pdf</t>
  </si>
  <si>
    <t>San Francisco, estructura 273816, se revisa el medidor 20222056199, se ajusta las borneras del breaker y medidor, se resetea el breaker.</t>
  </si>
  <si>
    <t>SB, GT</t>
  </si>
  <si>
    <t>La Centza, estructura 33907 se encuentra fusible quemado en derivación al mismo sector, se revisa y encuentra vegetación, se repone tirafusible\nde 25A- K.</t>
  </si>
  <si>
    <t>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</si>
  <si>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</si>
  <si>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OT [04] Cuadrilla Yantzaza 2026-03-17 (021) SB.pdf</t>
  </si>
  <si>
    <t>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</si>
  <si>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OT [04] Cuadrilla Yantzaza 2026-03-18 (021) SB.pdf</t>
  </si>
  <si>
    <t>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</si>
  <si>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OT [04] Cuadrilla Yantzaza 2026-03-19 (021) SB.pdf</t>
  </si>
  <si>
    <t>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</si>
  <si>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OT [04] Cuadrilla Yantzaza 2026-03-20 (021) SB.pdf</t>
  </si>
  <si>
    <t>SB, AO, GT, JLC, LP, PCH</t>
  </si>
  <si>
    <t>En Agencia Yantzaza, trabajos programados en LST Cumbaratza - Yantzaza, en San Pablo, trabajos en  Est 221761. 221760 montaje de extensiones y reubicación de crucetas.</t>
  </si>
  <si>
    <t>OT [04] Cuadrilla Yantzaza 2026-03-21 (021) SB.pdf</t>
  </si>
  <si>
    <t xml:space="preserve">Yantzaza, calles 1 de Diciembre e Ivan Riofrio reajuste de conexiones del medidor 1000022485. </t>
  </si>
  <si>
    <t>El Mirador del Pincho, estructura 32516 se rehabilita transformador # 12475 de 5KVA a las 21.00 Causa: acometida de medidor: 282887 en cortocircuito.</t>
  </si>
  <si>
    <t>Subestación Yantzaza, por trabajos planificados, en coordinación con el Centro de Maniobras se procede al cierre de puesta tierra. Chimbutza, estructura 227441, se empalma, monta y regula la segunda fase de la RBV, se rehabilita el transformador 14693 de 15 KVA.</t>
  </si>
  <si>
    <t>OT [04] Cuadrilla Yantzaza 2026-03-21 (022) AA.pdf</t>
  </si>
  <si>
    <t>Subestación Yantzaza, por presentarse una falla en la LMT alimentador Yantzaza damos apoyo en trabajos a la Cuadrilla Energizada.</t>
  </si>
  <si>
    <t>Subestación Yantzaza, se ejecuta maniobras en coordinacion con el Centro de Control.</t>
  </si>
  <si>
    <t>San Pablo, en estructura 221764-221765 se inician trabajos programados, montaje de extensiones y reubicación de crucetas de LST Cumbaratza. Yantzaza 69 Kv, en estructura: 221764-64.</t>
  </si>
  <si>
    <t>OT [04] Cuadrilla Yantzaza 2026-03-22 (021) SB.pdf</t>
  </si>
  <si>
    <t>En Chimbutza, estructura 32287, se rehabilita Trafo # 99933 de 10 KVA, causa: sobrecarga.</t>
  </si>
  <si>
    <t>GLE</t>
  </si>
  <si>
    <t>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</si>
  <si>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REDES, REDES</t>
  </si>
  <si>
    <t>OT [05] Energizados Yantzaza 2026-03-02 (027) LA.pdf</t>
  </si>
  <si>
    <t>San Roque: estructura # 311147 se puentea derivación monofasica, se abre y cierra puentes y realiza maniobras para des energiza un tramo de linea de media tension para entrar con linea a las nuevas estructu</t>
  </si>
  <si>
    <t>OT [05] Energizados Yantzaza 2026-03-03 (027) LA.pdf</t>
  </si>
  <si>
    <t>Agencia El Pangui: Se carga combustible ya que hay en la Agencia Yantzaza y retiro de solicitud de materiales y retorno a la Yantzaza. Laboran: LA, CB, RM, CO de 06:30 a 18:00 SR de 08:00 a 18:00. CCH- LOJA. Kilometraje canasta 2-21: Inicial: 122710 final:122766</t>
  </si>
  <si>
    <t>informativa</t>
  </si>
  <si>
    <t>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</si>
  <si>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OT [05] Energizados Yantzaza 2026-03-04 (027) LA.pdf</t>
  </si>
  <si>
    <t>Gualaquiza: Se coordina con Ing. Jonny Márquez , focalizadores y contratista de obras de la Empresa se realiza inspecciones para realizar trabajos con lineas energizadas.</t>
  </si>
  <si>
    <t>OT [05] Energizados Yantzaza 2026-03-05 (027) LA.pdf</t>
  </si>
  <si>
    <t>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</si>
  <si>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OT [05] Energizados Yantzaza 2026-03-06 (027) LA.pdf</t>
  </si>
  <si>
    <t>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</si>
  <si>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t>
  </si>
  <si>
    <t>OT [05] Energizados Yantzaza 2026-03-09 (027) LA.pdf</t>
  </si>
  <si>
    <t>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</si>
  <si>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OT [05] Energizados Yantzaza 2026-03-10 (027) LA.pdf</t>
  </si>
  <si>
    <t>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</si>
  <si>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OT [05] Energizados Yantzaza 2026-03-11 (027) LA.pdf</t>
  </si>
  <si>
    <t>Edificio Central se coordina trabajos con el Ing, Jorge Zaruma y Nelson Sanmartin hasta las 18: 00 y viaje de retorno a Yantzaza. Laboran: LA, CB, RM, CO, SR, de 08:00 a 21:00. Kilometraje canasta 2-146 : inicial : 777 final: 883</t>
  </si>
  <si>
    <t>OT [05] Energizados Yantzaza 2026-03-16 (027) LA.pdf</t>
  </si>
  <si>
    <t>Yantzaza - Vía Tutupali.</t>
  </si>
  <si>
    <t>transporte</t>
  </si>
  <si>
    <t>OT [05] Energizados Yantzaza 2026-03-17 (027) LA.pdf</t>
  </si>
  <si>
    <t>estructura # 128815, se pasa linea existente a nueva estructura, se instala estribo, se retira estructura existente, se instala seccionador y cruceta de 1,20m para derivación, cierra puentes.</t>
  </si>
  <si>
    <t>Redondel Gualaquiza: Se realiza el izado de una estructura entre # 181599- 179231 de 12m de 2000kg.</t>
  </si>
  <si>
    <t>OT [05] Energizados Yantzaza 2026-03-18 (027) LA.pdf</t>
  </si>
  <si>
    <t>Bomboiza: estructura # 250241 se instala seccionador fusible y estribo para derivacion monofásica. Laboran: LA, CB, RM, CO, SR de 08:00 a 18:00. se pernota en Gualaquiza. Kilometraje canasta 2-146: inicial: 970 final: 1026</t>
  </si>
  <si>
    <t>OT [05] Energizados Yantzaza 2026-03-19 (027) LA.pdf</t>
  </si>
  <si>
    <t>Se elabora OT. Se coordina trabajos con el Jefe inmediato y centro de control. Bomboiza: Se realiza maniobras en reguladores de voltaje, mallado interno del Alimentador las Peñas y Reconectodor Nueva Tarquí.</t>
  </si>
  <si>
    <t>OT [05] Energizados Yantzaza 2026-03-20 (027) LA.pdf</t>
  </si>
  <si>
    <t>Gualaquiza - Subestación Yantzaza - Yantzaza. Laboran: LA, CB, RM, CO, SR de 07:00 a 19:45. Retorno Yantzaza. Kilometraje canasta 2- 146: Inicial: 1026 final: 1120</t>
  </si>
  <si>
    <t>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</si>
  <si>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OT [05] Energizados Yantzaza 2026-03-21 (027) LA.pdf</t>
  </si>
  <si>
    <t>JA, MS</t>
  </si>
  <si>
    <t>La Libertad, se revisa el M# 260878 y se encuentra el tubo doblado, se corta 3 metros de acometida y se empalma quedando normal.</t>
  </si>
  <si>
    <t>OT [06] Cuadrilla Paquisha 2026-03-02 (034) JA.pdf</t>
  </si>
  <si>
    <t>JA, DG</t>
  </si>
  <si>
    <t>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</si>
  <si>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OT [06] Cuadrilla Paquisha 2026-03-07 (034) JA.pdf</t>
  </si>
  <si>
    <t>El Placer, estructura # 32450 se encuentra el Trafo # 8113 de 5KVA bloqueado se revisa la red de BV no se encuentra ninguna novedad, se reconecta sin novedad.</t>
  </si>
  <si>
    <t>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</si>
  <si>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</si>
  <si>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OT [06] Cuadrilla Paquisha 2026-03-15 (034) JA.pdf</t>
  </si>
  <si>
    <t>DG, MS</t>
  </si>
  <si>
    <t xml:space="preserve">La Independencia, estructura 29595, acometida en cortocircuito, se empalma y se rehabilita trafo # 17676 de 5KVA. Paquisha, Med # 1000417813, estructura 29679, acometida acometida arrancada por paso de maquinaria desconocida, se cambia 75 m. </t>
  </si>
  <si>
    <t>OT [06] Cuadrilla Paquisha 2026-03-17 (036) DG.pdf</t>
  </si>
  <si>
    <t xml:space="preserve">Zumbi, estructura 235266, se rehabilita transformador # 10844 Causa: sobrecarga, se verifica que se encuentre normal el servicio. </t>
  </si>
  <si>
    <t>OT [06] Cuadrilla Paquisha 2026-03-18 (036) DG.pdf</t>
  </si>
  <si>
    <t>La Wintza, se cambia 50m de linea #2 en la estructura 219893, se rehabilita transformador #15033 de 10 KVA,causa: paso de maquinaria.</t>
  </si>
  <si>
    <t>OT [06] Cuadrilla Paquisha 2026-03-19 (036) DG.pdf</t>
  </si>
  <si>
    <t>JA, DG, MS, JJ</t>
  </si>
  <si>
    <t xml:space="preserve">San Pablo, se colabora a la cuadrilla de Línea energizada trabajos planificados en la linea de subtransmision 69KV. </t>
  </si>
  <si>
    <t>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</si>
  <si>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</si>
  <si>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Zumbi, ejecución del plan de maniobras. Paquisha, estructura 29846, se cambia conectores y se reajusta todas las conexiones del trafo # 7002, se rehabilita, causa: conectores en mal estado</t>
  </si>
  <si>
    <t>OT [06] Cuadrilla Paquisha 2026-03-22 (036) DG.pdf</t>
  </si>
  <si>
    <t>Paquisha, estructura 28938 ejecución del plan de maniobras, se espera confirmación por parte de Centro de Control y ejecuta maniobras.</t>
  </si>
  <si>
    <t>CQ, JL</t>
  </si>
  <si>
    <t>La Wintza, Santa Elena, inspección nocturna de las luminarias en mal estado ubicadas en las redes de distribución del AP La Saquea.</t>
  </si>
  <si>
    <t>OT [07] Cuadrilla Guayzimi 2026-03-02 (038) CQ.pdf</t>
  </si>
  <si>
    <t>CQ, AC, JL</t>
  </si>
  <si>
    <t>El Miasi - Guayzimi, estructura 33005 arregla acometida arrancada de medidor 1000378182 por paso de vehículo plataforma versión de abonado.</t>
  </si>
  <si>
    <t>OT [07] Cuadrilla Guayzimi 2026-03-03 (038) CQ.pdf</t>
  </si>
  <si>
    <t xml:space="preserve">Transporte a Mariposa, Alto Nangaritza, Est 61956 tirafusible quemado toma medidas de seguridad se recorre en bote rio Nangaritza. </t>
  </si>
  <si>
    <t>OT [07] Cuadrilla Guayzimi 2026-03-04 (038) CQ.pdf</t>
  </si>
  <si>
    <t>Mariposa, trabajos de reubicación de estructura a lugar mas seguro, finalizados los trabajos retornamos al punto de arranque estructura 61956 se repone tirafusible de 6A-T.</t>
  </si>
  <si>
    <t>San Jose, estructura 32981 tirafusible quemado Causa: fuertes lluvias, se repone tirafusible de 12A-T.</t>
  </si>
  <si>
    <t>OT [07] Cuadrilla Guayzimi 2026-03-05 (038) CQ.pdf</t>
  </si>
  <si>
    <t>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</si>
  <si>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OT [07] Cuadrilla Guayzimi 2026-03-08 (038) CQ.pdf</t>
  </si>
  <si>
    <t>Guayzimi, estructura 32995 revisa transformador Sicap 22768 de 25KVA abierto, causa; LBT arrancada, vehículo con carga elevada tramo estructura 329996 - 32997, se corrige y rehabilita.</t>
  </si>
  <si>
    <t>OT [07] Cuadrilla Guayzimi 2026-03-16 (038) CQ.pdf</t>
  </si>
  <si>
    <t>Transporte desde Selva Alegre a Guayzimi, En Guayzimi estructura 33135, revisa medidor 268509 causa: Tablero de medidor destruido por arco eléctrico y medidor quemado, se habilita servicio directo para posterior arreglo de tablero y cambio de medidor.</t>
  </si>
  <si>
    <t>OT [07] Cuadrilla Guayzimi 2026-03-17 (038) CQ.pdf</t>
  </si>
  <si>
    <t>Transporte de Selva Alegre - Guayzimi, estructura 32925 arregla acometida arrancada por paso de vehículo de medidor 1000366373.</t>
  </si>
  <si>
    <t>OT [07] Cuadrilla Guayzimi 2026-03-20 (038) CQ.pdf</t>
  </si>
  <si>
    <t>CQ</t>
  </si>
  <si>
    <t>Guayzimi, se rehabilita transformador # 8107 de 5KVA Causa: LBT F1 y F2 enredada. Santa Elena, estructura 34236 se revisa medidor 1000370303 por falla conexiones con sulfato de salida del breaker del medidor.</t>
  </si>
  <si>
    <t>OT [07] Cuadrilla Guayzimi 2026-03-21 (038) CQ.pdf</t>
  </si>
  <si>
    <t>Guayzimi, estructura 25430, se rehabilita transformador # OID18252 de 5KVA, Causa: conexión informal, versión abonados.</t>
  </si>
  <si>
    <t>LV, FA, AS</t>
  </si>
  <si>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</si>
  <si>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OT [08] Cuadrilla El Pangui 2026-03-01 (043) LV.pdf</t>
  </si>
  <si>
    <t>Chuchumbletza, estructura 32025 transformador 12595 de 10kva, se realiza el arreglo de la acometida arrancada del medidor nro 234177, causa maquinaria retroexcavadora.</t>
  </si>
  <si>
    <t>HM, AS</t>
  </si>
  <si>
    <t xml:space="preserve">Soldado Rivera, se revisa hasta la estructura 127607, se encuentra con servicio normal, queda pendiente revisar hacia la estructura 127611 por falta de tiempo y por ser lejano, queda pendiente. </t>
  </si>
  <si>
    <t>OT [08] Cuadrilla El Pangui 2026-03-02 (042) HM.pdf</t>
  </si>
  <si>
    <t>HM, LV, AS</t>
  </si>
  <si>
    <t xml:space="preserve">Chantzas, estructura 178710, Medidor 240186, se arregla acometida arrancada por caída de árbol. </t>
  </si>
  <si>
    <t>OT [08] Cuadrilla El Pangui 2026-03-05 (042) HM.pdf</t>
  </si>
  <si>
    <t>HM, AD, AS</t>
  </si>
  <si>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</si>
  <si>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REDES:90, ACOMETIDAS:10</t>
  </si>
  <si>
    <t>OT [08] Cuadrilla El Pangui 2026-03-07 (042) HM.pdf</t>
  </si>
  <si>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</si>
  <si>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OT [08] Cuadrilla El Pangui 2026-03-08 (042) HM.pdf</t>
  </si>
  <si>
    <t>HM, LV, AD, AS</t>
  </si>
  <si>
    <t>Traslado desde Soldado Rivera hasta El Pangui, estructura 27990, medidor # 232158 se resetea el breaker general. Causa: cortocircuito interno</t>
  </si>
  <si>
    <t>OT [08] Cuadrilla El Pangui 2026-03-10 (042) HM.pdf</t>
  </si>
  <si>
    <t>LV, FA</t>
  </si>
  <si>
    <t>El Pangui, estructura 27990 transformador de 37.5 kva nro 25442, se encuentra los conectores de la bajante del bushing en mal estado, se cambia.</t>
  </si>
  <si>
    <t>OT [08] Cuadrilla El Pangui 2026-03-14 (043) LV.pdf</t>
  </si>
  <si>
    <t>LV, FA, MS</t>
  </si>
  <si>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</si>
  <si>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Traslado a Gualaquiza, se colabora en arreglo de RBV daño ocasionado por vehículo desconocido.</t>
  </si>
  <si>
    <t>OT [08] Cuadrilla El Pangui 2026-03-15 (043) LV.pdf</t>
  </si>
  <si>
    <t>Traslado desde Gualaquiza al sector El Mirador, entre los postes 32521 a 32523 se encuentra arrancada RBV ocasionado por maquinaria desconocida, se realiza empalmado y montaje de la linea; Se energiza trafo 16799 de 10kva.</t>
  </si>
  <si>
    <t>HM, AD</t>
  </si>
  <si>
    <t>El Pangui, la estructura 227941 se rehabilita el transformador # 23783 de 37.5 KVA; Causa: desconocida</t>
  </si>
  <si>
    <t>OT [08] Cuadrilla El Pangui 2026-03-16 (042) HM.pdf</t>
  </si>
  <si>
    <t>HM, AS, LV</t>
  </si>
  <si>
    <t>Quebrada del Miassi, estructura 27106 se desbroza vegetación y se arregla LMT arrancada por caída de árbol. Santa Rosa, estructura 281526 se repone tirafusible 6-K; Causa: vegetación.</t>
  </si>
  <si>
    <t>OT [08] Cuadrilla El Pangui 2026-03-17 (042) HM.pdf</t>
  </si>
  <si>
    <t>Tsarunts, zona rural, se revisa la LMV y en la estructura 195097 se encuentra 1 aislador pin 56-1 fogoneado, se planifica para cambiarlo el día de mañana, via cerrada por derrumbes dificulta maniobras de desenergización.</t>
  </si>
  <si>
    <t>OT [08] Cuadrilla El Pangui 2026-03-19 (042) HM.pdf</t>
  </si>
  <si>
    <t>Atención de daños en Tsarunts, desde El Pangui hasta Valle Hermoso (Yantzaza) a causa de que no hay paso por El Guismi.</t>
  </si>
  <si>
    <t>OT [08] Cuadrilla El Pangui 2026-03-20 (042) HM.pdf</t>
  </si>
  <si>
    <t xml:space="preserve">El Pangui, estructura 28013 se rehabilita el transformador 22234 de 37.5 kVA; Causa: sobrecarga; censo de cargas N: 12A; F1: 149; F2: 160. </t>
  </si>
  <si>
    <t>CLP, GC</t>
  </si>
  <si>
    <t>San Francisco, se revisa red de MV desde la estructura 254209 hasta 220990, se cambia tirafusible en Est # 128372 de 15 A-K.</t>
  </si>
  <si>
    <t>OT [09] Cuadrilla Gualaquiza 2026-03-01 (047) CLP.pdf</t>
  </si>
  <si>
    <t>Guayusal, se revisa red de MV desde la estructura 128372 hasta 128632 se retira vegetación entre la estructura 128629 - 12828, se cambia tirafusible de 15 A-K en la estructura 128372</t>
  </si>
  <si>
    <t>Barrio La Unión, se recorre RBV, se cambia fusible NH quemados, en la estructura 40554, en el transformador# 40611 de 45 kVA; Causa: sobrecarga. Calle Cuenca, via al porton, se revisa RBV y se rehabilita transformador 15790 de 25 kVA en la estructura 268490.</t>
  </si>
  <si>
    <t>FG, CLP, MA</t>
  </si>
  <si>
    <t>San Francisco, se revisa red de MV y se encuentra conexión del seccionador floja en estructura 128476; se empalma linea picada por conexión floja de la grapa, se ajusta puente del seccionador,  Se repone fusible de 12A-T.</t>
  </si>
  <si>
    <t>OT [09] Cuadrilla Gualaquiza 2026-03-02 (045) FG.pdf</t>
  </si>
  <si>
    <t>Sector Zapotillo, se desbroza vegetación, se realiza montaje de transformador de 10 kVA, se coloca puesta a tierra. Traslado a Cuchipamba, se cierra seccionador en estructura 128090, se verifica voltajes.</t>
  </si>
  <si>
    <t>OT [09] Cuadrilla Gualaquiza 2026-03-03 (045) FG.pdf</t>
  </si>
  <si>
    <t>FG, CLP</t>
  </si>
  <si>
    <t>Sector Pasaje, se revisa medidor 1000422986 estructura 500641 red subterránea, se encuentra conector flojo en transformador 10474 de 50 kva estructura 26845, se ajusta conexión</t>
  </si>
  <si>
    <t>OT [09] Cuadrilla Gualaquiza 2026-03-04 (045) FG.pdf</t>
  </si>
  <si>
    <t>Las Peñas, en la estructura 64727 se encuentra roto el neutro, se realiza trocha, se empalma linea, se arregla acometidas sueltas; Causa: linea rota por caída de árbol</t>
  </si>
  <si>
    <t>OT [09] Cuadrilla Gualaquiza 2026-03-05 (045) FG.pdf</t>
  </si>
  <si>
    <t>FG, MA</t>
  </si>
  <si>
    <t xml:space="preserve">El Belén, en la estructura 127785 se revisa RBV se resetea el transformador 5994 de 5 Kva, conectando normal el servicio. Causa: sobrecarga temporal. </t>
  </si>
  <si>
    <t>OT [09] Cuadrilla Gualaquiza 2026-03-06 (045) FG.pdf</t>
  </si>
  <si>
    <t>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</si>
  <si>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OT [09] Cuadrilla Gualaquiza 2026-03-07 (045) FG.pdf</t>
  </si>
  <si>
    <t>La Pradera, en la estructura 265102 se revisa RBV, moradores informan que maquina había chocado los cables, se resetea transformador 16877 de 15 Kva en estructura 257670.</t>
  </si>
  <si>
    <t>OT [09] Cuadrilla Gualaquiza 2026-03-08 (045) FG.pdf</t>
  </si>
  <si>
    <t>El Rosario, se realiza montaje del transformador 27201 de 15 Kva, mismo sector, estructura 128717 se revisa conexiones; traslado a la agencia.</t>
  </si>
  <si>
    <t>OT [09] Cuadrilla Gualaquiza 2026-03-12 (045) FG.pdf</t>
  </si>
  <si>
    <t>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</si>
  <si>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</si>
  <si>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OT [09] Cuadrilla Gualaquiza 2026-03-14 (062) GC.pdf</t>
  </si>
  <si>
    <t>La Pradera, desbroce de maleza de la estructura 127909 a 127907 tráfo 10602, se empalma RBV arrancada por árboles y vegetación, se normaliza servicio.</t>
  </si>
  <si>
    <t>Sevilla, se revisa RBV conectores flojos en transformador # 15698 estructura 40408, se procede a ajustar y se normaliza servicio.</t>
  </si>
  <si>
    <t>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</si>
  <si>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OT [09] Cuadrilla Gualaquiza 2026-03-15 (062) GC.pdf</t>
  </si>
  <si>
    <t>Sevilla, se revisa RBV y acometidas desde la estructura 40408, 42846 y 42844; se detecta cortocircuito en acometida interna del medidor 2014203866, se informa al cliente y se resetea transformador # 15698 estructura 40408.</t>
  </si>
  <si>
    <t>FG, MA, CLP</t>
  </si>
  <si>
    <t xml:space="preserve">Tutus, se revisa red de MV se encuentra quemado fusible en arranque, se repone fusible de 1,2-SR , en la estructura 91980 se verifica que todo este normal. </t>
  </si>
  <si>
    <t>OT [09] Cuadrilla Gualaquiza 2026-03-18 (045) FG.pdf</t>
  </si>
  <si>
    <t>CLP, MA</t>
  </si>
  <si>
    <t>El Rosario, se recorre red de BV, se localiza vegetación, se retira y se cambia tirafusible de 1.3 A SR en la Est 128717; Transformador 27201.</t>
  </si>
  <si>
    <t>OT [09] Cuadrilla Gualaquiza 2026-03-18 (047) CLP.pdf</t>
  </si>
  <si>
    <t>La Unión, se revisa red de BV, conexiones de bajantes de transformador 15925 (3ø) en las estructras 303738- 040594, reseteamos breker trifásico, medimos cargas. F1: 105A F2: 160A F3: 145A.</t>
  </si>
  <si>
    <t>OT [09] Cuadrilla Gualaquiza 2026-03-19 (047) CLP.pdf</t>
  </si>
  <si>
    <t>Tsaurunts, en coordinacion con Henry Mendieta y Ing. Quezada se apoya a reparar red de MV, Traslado a Tsarunts, se realiza revison de Estructura 195097, cambio de aislador Pin 56-1 y se amarra la linea, se corta enredaderas de los tensores.</t>
  </si>
  <si>
    <t>OT [09] Cuadrilla Gualaquiza 2026-03-20 (045) FG.pdf</t>
  </si>
  <si>
    <t>Shiramentza, estructura 68960 se revisa red de BV se resetea transformador de 5 kVA, se verifica que todo este normal. Causa: sobrecarga.</t>
  </si>
  <si>
    <t>San Miguel, se atiende emergencia por choque de vehiculo en estructura 208978, se coordina con centro de control para abrir seccionadores, se asegura estructura 208978 se amarra lineas.</t>
  </si>
  <si>
    <t>OT [09] Cuadrilla Gualaquiza 2026-03-21 (045) FG.pdf</t>
  </si>
  <si>
    <t>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</si>
  <si>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San Jose de Piuntz, conector suelto, falta de una fase, se cambia conector del transformador 18865 de 37.5 kVA en la estructura 195168, se retrasan los trabajos por esperar a que se realicen maniobras en LST 69kV.</t>
  </si>
  <si>
    <t>OT [09] Cuadrilla Gualaquiza 2026-03-21 (047) CLP.pdf</t>
  </si>
  <si>
    <t>Calle 12 de febrero y Cuenca, cortocircuito, se realiza cambio de breker quemado del medidor 207015 se restablece servicio.</t>
  </si>
  <si>
    <t>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</si>
  <si>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Proveduria - Tutus, se recorre LMV, desde la partida hasta Tutus, se retira vegetación, estructura 161619 - 161620; se cambia tirafusible de 12 A-K por uno de 12 A-T, en la estructura 127160.</t>
  </si>
  <si>
    <t>OT [09] Cuadrilla Gualaquiza 2026-03-22 (047) CLP.pdf</t>
  </si>
  <si>
    <t>Sakanas, se retira lata en la red de MV en la estructura 33308, cambiamos tirafusible de 6A-T en la estructura 244338.</t>
  </si>
  <si>
    <t>GJ, SO</t>
  </si>
  <si>
    <t>Guadalupe, se reubica y se restituye medidor por display quemado 1000021836 por el 18-258945 Nota: no se puede avanzar con el trabajo por fuerte temporal invernal.</t>
  </si>
  <si>
    <t>OT [21] Agencia Zamora 2026-03-04 (050) GJ.pdf</t>
  </si>
  <si>
    <t>GJ, LL, SO, VZH</t>
  </si>
  <si>
    <t>Antenas del Líbano, realizando la restitución del medidor 18-258946 y en la estructura 27507 se coloca un seccionador portafusible.</t>
  </si>
  <si>
    <t>OT [21] Agencia Zamora 2026-03-05 (050) GJ.pdf</t>
  </si>
  <si>
    <t>GJ, RS</t>
  </si>
  <si>
    <t>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</si>
  <si>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OT [21] Agencia Zamora 2026-03-06 (050) GJ.pdf</t>
  </si>
  <si>
    <t>GJ, LL</t>
  </si>
  <si>
    <t>San José del Progreso, se realiza inspección para N/S solicitado por el Sr. Manuel Jiménez. El Progreso, se realiza inspección para S/O solicitado por el Sr Santos Rodríguez, estructura 28704.</t>
  </si>
  <si>
    <t>OT [21] Agencia Zamora 2026-03-12 (050) GJ.pdf</t>
  </si>
  <si>
    <t>LP, PCH</t>
  </si>
  <si>
    <t>Chimbutza, se revisa y se restea breaker del medidor 18-230465. Ungumiatza, se revisa y se reconecta el transformador # 7080 de 5 kva estructura 30626. Zumbi, se revisa y se cambia 12 metros de acometida recalentada de los medidores # 268446 y 214951.</t>
  </si>
  <si>
    <t>OT [22] Agencia Yantzaza 2026-03-02 (056) LP.pdf</t>
  </si>
  <si>
    <t>PCH, LP</t>
  </si>
  <si>
    <t>San Juan de Chicaña,  estructura # 280028 transformador 7049 de 10 kVA, se revisa la RBV, no se encuentra novedad, se rehabilita transformador.</t>
  </si>
  <si>
    <t>OT [22] Agencia Yantzaza 2026-03-04 (055) PCH.pdf</t>
  </si>
  <si>
    <t>Los Hachos, se recorre la línea y se repone tirafusible de 12 A-K en la estructura 274794 y se normaliza el servicio sin novedad.</t>
  </si>
  <si>
    <t>OT [22] Agencia Yantzaza 2026-03-04 (056) LP.pdf</t>
  </si>
  <si>
    <t>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</si>
  <si>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OT [22] Agencia Yantzaza 2026-03-06 (056) LP.pdf</t>
  </si>
  <si>
    <t>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</si>
  <si>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OT [22] Agencia Yantzaza 2026-03-07 (055) PCH.pdf</t>
  </si>
  <si>
    <t>PCH, DG</t>
  </si>
  <si>
    <t>La Delicia, estructura 161991, se rehabilita el transformador 7129, causa: sobrecarga.</t>
  </si>
  <si>
    <t>El Dorado, se encuentra sin servicio, causa borneras sobrecalentadas del medidor 1000386109, ajuste de borneras,  se normaliza el servicio.</t>
  </si>
  <si>
    <t>OT [22] Agencia Yantzaza 2026-03-08 (055) PCH.pdf</t>
  </si>
  <si>
    <t>RCL, PCH</t>
  </si>
  <si>
    <t>Zumbi, se instala Servicio Ocasional para el Coliseo.</t>
  </si>
  <si>
    <t>OT [22] Agencia Yantzaza 2026-03-18 (054) RCL.pdf</t>
  </si>
  <si>
    <t>FA, AD</t>
  </si>
  <si>
    <t>Tundayme, acometida arrancada del medidor 1000363577, se restituye acometida y caja plástica destruidas por paso de volqueta. El Pangui, medidor# 145868 sin energía, se arregla acometida arrancada por sulfatación en empalme, se normaliza el servicio.</t>
  </si>
  <si>
    <t>OT [23] Agencia El Pangui 2026-03-02 (058) FA.pdf</t>
  </si>
  <si>
    <t>El Pangui, se recorre RBV no se encuentra ninguna novedad, se resetea el transformador 22234 de 37.5 KVA en el estructura 28013.</t>
  </si>
  <si>
    <t>OT [23] Agencia El Pangui 2026-03-03 (058) FA.pdf</t>
  </si>
  <si>
    <t>GC, RCL</t>
  </si>
  <si>
    <t>Gualaquiza, arreglo de acometida medidor 125930, Estructura 128638 y se resetea trafo # 14217 estructura 128632.</t>
  </si>
  <si>
    <t>OT [24] Agencia Gualaquiza 2026-03-10 (062) GC.pdf</t>
  </si>
  <si>
    <t>GC, CB</t>
  </si>
  <si>
    <t>Guayusal, revision RBV estructura 255873, 255866, retiro de ramas en la estructura 219743 - Transformador 23459 de 10KVA, estructura 255869.</t>
  </si>
  <si>
    <t>Luis Casiragui y Velasco Ibarra, estructura 303745 revision medidor 213468, revision y arreglo LBT, estructura 040553 cambio NHs quemado fases A/B, reestablece servicio.</t>
  </si>
  <si>
    <t>OT [24] Agencia Gualaquiza 2026-03-13 (061) CB.pdf</t>
  </si>
  <si>
    <t>Guayusal, revision RBV, estructura 218078, 218105 limpieza arboles sobre la red, estructura 255869 energizacion transformador 23459 de 10 kVA. Kunchaime, estructura 204231, arreglo acometida medidor 1000026966, arrancada por caida de arbol.</t>
  </si>
  <si>
    <t>RS, VZH</t>
  </si>
  <si>
    <r>
      <rPr>
        <b/>
        <sz val="10"/>
        <rFont val="Arial"/>
        <family val="2"/>
        <charset val="1"/>
      </rPr>
      <t xml:space="preserve">San Francisco, </t>
    </r>
    <r>
      <rPr>
        <sz val="10"/>
        <rFont val="Arial"/>
        <family val="2"/>
        <charset val="1"/>
      </rPr>
      <t xml:space="preserve">se revisa y arregla acometida arrancada del medidor 18-242363 ocasionado por caída de árbol, queda pendiente el cambio de tubo del medidor. </t>
    </r>
    <r>
      <rPr>
        <b/>
        <sz val="10"/>
        <rFont val="Arial"/>
        <family val="2"/>
        <charset val="1"/>
      </rPr>
      <t>El Lucero,</t>
    </r>
    <r>
      <rPr>
        <sz val="10"/>
        <rFont val="Arial"/>
        <family val="2"/>
        <charset val="1"/>
      </rPr>
      <t xml:space="preserve"> entre las estructura. 27892 y 36906 se arregla RBV arrancadas a causa de fuertes vientos; En la estructura. 27892 se reconecta transformador 8397 de 5KVA.</t>
    </r>
  </si>
  <si>
    <t>14, 15, 16, 17, 18</t>
  </si>
  <si>
    <t>OT [01] Cuadrilla Zamora 2026-03-23 (006) FR.pdf</t>
  </si>
  <si>
    <r>
      <rPr>
        <b/>
        <sz val="10"/>
        <color rgb="FF000000"/>
        <rFont val="Arial"/>
        <charset val="1"/>
      </rPr>
      <t>Namirez Alto,</t>
    </r>
    <r>
      <rPr>
        <sz val="10"/>
        <color rgb="FF000000"/>
        <rFont val="Arial"/>
        <charset val="1"/>
      </rPr>
      <t xml:space="preserve"> estructura 249488 se cambia fusible de 15A-T, Causa: Gallinazo en la LMV. </t>
    </r>
    <r>
      <rPr>
        <b/>
        <sz val="10"/>
        <color rgb="FF000000"/>
        <rFont val="Arial"/>
        <charset val="1"/>
      </rPr>
      <t>Namirez,</t>
    </r>
    <r>
      <rPr>
        <sz val="10"/>
        <color rgb="FF000000"/>
        <rFont val="Arial"/>
        <charset val="1"/>
      </rPr>
      <t xml:space="preserve"> se arregla conexiones recalentadas del medidor 241868. </t>
    </r>
    <r>
      <rPr>
        <b/>
        <sz val="10"/>
        <color rgb="FF000000"/>
        <rFont val="Arial"/>
        <charset val="1"/>
      </rPr>
      <t xml:space="preserve">San Carlos, </t>
    </r>
    <r>
      <rPr>
        <sz val="10"/>
        <color rgb="FF000000"/>
        <rFont val="Arial"/>
        <charset val="1"/>
      </rPr>
      <t xml:space="preserve">se revisa y cambia en la estructura 28444 tirafusible de 6A-T, estructura 28414 se cambia tirafusible de 10 A- T CAUSA: Rama en contacto con la LMT por fuerte viento. </t>
    </r>
    <r>
      <rPr>
        <b/>
        <sz val="10"/>
        <color rgb="FF000000"/>
        <rFont val="Arial"/>
        <charset val="1"/>
      </rPr>
      <t>Guadalupe,</t>
    </r>
    <r>
      <rPr>
        <sz val="10"/>
        <color rgb="FF000000"/>
        <rFont val="Arial"/>
        <charset val="1"/>
      </rPr>
      <t xml:space="preserve"> en la estructura 179563 se arregla conexiones recalentadas en bushing de BT del transformador SICAP: ilegible de 10KVA.</t>
    </r>
  </si>
  <si>
    <t>8, 9, 10, 13, 14, 15, 16, 17, 18, 19</t>
  </si>
  <si>
    <t>OT [01] Cuadrilla Zamora 2026-03-24 (006) FR.pdf</t>
  </si>
  <si>
    <r>
      <rPr>
        <b/>
        <sz val="10"/>
        <color rgb="FF000000"/>
        <rFont val="Arial"/>
        <charset val="1"/>
      </rPr>
      <t xml:space="preserve">El Tambo, </t>
    </r>
    <r>
      <rPr>
        <sz val="10"/>
        <color rgb="FF000000"/>
        <rFont val="Arial"/>
        <charset val="1"/>
      </rPr>
      <t>se emprende caminata a la antena de OTECEL donde se revisa y verifica normal el servicio eléctrico en el medidor 202648, la falla es interna; desde El Tambo a la agencia EERSSA Zamora</t>
    </r>
  </si>
  <si>
    <t>14, 15, 16</t>
  </si>
  <si>
    <t>OT [01] Cuadrilla Zamora 2026-03-25 (006) FR.pdf</t>
  </si>
  <si>
    <r>
      <rPr>
        <b/>
        <sz val="10"/>
        <color rgb="FF000000"/>
        <rFont val="Arial"/>
        <charset val="1"/>
      </rPr>
      <t>Pituca Alto</t>
    </r>
    <r>
      <rPr>
        <sz val="10"/>
        <color rgb="FF000000"/>
        <rFont val="Arial"/>
        <charset val="1"/>
      </rPr>
      <t>, se recorre y revisa la LMT en la estructura 38943 se retira rama de las líneas; En la estructura 38934 se cambia tirafusible de 6A-T; Nos trasladamos desde la Pituca Alto a la agencia EERSSA Zamora</t>
    </r>
  </si>
  <si>
    <t>16, 17, 18</t>
  </si>
  <si>
    <t>OT [01] Cuadrilla Zamora 2026-03-26 (006) FR.pdf</t>
  </si>
  <si>
    <r>
      <rPr>
        <b/>
        <sz val="10"/>
        <color rgb="FF000000"/>
        <rFont val="Arial"/>
        <charset val="1"/>
      </rPr>
      <t xml:space="preserve">Zamora, </t>
    </r>
    <r>
      <rPr>
        <sz val="10"/>
        <color rgb="FF000000"/>
        <rFont val="Arial"/>
        <charset val="1"/>
      </rPr>
      <t>recorrido nocturno levantando información de las luminarias con fallas en los sectores: vía a Loja, vía Al Oso, vía Santa Elena hacia Timbara, vía Zamora hacia Cumbaratza. Total: 56 luminarias, con novedades de fallas, se adjunta el listado.</t>
    </r>
  </si>
  <si>
    <t>28</t>
  </si>
  <si>
    <t>OT [02] Alumbrado Zamora 2026-03-24 (012) LM.pdf</t>
  </si>
  <si>
    <r>
      <rPr>
        <b/>
        <sz val="10"/>
        <color rgb="FF000000"/>
        <rFont val="Arial"/>
        <charset val="1"/>
      </rPr>
      <t>Zamora,</t>
    </r>
    <r>
      <rPr>
        <sz val="10"/>
        <color rgb="FF000000"/>
        <rFont val="Arial"/>
        <charset val="1"/>
      </rPr>
      <t xml:space="preserve"> autorizado por superintendencia de alumbrado público,recorrido nocturno de luminarias con fallas en los sectores de: Sakantza, Numbami, Tunantza Alto.</t>
    </r>
  </si>
  <si>
    <t>17</t>
  </si>
  <si>
    <t>OT [02] Alumbrado Zamora 2026-03-26 (012) LM.pdf</t>
  </si>
  <si>
    <r>
      <rPr>
        <sz val="10"/>
        <color rgb="FF000000"/>
        <rFont val="Arial"/>
        <charset val="1"/>
      </rPr>
      <t xml:space="preserve">Santa Rosa, se encuentra acometida arrancada del Med 246428, se empalma. </t>
    </r>
    <r>
      <rPr>
        <b/>
        <sz val="10"/>
        <color rgb="FF000000"/>
        <rFont val="Arial"/>
        <charset val="1"/>
      </rPr>
      <t xml:space="preserve">Mismo sector, </t>
    </r>
    <r>
      <rPr>
        <sz val="10"/>
        <color rgb="FF000000"/>
        <rFont val="Arial"/>
        <charset val="1"/>
      </rPr>
      <t>Med 270017 con variacion de voltaje, se ajusta conexiones sulfatadas, se restablece el servicio eléctrico</t>
    </r>
  </si>
  <si>
    <t>8, 9, 11, 12, 14</t>
  </si>
  <si>
    <t>OT [03] Cuadrilla Yacuambi 2026-03-23 (017) NL.pdf</t>
  </si>
  <si>
    <t>NL, WC, VZH, NR</t>
  </si>
  <si>
    <r>
      <rPr>
        <b/>
        <sz val="10"/>
        <color rgb="FF000000"/>
        <rFont val="Arial"/>
        <charset val="1"/>
      </rPr>
      <t>San Luis,</t>
    </r>
    <r>
      <rPr>
        <sz val="10"/>
        <color rgb="FF000000"/>
        <rFont val="Arial"/>
        <charset val="1"/>
      </rPr>
      <t xml:space="preserve"> se regula LMT, LBT y acometidas CAUSA: caída de vegetación; se asegura fibras de CNT se ejecuta maniobras en la Est 38515 y se restablece el servicio eléctrico, se retorna a Yacuambi</t>
    </r>
  </si>
  <si>
    <t>9</t>
  </si>
  <si>
    <t>OT [03] Cuadrilla Yacuambi 2026-03-26 (017) NL.pdf</t>
  </si>
  <si>
    <r>
      <rPr>
        <b/>
        <sz val="10"/>
        <color rgb="FF000000"/>
        <rFont val="Arial"/>
        <charset val="1"/>
      </rPr>
      <t>Calle Amazonas,</t>
    </r>
    <r>
      <rPr>
        <sz val="10"/>
        <color rgb="FF000000"/>
        <rFont val="Arial"/>
        <charset val="1"/>
      </rPr>
      <t xml:space="preserve">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t>
    </r>
  </si>
  <si>
    <t>1, 2, 3, 7, 8, 10</t>
  </si>
  <si>
    <t>OT [03] Cuadrilla Yacuambi 2026-03-28 (017) NL.pdf</t>
  </si>
  <si>
    <r>
      <rPr>
        <b/>
        <sz val="10"/>
        <color rgb="FF000000"/>
        <rFont val="Arial"/>
        <charset val="1"/>
      </rPr>
      <t>Traslado desde La Esperanza hasta Cambana,</t>
    </r>
    <r>
      <rPr>
        <sz val="10"/>
        <color rgb="FF000000"/>
        <rFont val="Arial"/>
        <charset val="1"/>
      </rPr>
      <t xml:space="preserve"> estructura 160379 transformador 17241 de 10KVA guaduas sobre LBT se retiray se restablece el servicio.</t>
    </r>
  </si>
  <si>
    <t>14, 15, 18</t>
  </si>
  <si>
    <t>OT [03] Cuadrilla Yacuambi 2026-03-30 (017) NL.pdf</t>
  </si>
  <si>
    <t>NL, NR</t>
  </si>
  <si>
    <r>
      <rPr>
        <b/>
        <sz val="10"/>
        <color rgb="FF000000"/>
        <rFont val="Arial"/>
        <charset val="1"/>
      </rPr>
      <t>Calle 10 de Marzo,</t>
    </r>
    <r>
      <rPr>
        <sz val="10"/>
        <color rgb="FF000000"/>
        <rFont val="Arial"/>
        <charset val="1"/>
      </rPr>
      <t xml:space="preserve"> en la estructura 266229 transformador bloqueado SICAP 14453 de 37,5KVA, acometida del Med 212339 cristalizada y en cortocircuito, se corrije y restablece el servicio.</t>
    </r>
  </si>
  <si>
    <t>22, 23</t>
  </si>
  <si>
    <t>AO, LP</t>
  </si>
  <si>
    <r>
      <rPr>
        <b/>
        <sz val="10"/>
        <color rgb="FF000000"/>
        <rFont val="Arial"/>
        <charset val="1"/>
      </rPr>
      <t>El Paraíso,</t>
    </r>
    <r>
      <rPr>
        <sz val="10"/>
        <color rgb="FF000000"/>
        <rFont val="Arial"/>
        <charset val="1"/>
      </rPr>
      <t xml:space="preserve"> se revisa el medidor 2022056206 acometida arrancada y dañada por el paso de vehículo, se ajusta conexiones.</t>
    </r>
  </si>
  <si>
    <t>1, 2, 4</t>
  </si>
  <si>
    <t>OT [04] Cuadrilla Yantzaza 2026-03-23 (023) AO.pdf</t>
  </si>
  <si>
    <t>SB, GT, AO</t>
  </si>
  <si>
    <r>
      <rPr>
        <b/>
        <sz val="10"/>
        <color rgb="FF000000"/>
        <rFont val="Arial"/>
        <charset val="1"/>
      </rPr>
      <t>San Sebastián,</t>
    </r>
    <r>
      <rPr>
        <sz val="10"/>
        <color rgb="FF000000"/>
        <rFont val="Arial"/>
        <charset val="1"/>
      </rPr>
      <t xml:space="preserve"> cambio de estructura 63056 por ruptura de tensor, se realiza excavación y hueco para posteriormente realizar izaje se normaliza el servicio.</t>
    </r>
  </si>
  <si>
    <t>12, 15</t>
  </si>
  <si>
    <t>OT [04] Cuadrilla Yantzaza 2026-03-24 (021) SB.pdf</t>
  </si>
  <si>
    <r>
      <rPr>
        <b/>
        <sz val="10"/>
        <color rgb="FF000000"/>
        <rFont val="Arial"/>
        <charset val="1"/>
      </rPr>
      <t>Barrio Pita,</t>
    </r>
    <r>
      <rPr>
        <sz val="10"/>
        <color rgb="FF000000"/>
        <rFont val="Arial"/>
        <charset val="1"/>
      </rPr>
      <t xml:space="preserve"> transformador abierto por sobrecarga, se resetea breaker de el trasformador </t>
    </r>
    <r>
      <rPr>
        <sz val="10"/>
        <color rgb="FF000000"/>
        <rFont val="Arial"/>
      </rPr>
      <t xml:space="preserve">16920 </t>
    </r>
    <r>
      <rPr>
        <sz val="10"/>
        <color rgb="FF000000"/>
        <rFont val="Arial"/>
        <charset val="1"/>
      </rPr>
      <t>de 25 kVA.</t>
    </r>
  </si>
  <si>
    <t>OT [04] Cuadrilla Yantzaza 2026-03-24 (023) AO.pdf</t>
  </si>
  <si>
    <t>SB, AA, AO, GT, JLC</t>
  </si>
  <si>
    <r>
      <rPr>
        <b/>
        <sz val="10"/>
        <color rgb="FF000000"/>
        <rFont val="Arial"/>
        <charset val="1"/>
      </rPr>
      <t>El Zarza,</t>
    </r>
    <r>
      <rPr>
        <sz val="10"/>
        <color rgb="FF000000"/>
        <rFont val="Arial"/>
        <charset val="1"/>
      </rPr>
      <t xml:space="preserve"> ejecución de Plan de Maniobra en coordinación con CC; Retorno desde Zarza hasta Yantzaza agencia, se dificulta debido a paso controlado.</t>
    </r>
  </si>
  <si>
    <t>10, 11</t>
  </si>
  <si>
    <t>OT [04] Cuadrilla Yantzaza 2026-03-25 (021) SB.pdf</t>
  </si>
  <si>
    <t>AO, JLC</t>
  </si>
  <si>
    <r>
      <rPr>
        <b/>
        <sz val="10"/>
        <color rgb="FF000000"/>
        <rFont val="Arial"/>
        <charset val="1"/>
      </rPr>
      <t>El Pindal,</t>
    </r>
    <r>
      <rPr>
        <sz val="10"/>
        <color rgb="FF000000"/>
        <rFont val="Arial"/>
        <charset val="1"/>
      </rPr>
      <t xml:space="preserve"> se revisa LMV desde la estructura 33769, derivación al Pindal en la estructura 33798 se repone tira fusible de 6A-T; Causa: tormenta eléctrica y fuertes vientos.</t>
    </r>
  </si>
  <si>
    <t>1, 3, 5</t>
  </si>
  <si>
    <t>OT [04] Cuadrilla Yantzaza 2026-03-26 (023) AO.pdf</t>
  </si>
  <si>
    <r>
      <rPr>
        <b/>
        <sz val="10"/>
        <color rgb="FF000000"/>
        <rFont val="Arial"/>
        <charset val="1"/>
      </rPr>
      <t>El Recreo,</t>
    </r>
    <r>
      <rPr>
        <sz val="10"/>
        <color rgb="FF000000"/>
        <rFont val="Arial"/>
        <charset val="1"/>
      </rPr>
      <t xml:space="preserve"> se revisa medidor 263298, sulfatatos, se limpia, y se repone conector talón. </t>
    </r>
    <r>
      <rPr>
        <b/>
        <sz val="10"/>
        <color rgb="FF000000"/>
        <rFont val="Arial"/>
        <charset val="1"/>
      </rPr>
      <t xml:space="preserve">Calles Jorge Mosquera / Luis Bastidas, </t>
    </r>
    <r>
      <rPr>
        <sz val="10"/>
        <color rgb="FF000000"/>
        <rFont val="Arial"/>
        <charset val="1"/>
      </rPr>
      <t xml:space="preserve">se revisa medidor 100038465 se encuentra conexiones flojas, se ajusta, queda normal el servicio eléctrico. </t>
    </r>
    <r>
      <rPr>
        <b/>
        <sz val="10"/>
        <color rgb="FF000000"/>
        <rFont val="Arial"/>
        <charset val="1"/>
      </rPr>
      <t>San Pablo Alto,</t>
    </r>
    <r>
      <rPr>
        <sz val="10"/>
        <color rgb="FF000000"/>
        <rFont val="Arial"/>
        <charset val="1"/>
      </rPr>
      <t xml:space="preserve"> se revisa medidor 241792, se encuentra rota la segunda fase entre las estructura 37680 y 212755 se coordina con Centro de Control y abonados, para el siguiente día, se aísla la falla y rehabilita el trasformador SICAP 21912 en la estructura 212755.</t>
    </r>
  </si>
  <si>
    <t>1, 2, 3, 4, 5, 6, 9</t>
  </si>
  <si>
    <t>OT [04] Cuadrilla Yantzaza 2026-03-27 (023) AO.pdf</t>
  </si>
  <si>
    <r>
      <rPr>
        <b/>
        <sz val="10"/>
        <color rgb="FF000000"/>
        <rFont val="Arial"/>
        <charset val="1"/>
      </rPr>
      <t xml:space="preserve">Los Hachos, </t>
    </r>
    <r>
      <rPr>
        <sz val="10"/>
        <color rgb="FF000000"/>
        <rFont val="Arial"/>
        <charset val="1"/>
      </rPr>
      <t xml:space="preserve">se revisa medidor 256045 se ajusta conexiones internas. </t>
    </r>
    <r>
      <rPr>
        <b/>
        <sz val="10"/>
        <color rgb="FF000000"/>
        <rFont val="Arial"/>
        <charset val="1"/>
      </rPr>
      <t>Chimbutza,</t>
    </r>
    <r>
      <rPr>
        <sz val="10"/>
        <color rgb="FF000000"/>
        <rFont val="Arial"/>
        <charset val="1"/>
      </rPr>
      <t xml:space="preserve"> tubo chocado por vehículo LBD – 5344, con apoyo de la policía se habilita el paso vehicular, se suspende el servicio de tres abonados medidores 1000411633, 18-230823, 207231; presencia de fuerte lluvia, queda suspendido hasta que los abonados reparen el tubo. </t>
    </r>
    <r>
      <rPr>
        <b/>
        <sz val="10"/>
        <color rgb="FF000000"/>
        <rFont val="Arial"/>
        <charset val="1"/>
      </rPr>
      <t>Barrio Bolívar,</t>
    </r>
    <r>
      <rPr>
        <sz val="10"/>
        <color rgb="FF000000"/>
        <rFont val="Arial"/>
        <charset val="1"/>
      </rPr>
      <t xml:space="preserve"> se encuentra la RBV rota por ramas de árbol entre las estructura 713945 – 71395; desbroce de vegetación, se empalma y se retensa neutro y fase, se cambia tira fusible de 2.1A-SR para el trasformador </t>
    </r>
    <r>
      <rPr>
        <sz val="10"/>
        <color rgb="FF000000"/>
        <rFont val="Arial"/>
      </rPr>
      <t xml:space="preserve">27215 </t>
    </r>
    <r>
      <rPr>
        <sz val="10"/>
        <color rgb="FF000000"/>
        <rFont val="Arial"/>
        <charset val="1"/>
      </rPr>
      <t>de 25kva en la estructura 71397.</t>
    </r>
  </si>
  <si>
    <t>REDES: 70, ACOMETIDAS: 30</t>
  </si>
  <si>
    <t>1, 2, 3, 4, 6, 7, 9, 10, 11, 12, 13, 14</t>
  </si>
  <si>
    <t>OT [04] Cuadrilla Yantzaza 2026-03-28 (023) AO.pdf</t>
  </si>
  <si>
    <r>
      <rPr>
        <b/>
        <sz val="10"/>
        <color rgb="FF000000"/>
        <rFont val="Arial"/>
        <charset val="1"/>
      </rPr>
      <t>La Florida Alto,</t>
    </r>
    <r>
      <rPr>
        <sz val="10"/>
        <color rgb="FF000000"/>
        <rFont val="Arial"/>
        <charset val="1"/>
      </rPr>
      <t xml:space="preserve"> se revisa medidor 18-220408 se encuentra cortocircuito en la instalación interna, se aísla, se resetea breaker queda normal el servicio. </t>
    </r>
    <r>
      <rPr>
        <b/>
        <sz val="10"/>
        <color rgb="FF000000"/>
        <rFont val="Arial"/>
        <charset val="1"/>
      </rPr>
      <t>Los Cedros,</t>
    </r>
    <r>
      <rPr>
        <sz val="10"/>
        <color rgb="FF000000"/>
        <rFont val="Arial"/>
        <charset val="1"/>
      </rPr>
      <t xml:space="preserve"> derivación a Nueva Esperanza - Los Ceibos, se cambia tira fusible de 25A-K; Causa: </t>
    </r>
    <r>
      <rPr>
        <sz val="10"/>
        <color rgb="FF000000"/>
        <rFont val="Arial"/>
      </rPr>
      <t>tormentas eléctricas y vegetación.</t>
    </r>
  </si>
  <si>
    <t>REDES: 60, ACOMETIDAS: 40</t>
  </si>
  <si>
    <r>
      <rPr>
        <b/>
        <sz val="10"/>
        <color rgb="FF000000"/>
        <rFont val="Arial"/>
        <charset val="1"/>
      </rPr>
      <t>Chimbutza,</t>
    </r>
    <r>
      <rPr>
        <sz val="10"/>
        <color rgb="FF000000"/>
        <rFont val="Arial"/>
        <charset val="1"/>
      </rPr>
      <t xml:space="preserve"> se repone servicio a los 3 clientes que se les suspendió el día anterior por el choque vehicular se empalma y se retensa las acometidas de los medidores 100011633, 18-230823, 207231; estructura 93726 se comprueba el servicio. </t>
    </r>
    <r>
      <rPr>
        <b/>
        <sz val="10"/>
        <color rgb="FF000000"/>
        <rFont val="Arial"/>
        <charset val="1"/>
      </rPr>
      <t>Nueva Esperanza,</t>
    </r>
    <r>
      <rPr>
        <sz val="10"/>
        <color rgb="FF000000"/>
        <rFont val="Arial"/>
        <charset val="1"/>
      </rPr>
      <t xml:space="preserve"> se revisa medidor 250687 se reconecta el trasformador de 10kva numero 14339 en la estructura 31896 causado por fuertes vientos y vegetación queda normal el servicio eléctrico.</t>
    </r>
  </si>
  <si>
    <t>1, 2, 4, 5, 6, 7, 8, 9, 11, 12, 13</t>
  </si>
  <si>
    <t>OT [04] Cuadrilla Yantzaza 2026-03-29 (023) AO.pdf</t>
  </si>
  <si>
    <r>
      <rPr>
        <b/>
        <sz val="10"/>
        <color rgb="FF000000"/>
        <rFont val="Arial"/>
        <charset val="1"/>
      </rPr>
      <t>San Pablo Alto,</t>
    </r>
    <r>
      <rPr>
        <sz val="10"/>
        <color rgb="FF000000"/>
        <rFont val="Arial"/>
        <charset val="1"/>
      </rPr>
      <t xml:space="preserve">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t>
    </r>
    <r>
      <rPr>
        <b/>
        <sz val="10"/>
        <color rgb="FF000000"/>
        <rFont val="Arial"/>
        <charset val="1"/>
      </rPr>
      <t xml:space="preserve">“Y” de Chicaña, </t>
    </r>
    <r>
      <rPr>
        <sz val="10"/>
        <color rgb="FF000000"/>
        <rFont val="Arial"/>
        <charset val="1"/>
      </rPr>
      <t>se revisa medidor 18- 230935, se reconecta trasformador de 5kva numero 25679 en la estructura 272213 abierto por sobre carga.</t>
    </r>
  </si>
  <si>
    <r>
      <rPr>
        <b/>
        <sz val="10"/>
        <color rgb="FF000000"/>
        <rFont val="Arial"/>
        <charset val="1"/>
      </rPr>
      <t>Los Hachos,</t>
    </r>
    <r>
      <rPr>
        <sz val="10"/>
        <color rgb="FF000000"/>
        <rFont val="Arial"/>
        <charset val="1"/>
      </rPr>
      <t xml:space="preserve">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t>
    </r>
    <r>
      <rPr>
        <b/>
        <sz val="10"/>
        <color rgb="FF000000"/>
        <rFont val="Arial"/>
        <charset val="1"/>
      </rPr>
      <t>Ungumiatza,</t>
    </r>
    <r>
      <rPr>
        <sz val="10"/>
        <color rgb="FF000000"/>
        <rFont val="Arial"/>
        <charset val="1"/>
      </rPr>
      <t xml:space="preserve"> se reconecta el trasformador de 5kva numero 21916 en la estructura 205672 por vegetación y fuertes vientos queda normal el servicio.</t>
    </r>
  </si>
  <si>
    <t>15, 16, 18, 19, 20</t>
  </si>
  <si>
    <t>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t>
  </si>
  <si>
    <t>4</t>
  </si>
  <si>
    <t>OT [05] Energizados Yantzaza 2026-03-23 (027) LA.pdf</t>
  </si>
  <si>
    <t>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t>
  </si>
  <si>
    <t>2, 3</t>
  </si>
  <si>
    <t>OT [05] Energizados Yantzaza 2026-03-24 (027) LA.pdf</t>
  </si>
  <si>
    <t>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t>
  </si>
  <si>
    <t>3, 4, 5</t>
  </si>
  <si>
    <t>OT [05] Energizados Yantzaza 2026-03-25 (027) LA.pdf</t>
  </si>
  <si>
    <t>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t>
  </si>
  <si>
    <t>3, 4</t>
  </si>
  <si>
    <t>OT [05] Energizados Yantzaza 2026-03-26 (027) LA.pdf</t>
  </si>
  <si>
    <r>
      <rPr>
        <b/>
        <sz val="10"/>
        <color rgb="FF000000"/>
        <rFont val="Arial"/>
        <charset val="1"/>
      </rPr>
      <t xml:space="preserve">Cisam, </t>
    </r>
    <r>
      <rPr>
        <sz val="10"/>
        <color rgb="FF000000"/>
        <rFont val="Arial"/>
        <charset val="1"/>
      </rPr>
      <t>cambio de estructura quebrada por uno de 11mts H; desmontaje de líneas, acometida y luminaria.</t>
    </r>
  </si>
  <si>
    <t>11, 13</t>
  </si>
  <si>
    <t>OT [06] Cuadrilla Paquisha 2026-03-25 (034) JA.pdf</t>
  </si>
  <si>
    <t>DG, JJ</t>
  </si>
  <si>
    <r>
      <rPr>
        <b/>
        <sz val="10"/>
        <color rgb="FF000000"/>
        <rFont val="Arial"/>
        <charset val="1"/>
      </rPr>
      <t>Paquisha</t>
    </r>
    <r>
      <rPr>
        <sz val="10"/>
        <color rgb="FF000000"/>
        <rFont val="Arial"/>
        <charset val="1"/>
      </rPr>
      <t>, se revisa tirafusible quemado en la estructura 92674, no se encuentra noveda y se cambia de 25 A-T.</t>
    </r>
  </si>
  <si>
    <t>OT [06] Cuadrilla Paquisha 2026-03-28 (036) DG.pdf</t>
  </si>
  <si>
    <r>
      <rPr>
        <b/>
        <sz val="10"/>
        <color rgb="FF000000"/>
        <rFont val="Arial"/>
        <charset val="1"/>
      </rPr>
      <t>Bodega Guayzimi,</t>
    </r>
    <r>
      <rPr>
        <sz val="10"/>
        <color rgb="FF000000"/>
        <rFont val="Arial"/>
        <charset val="1"/>
      </rPr>
      <t xml:space="preserve"> traslado desde Guayzimi hasta Nuevo Paraíso para atención de daños.</t>
    </r>
  </si>
  <si>
    <t>1, 2</t>
  </si>
  <si>
    <t>OT [07] Cuadrilla Guayzimi 2026-03-24 (038) CQ.pdf</t>
  </si>
  <si>
    <r>
      <rPr>
        <b/>
        <sz val="10"/>
        <color rgb="FF000000"/>
        <rFont val="Arial"/>
        <charset val="1"/>
      </rPr>
      <t>Las Brisas,</t>
    </r>
    <r>
      <rPr>
        <sz val="10"/>
        <color rgb="FF000000"/>
        <rFont val="Arial"/>
        <charset val="1"/>
      </rPr>
      <t xml:space="preserve"> estructura 32981 tirafusible quemado causa: estructura 34004 quebrada la base por impacto de una maquinaria desconocida, zona minera; con apoyo de personal y maquinaria del sector se corrige reubicando estructurase repone tirafusible de 12A-K, Retorno hasta Guayzimi.</t>
    </r>
  </si>
  <si>
    <t>6</t>
  </si>
  <si>
    <r>
      <rPr>
        <b/>
        <sz val="10"/>
        <color rgb="FF000000"/>
        <rFont val="Arial"/>
        <charset val="1"/>
      </rPr>
      <t>Las Brisas,</t>
    </r>
    <r>
      <rPr>
        <sz val="10"/>
        <color rgb="FF000000"/>
        <rFont val="Arial"/>
        <charset val="1"/>
      </rPr>
      <t xml:space="preserve"> mismo abonado, informa que persiste la falla, retornamos a la estructura 247671 se revisa medidor 290269, se limpia sulfato en barra de neutro y normaliza.</t>
    </r>
  </si>
  <si>
    <t>11</t>
  </si>
  <si>
    <r>
      <rPr>
        <b/>
        <sz val="10"/>
        <color rgb="FF000000"/>
        <rFont val="Arial"/>
        <charset val="1"/>
      </rPr>
      <t>Bodega Guayzimi,</t>
    </r>
    <r>
      <rPr>
        <sz val="10"/>
        <color rgb="FF000000"/>
        <rFont val="Arial"/>
        <charset val="1"/>
      </rPr>
      <t xml:space="preserve"> traslado desde Guayzimi hasta Sahime para atención de daños.</t>
    </r>
  </si>
  <si>
    <t>OT [07] Cuadrilla Guayzimi 2026-03-26 (038) CQ.pdf</t>
  </si>
  <si>
    <r>
      <rPr>
        <b/>
        <sz val="10"/>
        <color rgb="FF000000"/>
        <rFont val="Arial"/>
        <charset val="1"/>
      </rPr>
      <t>Santa Rosa,</t>
    </r>
    <r>
      <rPr>
        <sz val="10"/>
        <color rgb="FF000000"/>
        <rFont val="Arial"/>
        <charset val="1"/>
      </rPr>
      <t xml:space="preserve"> estructura 32732 se cierra breaker del transformador SICAP 7194 de </t>
    </r>
    <r>
      <rPr>
        <sz val="10"/>
        <color rgb="FF000000"/>
        <rFont val="Arial"/>
      </rPr>
      <t>5KVA;</t>
    </r>
    <r>
      <rPr>
        <sz val="10"/>
        <color rgb="FF000000"/>
        <rFont val="Arial"/>
        <charset val="1"/>
      </rPr>
      <t xml:space="preserve"> Causa: acometida arrancada de medidor liquidado haciendo conctacto entre LBT Santa Rosa – Guayzimi.</t>
    </r>
  </si>
  <si>
    <t>8, 9, 11</t>
  </si>
  <si>
    <r>
      <rPr>
        <b/>
        <sz val="10"/>
        <color rgb="FF000000"/>
        <rFont val="Arial"/>
        <charset val="1"/>
      </rPr>
      <t xml:space="preserve">Héroes del Cóndor, </t>
    </r>
    <r>
      <rPr>
        <sz val="10"/>
        <color rgb="FF000000"/>
        <rFont val="Arial"/>
        <charset val="1"/>
      </rPr>
      <t>con apoyo de un bote de abonados cruzamos el Río Nangaritza a la estructura 193833 se realiza prueba reposición 12A - T y restablece servicio eléctrico.</t>
    </r>
  </si>
  <si>
    <t>11, 12, 16</t>
  </si>
  <si>
    <t>OT [07] Cuadrilla Guayzimi 2026-03-27 (038) CQ.pdf</t>
  </si>
  <si>
    <r>
      <rPr>
        <b/>
        <sz val="10"/>
        <color rgb="FF000000"/>
        <rFont val="Arial"/>
        <charset val="1"/>
      </rPr>
      <t>Guayzimi,</t>
    </r>
    <r>
      <rPr>
        <sz val="10"/>
        <color rgb="FF000000"/>
        <rFont val="Arial"/>
        <charset val="1"/>
      </rPr>
      <t xml:space="preserve"> coordinación con Centro de Control ejecución de WR 317050895 en estructura 32965; Contratista inicia trabajos tras presentarse fuertes lluvias; se recorre LMT1 desconectada verificando novedades, estructura 33601 cambia aislador picado por descarga Eléctrica, se normaliza. </t>
    </r>
  </si>
  <si>
    <t>1</t>
  </si>
  <si>
    <t>OT [07] Cuadrilla Guayzimi 2026-03-28 (038) CQ.pdf</t>
  </si>
  <si>
    <r>
      <rPr>
        <b/>
        <sz val="10"/>
        <color rgb="FF000000"/>
        <rFont val="Arial"/>
        <charset val="1"/>
      </rPr>
      <t xml:space="preserve">Guayzimi, </t>
    </r>
    <r>
      <rPr>
        <sz val="10"/>
        <color rgb="FF000000"/>
        <rFont val="Arial"/>
        <charset val="1"/>
      </rPr>
      <t xml:space="preserve">a pedid del Centro de Control se verifica que el contratista finalice sus labores, se habilita el servicio en coordinación con CC. </t>
    </r>
  </si>
  <si>
    <r>
      <rPr>
        <b/>
        <sz val="10"/>
        <color rgb="FF000000"/>
        <rFont val="Arial"/>
        <charset val="1"/>
      </rPr>
      <t xml:space="preserve">Guayzimi, </t>
    </r>
    <r>
      <rPr>
        <sz val="10"/>
        <color rgb="FF000000"/>
        <rFont val="Arial"/>
        <charset val="1"/>
      </rPr>
      <t xml:space="preserve">estructura 32953 se arregla acometida arrancada por paso de vehículo de medidor 17099540. </t>
    </r>
  </si>
  <si>
    <t>14</t>
  </si>
  <si>
    <t>OT [07] Cuadrilla Guayzimi 2026-03-31 (038) CQ.pdf</t>
  </si>
  <si>
    <t>HM, LV, AD</t>
  </si>
  <si>
    <r>
      <rPr>
        <b/>
        <sz val="10"/>
        <color rgb="FF000000"/>
        <rFont val="Arial"/>
        <charset val="1"/>
      </rPr>
      <t xml:space="preserve">Chuchumbletza, </t>
    </r>
    <r>
      <rPr>
        <sz val="10"/>
        <color rgb="FF000000"/>
        <rFont val="Arial"/>
        <charset val="1"/>
      </rPr>
      <t>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t>
    </r>
  </si>
  <si>
    <t>15, 16, 18</t>
  </si>
  <si>
    <t>OT [08] Cuadrilla El Pangui 2026-03-25 (042) HM.pdf</t>
  </si>
  <si>
    <t>LV, AD</t>
  </si>
  <si>
    <r>
      <rPr>
        <b/>
        <sz val="10"/>
        <color rgb="FF000000"/>
        <rFont val="Arial"/>
        <charset val="1"/>
      </rPr>
      <t>Tiukcha,</t>
    </r>
    <r>
      <rPr>
        <sz val="10"/>
        <color rgb="FF000000"/>
        <rFont val="Arial"/>
        <charset val="1"/>
      </rPr>
      <t xml:space="preserve"> se arregla la red de bajo voltaje arrancada en postes 218718, 218712, daño ocasionan maquinas de minería, se energiza transformador 24599 de 10kva; queda pendiente el arreglo de la acometida del medidor 298281 el cliente tiene que adecuar tubo.</t>
    </r>
  </si>
  <si>
    <t>18</t>
  </si>
  <si>
    <t>OT [08] Cuadrilla El Pangui 2026-03-27 (043) LV.pdf</t>
  </si>
  <si>
    <r>
      <rPr>
        <b/>
        <sz val="10"/>
        <color rgb="FF000000"/>
        <rFont val="Arial"/>
        <charset val="1"/>
      </rPr>
      <t>Tiukcha,</t>
    </r>
    <r>
      <rPr>
        <sz val="10"/>
        <color rgb="FF000000"/>
        <rFont val="Arial"/>
        <charset val="1"/>
      </rPr>
      <t xml:space="preserve"> estructura 247721 se cambia 50mtrs de acometida y se reubica el medidor nro 298281 a tubo galvanizado nuevo, retorno a El Pangui</t>
    </r>
  </si>
  <si>
    <t>2, 3, 4, 6</t>
  </si>
  <si>
    <t>OT [08] Cuadrilla El Pangui 2026-03-28 (043) LV.pdf</t>
  </si>
  <si>
    <r>
      <rPr>
        <b/>
        <sz val="10"/>
        <color rgb="FF000000"/>
        <rFont val="Arial"/>
        <charset val="1"/>
      </rPr>
      <t>Nueva Tarqui,</t>
    </r>
    <r>
      <rPr>
        <sz val="10"/>
        <color rgb="FF000000"/>
        <rFont val="Arial"/>
        <charset val="1"/>
      </rPr>
      <t xml:space="preserve">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t>
    </r>
    <r>
      <rPr>
        <b/>
        <sz val="10"/>
        <color rgb="FF000000"/>
        <rFont val="Arial"/>
        <charset val="1"/>
      </rPr>
      <t>Barrio La Union,</t>
    </r>
    <r>
      <rPr>
        <sz val="10"/>
        <color rgb="FF000000"/>
        <rFont val="Arial"/>
        <charset val="1"/>
      </rPr>
      <t xml:space="preserve"> medidor 251289 estructura 43181, sector Luis Casiraghi, revision de RBV, se resetea el breaker principal del transformador 15925 (3ø) de 50 Kva estructura 40594.</t>
    </r>
  </si>
  <si>
    <t>13, 14, 15, 16, 17, 18</t>
  </si>
  <si>
    <t>OT [09] Cuadrilla Gualaquiza 2026-03-25 (045) FG.pdf</t>
  </si>
  <si>
    <r>
      <rPr>
        <b/>
        <sz val="10"/>
        <color rgb="FF000000"/>
        <rFont val="Arial"/>
        <charset val="1"/>
      </rPr>
      <t>Cantón Gualaquiza,</t>
    </r>
    <r>
      <rPr>
        <sz val="10"/>
        <color rgb="FF000000"/>
        <rFont val="Arial"/>
        <charset val="1"/>
      </rPr>
      <t xml:space="preserve"> autorizados por SUOM1 revisa luminarias Apagadas en el cantón Gualaquiza e informa.</t>
    </r>
  </si>
  <si>
    <t>20</t>
  </si>
  <si>
    <t>OT [09] Cuadrilla Gualaquiza 2026-03-27 (045) FG.pdf</t>
  </si>
  <si>
    <r>
      <rPr>
        <b/>
        <sz val="10"/>
        <color rgb="FF000000"/>
        <rFont val="Arial"/>
        <charset val="1"/>
      </rPr>
      <t>Barrio La Union,</t>
    </r>
    <r>
      <rPr>
        <sz val="10"/>
        <color rgb="FF000000"/>
        <rFont val="Arial"/>
        <charset val="1"/>
      </rPr>
      <t xml:space="preserve"> se revisa LMV si observar ninguna novedad, se cambia fusible de 6 A-T estructura 40595 conectando normal. </t>
    </r>
    <r>
      <rPr>
        <b/>
        <sz val="10"/>
        <color rgb="FF000000"/>
        <rFont val="Arial"/>
        <charset val="1"/>
      </rPr>
      <t>La Union,</t>
    </r>
    <r>
      <rPr>
        <sz val="10"/>
        <color rgb="FF000000"/>
        <rFont val="Arial"/>
        <charset val="1"/>
      </rPr>
      <t xml:space="preserve"> nuevamenta se quema el fusible luego de lluvia, se revisa y se detecta una lagartija en los aisadores pin estructura 282041, se retira y repone fusible de 6A-T conectando normal. </t>
    </r>
    <r>
      <rPr>
        <b/>
        <sz val="10"/>
        <color rgb="FF000000"/>
        <rFont val="Arial"/>
        <charset val="1"/>
      </rPr>
      <t>San Luis,</t>
    </r>
    <r>
      <rPr>
        <sz val="10"/>
        <color rgb="FF000000"/>
        <rFont val="Arial"/>
        <charset val="1"/>
      </rPr>
      <t xml:space="preserve"> se revisa RBV, por accidente de transito con las fibras, se suelta linea de la red nueva, y salta el breaker del transformador, se revisa y encuentra que ya fue arreglado por contratista, se revisa en el medidor se encuentra bajado el breaker del medidor, se activa y queda normal. </t>
    </r>
  </si>
  <si>
    <t>1, 2, 3, 4, 6, 7, 8, 10</t>
  </si>
  <si>
    <t>OT [09] Cuadrilla Gualaquiza 2026-03-28 (045) FG.pdf</t>
  </si>
  <si>
    <r>
      <rPr>
        <b/>
        <sz val="10"/>
        <color rgb="FF000000"/>
        <rFont val="Arial"/>
        <charset val="1"/>
      </rPr>
      <t>Cuchipamba,</t>
    </r>
    <r>
      <rPr>
        <sz val="10"/>
        <color rgb="FF000000"/>
        <rFont val="Arial"/>
        <charset val="1"/>
      </rPr>
      <t xml:space="preserve"> Med 1215888 estructura 128349, se revisa y encuentra quemado el fusible en el arranque de linea estructura 40558, Calle se repone fusibe de 25 A-T, conectando normal el servicio. </t>
    </r>
    <r>
      <rPr>
        <b/>
        <sz val="10"/>
        <color rgb="FF000000"/>
        <rFont val="Arial"/>
        <charset val="1"/>
      </rPr>
      <t>Barrio Amazonas,</t>
    </r>
    <r>
      <rPr>
        <sz val="10"/>
        <color rgb="FF000000"/>
        <rFont val="Arial"/>
        <charset val="1"/>
      </rPr>
      <t xml:space="preserve"> estructura 40510 se revisa transformador 14966 y medidor se encuentra normal el servicio, se atiende con la Resolucion anterior de cambio de fusibe de 25 A-T. </t>
    </r>
    <r>
      <rPr>
        <b/>
        <sz val="10"/>
        <color rgb="FF000000"/>
        <rFont val="Arial"/>
        <charset val="1"/>
      </rPr>
      <t xml:space="preserve">El Rosario, </t>
    </r>
    <r>
      <rPr>
        <sz val="10"/>
        <color rgb="FF000000"/>
        <rFont val="Arial"/>
        <charset val="1"/>
      </rPr>
      <t xml:space="preserve">Med 217105 en la estructura 28994 se revisa RBV, se encuentra que no hay LMV econtrando contratista reubicando red de MT, indicando que ya termina. </t>
    </r>
    <r>
      <rPr>
        <b/>
        <sz val="10"/>
        <color rgb="FF000000"/>
        <rFont val="Arial"/>
        <charset val="1"/>
      </rPr>
      <t>Canoa Rota,</t>
    </r>
    <r>
      <rPr>
        <sz val="10"/>
        <color rgb="FF000000"/>
        <rFont val="Arial"/>
        <charset val="1"/>
      </rPr>
      <t xml:space="preserve"> en la estructura 247690 se revisa RBV encontrando un arbol seco sobre la red de B/T, se corta el arbol, se resetea transformador 24608 de 25 kVA. </t>
    </r>
  </si>
  <si>
    <t>1, 2, 3, 5, 6, 8, 9, 11, 12, 14</t>
  </si>
  <si>
    <t>OT [09] Cuadrilla Gualaquiza 2026-03-29 (045) FG.pdf</t>
  </si>
  <si>
    <t>16</t>
  </si>
  <si>
    <t>PCH, RCL</t>
  </si>
  <si>
    <r>
      <rPr>
        <b/>
        <sz val="10"/>
        <color rgb="FF000000"/>
        <rFont val="Arial"/>
        <charset val="1"/>
      </rPr>
      <t>Barrio Playa Rica,</t>
    </r>
    <r>
      <rPr>
        <sz val="10"/>
        <color rgb="FF000000"/>
        <rFont val="Arial"/>
        <charset val="1"/>
      </rPr>
      <t xml:space="preserve">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t>
    </r>
    <r>
      <rPr>
        <b/>
        <sz val="10"/>
        <color rgb="FF000000"/>
        <rFont val="Arial"/>
        <charset val="1"/>
      </rPr>
      <t>Soapaca,</t>
    </r>
    <r>
      <rPr>
        <sz val="10"/>
        <color rgb="FF000000"/>
        <rFont val="Arial"/>
        <charset val="1"/>
      </rPr>
      <t xml:space="preserve"> se encuentra breaker mal estado del medidor 18-236703, se cambia breaker y se normaliza el servicio.</t>
    </r>
  </si>
  <si>
    <t>1, 2, 3, 4, 5, 6, 7</t>
  </si>
  <si>
    <t>OT [22] Agencia Yantzaza 2026-03-30 (055) PCH.pdf</t>
  </si>
  <si>
    <r>
      <rPr>
        <b/>
        <sz val="10"/>
        <color rgb="FF000000"/>
        <rFont val="Arial"/>
        <charset val="1"/>
      </rPr>
      <t>Calle Geranios y Amazonas,</t>
    </r>
    <r>
      <rPr>
        <sz val="10"/>
        <color rgb="FF000000"/>
        <rFont val="Arial"/>
        <charset val="1"/>
      </rPr>
      <t xml:space="preserve"> Poste 23231, se encuentra grampa de LMV caída por causa de recalentamiento, punto caliente, se cambia la grapa, se normaliza el servicio, Transf 22029 de 25 KVA.</t>
    </r>
  </si>
  <si>
    <t>10, 11, 12</t>
  </si>
  <si>
    <t>LP, RCL, PCH</t>
  </si>
  <si>
    <r>
      <rPr>
        <b/>
        <sz val="10"/>
        <color rgb="FF000000"/>
        <rFont val="Arial"/>
        <charset val="1"/>
      </rPr>
      <t>Barrio La Acantarilla,</t>
    </r>
    <r>
      <rPr>
        <sz val="10"/>
        <color rgb="FF000000"/>
        <rFont val="Arial"/>
        <charset val="1"/>
      </rPr>
      <t xml:space="preserve"> se revisa y se realiza ajuste de conexiones del medidor 1000385762 estructura 63056 y se normaliza el servicio sin novedad.</t>
    </r>
  </si>
  <si>
    <t>11, 12</t>
  </si>
  <si>
    <t>OT [22] Agencia Yantzaza 2026-03-30 (056) LP.pdf</t>
  </si>
  <si>
    <r>
      <rPr>
        <b/>
        <sz val="10"/>
        <color rgb="FF000000"/>
        <rFont val="Arial"/>
        <charset val="1"/>
      </rPr>
      <t xml:space="preserve">Panguitza, </t>
    </r>
    <r>
      <rPr>
        <sz val="10"/>
        <color rgb="FF000000"/>
        <rFont val="Arial"/>
        <charset val="1"/>
      </rPr>
      <t xml:space="preserve">se encuentra breaker, borneras quemadas medidor 1000021719, se cambia de breaker y puentes por estar quemados, se normaliza el servicio. </t>
    </r>
    <r>
      <rPr>
        <b/>
        <sz val="10"/>
        <color rgb="FF000000"/>
        <rFont val="Arial"/>
        <charset val="1"/>
      </rPr>
      <t xml:space="preserve">San Rosa de Mercadillo, </t>
    </r>
    <r>
      <rPr>
        <sz val="10"/>
        <color rgb="FF000000"/>
        <rFont val="Arial"/>
        <charset val="1"/>
      </rPr>
      <t>estructura 22011, se encuentra fusible quemado por hoja de Platanos, se repone tirafusible de 1,6A tipo SR, para el Transformador 24877 de 25 kVA.</t>
    </r>
  </si>
  <si>
    <t>1, 2, 3, 4, 5, 6</t>
  </si>
  <si>
    <t>OT [22] Agencia Yantzaza 2026-03-31 (055) PCH.pdf</t>
  </si>
  <si>
    <t>FA, AS</t>
  </si>
  <si>
    <r>
      <rPr>
        <b/>
        <sz val="10"/>
        <color rgb="FF000000"/>
        <rFont val="Arial"/>
        <charset val="1"/>
      </rPr>
      <t xml:space="preserve">Simón Bolívar, </t>
    </r>
    <r>
      <rPr>
        <sz val="10"/>
        <color rgb="FF000000"/>
        <rFont val="Arial"/>
        <charset val="1"/>
      </rPr>
      <t>acometida arrancada medidor 18519272, se restituye acometida en mal estado por el paso de una volqueta, se normaliza el servicio.</t>
    </r>
  </si>
  <si>
    <t>OT [23] Agencia El Pangui 2026-03-23 (058) FA.pdf</t>
  </si>
  <si>
    <r>
      <rPr>
        <b/>
        <sz val="10"/>
        <color rgb="FF000000"/>
        <rFont val="Arial"/>
        <charset val="1"/>
      </rPr>
      <t>El Pangui,</t>
    </r>
    <r>
      <rPr>
        <sz val="10"/>
        <color rgb="FF000000"/>
        <rFont val="Arial"/>
        <charset val="1"/>
      </rPr>
      <t xml:space="preserve"> estructura 72266, se restituye conector ranura paralela sulfatada en el Trafo 23783 de 37.5 KVA estructura 227941, se normaliza el servicio.</t>
    </r>
  </si>
  <si>
    <t>OT [23] Agencia El Pangui 2026-03-24 (058) FA.pdf</t>
  </si>
  <si>
    <t>12, 13</t>
  </si>
  <si>
    <t>OT [23] Agencia El Pangui 2026-03-27 (058) FA.pdf</t>
  </si>
  <si>
    <r>
      <rPr>
        <b/>
        <sz val="10"/>
        <color rgb="FF000000"/>
        <rFont val="Arial"/>
        <family val="2"/>
      </rPr>
      <t xml:space="preserve">Tiucksha, </t>
    </r>
    <r>
      <rPr>
        <sz val="10"/>
        <color rgb="FF000000"/>
        <rFont val="Arial"/>
        <charset val="1"/>
      </rPr>
      <t>apoyo a la cuadrilla de mantenimiento para el arreglo de un daño reportado por Centro de Control indica líneas arrancadas, traslado de Tiukcha a El Pangui.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</si>
</sst>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d&quot;,  &quot;dd&quot; de &quot;mmmm&quot; de &quot;yyyy"/>
    <numFmt numFmtId="165" formatCode="dd/mm/yy"/>
    <numFmt numFmtId="166" formatCode="dd/mmm\ yyyy"/>
    <numFmt numFmtId="167" formatCode="hh:mm"/>
    <numFmt numFmtId="168" formatCode="[$-F400]h:mm:ss\ AM/PM"/>
  </numFmts>
  <fonts count="8" x14ac:knownFonts="1">
    <font>
      <sz val="10"/>
      <name val="Arial"/>
      <family val="2"/>
      <charset val="1"/>
    </font>
    <font>
      <b/>
      <sz val="10"/>
      <name val="Arial"/>
      <family val="2"/>
      <charset val="1"/>
    </font>
    <font>
      <b/>
      <sz val="14"/>
      <name val="Arial"/>
      <family val="2"/>
      <charset val="1"/>
    </font>
    <font>
      <sz val="10"/>
      <color rgb="FF000000"/>
      <name val="Arial"/>
      <charset val="1"/>
    </font>
    <font>
      <b/>
      <sz val="10"/>
      <color rgb="FF000000"/>
      <name val="Arial"/>
      <charset val="1"/>
    </font>
    <font>
      <sz val="10"/>
      <color rgb="FF000000"/>
      <name val="Arial"/>
    </font>
    <font>
      <b/>
      <sz val="10"/>
      <color rgb="FF000000"/>
      <name val="Arial"/>
      <family val="2"/>
    </font>
    <font>
      <sz val="10"/>
      <color rgb="FF000000"/>
      <name val="Arial"/>
      <family val="2"/>
    </font>
  </fonts>
  <fills count="9">
    <fill>
      <patternFill patternType="none"/>
    </fill>
    <fill>
      <patternFill patternType="gray125"/>
    </fill>
    <fill>
      <patternFill patternType="solid">
        <fgColor rgb="FFB4C7DC"/>
        <bgColor rgb="FFCCCCFF"/>
      </patternFill>
    </fill>
    <fill>
      <patternFill patternType="solid">
        <fgColor theme="8" tint="0.79979857783745845"/>
        <bgColor rgb="FFFFFFFF"/>
      </patternFill>
    </fill>
    <fill>
      <patternFill patternType="solid">
        <fgColor theme="8" tint="0.59978026673177287"/>
        <bgColor rgb="FFFFD546"/>
      </patternFill>
    </fill>
    <fill>
      <patternFill patternType="solid">
        <fgColor theme="4" tint="0.79979857783745845"/>
        <bgColor rgb="FFCCFFFF"/>
      </patternFill>
    </fill>
    <fill>
      <patternFill patternType="solid">
        <fgColor theme="5" tint="0.79979857783745845"/>
        <bgColor rgb="FFCCFFFF"/>
      </patternFill>
    </fill>
    <fill>
      <patternFill patternType="solid">
        <fgColor theme="9" tint="0.79979857783745845"/>
        <bgColor rgb="FFFFF1C1"/>
      </patternFill>
    </fill>
    <fill>
      <patternFill patternType="solid">
        <fgColor theme="9" tint="0.59978026673177287"/>
        <bgColor rgb="FFFF8080"/>
      </patternFill>
    </fill>
  </fills>
  <borders count="1">
    <border>
      <left/>
      <right/>
      <top/>
      <bottom/>
      <diagonal/>
    </border>
  </borders>
  <cellStyleXfs count="1">
    <xf numFmtId="0" fontId="0" fillId="0" borderId="0"/>
  </cellStyleXfs>
  <cellXfs count="26">
    <xf numFmtId="0" fontId="0" fillId="0" borderId="0" xfId="0"/>
    <xf numFmtId="164" fontId="0" fillId="0" borderId="0" xfId="0" applyNumberFormat="1"/>
    <xf numFmtId="0" fontId="1" fillId="0" borderId="0" xfId="0" applyFont="1" applyAlignment="1">
      <alignment horizontal="left" indent="1"/>
    </xf>
    <xf numFmtId="165" fontId="0" fillId="0" borderId="0" xfId="0" applyNumberFormat="1"/>
    <xf numFmtId="0" fontId="2" fillId="0" borderId="0" xfId="0" applyFont="1" applyAlignment="1">
      <alignment horizontal="center" vertical="center"/>
    </xf>
    <xf numFmtId="0" fontId="1" fillId="2" borderId="0" xfId="0" applyFont="1" applyFill="1" applyAlignment="1">
      <alignment horizontal="left" indent="1"/>
    </xf>
    <xf numFmtId="165" fontId="0" fillId="3" borderId="0" xfId="0" applyNumberFormat="1" applyFill="1"/>
    <xf numFmtId="165" fontId="0" fillId="4" borderId="0" xfId="0" applyNumberFormat="1" applyFill="1"/>
    <xf numFmtId="165" fontId="0" fillId="5" borderId="0" xfId="0" applyNumberFormat="1" applyFill="1"/>
    <xf numFmtId="165" fontId="0" fillId="6" borderId="0" xfId="0" applyNumberFormat="1" applyFill="1"/>
    <xf numFmtId="165" fontId="0" fillId="7" borderId="0" xfId="0" applyNumberFormat="1" applyFill="1"/>
    <xf numFmtId="165" fontId="0" fillId="8" borderId="0" xfId="0" applyNumberFormat="1" applyFill="1"/>
    <xf numFmtId="0" fontId="0" fillId="0" borderId="0" xfId="0" applyAlignment="1">
      <alignment horizontal="right"/>
    </xf>
    <xf numFmtId="166" fontId="0" fillId="0" borderId="0" xfId="0" applyNumberFormat="1" applyAlignment="1">
      <alignment horizontal="center"/>
    </xf>
    <xf numFmtId="167" fontId="0" fillId="0" borderId="0" xfId="0" applyNumberFormat="1" applyAlignment="1">
      <alignment horizontal="center"/>
    </xf>
    <xf numFmtId="168" fontId="1" fillId="0" borderId="0" xfId="0" applyNumberFormat="1" applyFont="1" applyAlignment="1">
      <alignment horizontal="center"/>
    </xf>
    <xf numFmtId="0" fontId="1" fillId="0" borderId="0" xfId="0" applyFont="1"/>
    <xf numFmtId="0" fontId="1" fillId="0" borderId="0" xfId="0" applyFont="1" applyAlignment="1">
      <alignment horizontal="right" indent="1"/>
    </xf>
    <xf numFmtId="166" fontId="1" fillId="0" borderId="0" xfId="0" applyNumberFormat="1" applyFont="1" applyAlignment="1">
      <alignment horizontal="center"/>
    </xf>
    <xf numFmtId="167" fontId="1" fillId="0" borderId="0" xfId="0" applyNumberFormat="1" applyFont="1" applyAlignment="1">
      <alignment horizontal="center"/>
    </xf>
    <xf numFmtId="168" fontId="1" fillId="0" borderId="0" xfId="0" applyNumberFormat="1" applyFont="1" applyAlignment="1">
      <alignment horizontal="left" indent="1"/>
    </xf>
    <xf numFmtId="0" fontId="3" fillId="0" borderId="0" xfId="0" applyFont="1"/>
    <xf numFmtId="0" fontId="3" fillId="0" borderId="0" xfId="0" applyFont="1" applyAlignment="1">
      <alignment wrapText="1"/>
    </xf>
    <xf numFmtId="0" fontId="4" fillId="0" borderId="0" xfId="0" applyFont="1"/>
    <xf numFmtId="0" fontId="4" fillId="0" borderId="0" xfId="0" applyFont="1" applyAlignment="1">
      <alignment wrapText="1"/>
    </xf>
    <xf numFmtId="0" fontId="7" fillId="0" borderId="0" xfId="0" applyFont="1"/>
  </cellXfs>
  <cellStyles count="1">
    <cellStyle name="Normal" xfId="0" builtinId="0"/>
  </cellStyles>
  <dxfs count="28">
    <dxf>
      <border diagonalUp="0" diagonalDown="0">
        <left/>
        <right/>
        <top/>
        <bottom style="thin">
          <color auto="1"/>
        </bottom>
      </border>
    </dxf>
    <dxf>
      <fill>
        <patternFill>
          <bgColor theme="9" tint="0.59978026673177287"/>
        </patternFill>
      </fill>
    </dxf>
    <dxf>
      <fill>
        <patternFill>
          <bgColor theme="9" tint="0.79979857783745845"/>
        </patternFill>
      </fill>
    </dxf>
    <dxf>
      <fill>
        <patternFill>
          <bgColor theme="5" tint="0.79979857783745845"/>
        </patternFill>
      </fill>
    </dxf>
    <dxf>
      <fill>
        <patternFill>
          <bgColor theme="4" tint="0.79979857783745845"/>
        </patternFill>
      </fill>
    </dxf>
    <dxf>
      <fill>
        <patternFill>
          <bgColor theme="4" tint="0.79979857783745845"/>
        </patternFill>
      </fill>
    </dxf>
    <dxf>
      <fill>
        <patternFill>
          <bgColor theme="8" tint="0.39979247413556324"/>
        </patternFill>
      </fill>
    </dxf>
    <dxf>
      <fill>
        <patternFill>
          <bgColor theme="8" tint="0.79979857783745845"/>
        </patternFill>
      </fill>
    </dxf>
    <dxf>
      <fill>
        <patternFill>
          <bgColor theme="5" tint="0.79979857783745845"/>
        </patternFill>
      </fill>
    </dxf>
    <dxf>
      <fill>
        <patternFill>
          <bgColor theme="4" tint="0.79979857783745845"/>
        </patternFill>
      </fill>
    </dxf>
    <dxf>
      <fill>
        <patternFill>
          <bgColor theme="4" tint="0.79979857783745845"/>
        </patternFill>
      </fill>
    </dxf>
    <dxf>
      <fill>
        <patternFill>
          <bgColor theme="8" tint="0.39979247413556324"/>
        </patternFill>
      </fill>
    </dxf>
    <dxf>
      <fill>
        <patternFill>
          <bgColor theme="8" tint="0.79979857783745845"/>
        </patternFill>
      </fill>
    </dxf>
    <dxf>
      <border diagonalUp="0" diagonalDown="0">
        <left/>
        <right/>
        <top/>
        <bottom style="thin">
          <color auto="1"/>
        </bottom>
      </border>
    </dxf>
    <dxf>
      <fill>
        <patternFill>
          <bgColor theme="9" tint="0.59978026673177287"/>
        </patternFill>
      </fill>
    </dxf>
    <dxf>
      <fill>
        <patternFill>
          <bgColor theme="9" tint="0.79979857783745845"/>
        </patternFill>
      </fill>
    </dxf>
    <dxf>
      <fill>
        <patternFill>
          <bgColor theme="9" tint="0.59978026673177287"/>
        </patternFill>
      </fill>
    </dxf>
    <dxf>
      <fill>
        <patternFill>
          <bgColor theme="9" tint="0.79979857783745845"/>
        </patternFill>
      </fill>
    </dxf>
    <dxf>
      <fill>
        <patternFill>
          <bgColor theme="5" tint="0.79979857783745845"/>
        </patternFill>
      </fill>
    </dxf>
    <dxf>
      <fill>
        <patternFill>
          <bgColor theme="8" tint="0.39979247413556324"/>
        </patternFill>
      </fill>
    </dxf>
    <dxf>
      <fill>
        <patternFill>
          <bgColor theme="8" tint="0.79979857783745845"/>
        </patternFill>
      </fill>
    </dxf>
    <dxf>
      <border diagonalUp="0" diagonalDown="0">
        <left/>
        <right/>
        <top/>
        <bottom style="thin">
          <color auto="1"/>
        </bottom>
      </border>
    </dxf>
    <dxf>
      <fill>
        <patternFill>
          <bgColor theme="5" tint="0.79979857783745845"/>
        </patternFill>
      </fill>
    </dxf>
    <dxf>
      <fill>
        <patternFill>
          <bgColor theme="4" tint="0.79979857783745845"/>
        </patternFill>
      </fill>
    </dxf>
    <dxf>
      <fill>
        <patternFill>
          <bgColor theme="4" tint="0.79979857783745845"/>
        </patternFill>
      </fill>
    </dxf>
    <dxf>
      <fill>
        <patternFill>
          <bgColor theme="8" tint="0.39979247413556324"/>
        </patternFill>
      </fill>
    </dxf>
    <dxf>
      <fill>
        <patternFill>
          <bgColor theme="8" tint="0.79979857783745845"/>
        </patternFill>
      </fill>
    </dxf>
    <dxf>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zoomScale="65" zoomScaleNormal="65" workbookViewId="0"/>
  </sheetViews>
  <sheetFormatPr baseColWidth="10" defaultColWidth="11.5703125" defaultRowHeight="12.75" x14ac:dyDescent="0.2"/>
  <cols>
    <col min="1" max="1" width="43.140625" customWidth="1"/>
    <col min="2" max="2" width="35.140625" style="1" customWidth="1"/>
    <col min="3" max="3" width="23" customWidth="1"/>
    <col min="4" max="4" width="29.7109375" style="2" customWidth="1"/>
    <col min="5" max="5" width="15.85546875" style="3" customWidth="1"/>
    <col min="6" max="6" width="18.7109375" customWidth="1"/>
    <col min="7" max="7" width="32.85546875" style="2" customWidth="1"/>
    <col min="8" max="8" width="15.85546875" style="3" customWidth="1"/>
    <col min="9" max="9" width="17.5703125" customWidth="1"/>
  </cols>
  <sheetData>
    <row r="1" spans="1:7" ht="31.5" customHeight="1" x14ac:dyDescent="0.2">
      <c r="A1" s="4" t="s">
        <v>0</v>
      </c>
      <c r="B1" s="4" t="s">
        <v>1</v>
      </c>
      <c r="C1" s="4" t="s">
        <v>2</v>
      </c>
      <c r="D1" s="4" t="s">
        <v>3</v>
      </c>
      <c r="E1" s="4" t="s">
        <v>4</v>
      </c>
      <c r="G1" s="4" t="s">
        <v>5</v>
      </c>
    </row>
    <row r="2" spans="1:7" x14ac:dyDescent="0.2">
      <c r="A2" s="5" t="s">
        <v>6</v>
      </c>
      <c r="B2" s="1">
        <v>46023</v>
      </c>
      <c r="C2" t="s">
        <v>7</v>
      </c>
      <c r="E2" s="6"/>
      <c r="F2" t="s">
        <v>8</v>
      </c>
    </row>
    <row r="3" spans="1:7" x14ac:dyDescent="0.2">
      <c r="A3" s="5" t="s">
        <v>6</v>
      </c>
      <c r="B3" s="1">
        <v>46066</v>
      </c>
      <c r="C3" t="s">
        <v>9</v>
      </c>
      <c r="D3" s="2" t="s">
        <v>10</v>
      </c>
      <c r="E3" s="7"/>
      <c r="F3" t="s">
        <v>11</v>
      </c>
    </row>
    <row r="4" spans="1:7" x14ac:dyDescent="0.2">
      <c r="A4" s="5" t="s">
        <v>6</v>
      </c>
      <c r="B4" s="1">
        <v>46069</v>
      </c>
      <c r="C4" t="s">
        <v>12</v>
      </c>
      <c r="D4" s="2" t="s">
        <v>13</v>
      </c>
      <c r="E4" s="8"/>
      <c r="F4" t="s">
        <v>14</v>
      </c>
    </row>
    <row r="5" spans="1:7" x14ac:dyDescent="0.2">
      <c r="A5" s="5" t="s">
        <v>6</v>
      </c>
      <c r="B5" s="1">
        <v>46070</v>
      </c>
      <c r="C5" t="s">
        <v>15</v>
      </c>
      <c r="D5" s="2" t="s">
        <v>16</v>
      </c>
      <c r="E5" s="9"/>
      <c r="F5" t="s">
        <v>17</v>
      </c>
    </row>
    <row r="6" spans="1:7" x14ac:dyDescent="0.2">
      <c r="A6" s="5" t="s">
        <v>6</v>
      </c>
      <c r="B6" s="1">
        <v>46115</v>
      </c>
      <c r="C6" t="s">
        <v>18</v>
      </c>
      <c r="D6" s="2" t="s">
        <v>19</v>
      </c>
      <c r="E6" s="10"/>
      <c r="F6" t="s">
        <v>20</v>
      </c>
      <c r="G6" s="2" t="s">
        <v>21</v>
      </c>
    </row>
    <row r="7" spans="1:7" x14ac:dyDescent="0.2">
      <c r="A7" s="5" t="s">
        <v>6</v>
      </c>
      <c r="B7" s="1">
        <v>46143</v>
      </c>
      <c r="C7" t="s">
        <v>22</v>
      </c>
      <c r="D7" s="2" t="s">
        <v>23</v>
      </c>
      <c r="E7" s="11"/>
      <c r="F7" t="s">
        <v>24</v>
      </c>
      <c r="G7" s="2" t="s">
        <v>25</v>
      </c>
    </row>
    <row r="8" spans="1:7" x14ac:dyDescent="0.2">
      <c r="A8" s="5" t="s">
        <v>6</v>
      </c>
      <c r="B8" s="1">
        <v>46167</v>
      </c>
      <c r="C8" t="s">
        <v>26</v>
      </c>
      <c r="D8" s="2" t="s">
        <v>27</v>
      </c>
    </row>
    <row r="9" spans="1:7" x14ac:dyDescent="0.2">
      <c r="A9" s="5" t="s">
        <v>6</v>
      </c>
      <c r="B9" s="1">
        <v>46244</v>
      </c>
      <c r="C9" t="s">
        <v>28</v>
      </c>
      <c r="D9" s="2" t="s">
        <v>29</v>
      </c>
    </row>
    <row r="10" spans="1:7" x14ac:dyDescent="0.2">
      <c r="A10" s="5" t="s">
        <v>6</v>
      </c>
      <c r="B10" s="1">
        <v>46304</v>
      </c>
      <c r="C10" t="s">
        <v>30</v>
      </c>
      <c r="D10" s="2" t="s">
        <v>31</v>
      </c>
    </row>
    <row r="11" spans="1:7" x14ac:dyDescent="0.2">
      <c r="A11" s="5" t="s">
        <v>6</v>
      </c>
      <c r="B11" s="1">
        <v>46328</v>
      </c>
      <c r="C11" t="s">
        <v>32</v>
      </c>
      <c r="D11" s="2" t="s">
        <v>33</v>
      </c>
    </row>
    <row r="12" spans="1:7" x14ac:dyDescent="0.2">
      <c r="A12" s="5" t="s">
        <v>6</v>
      </c>
      <c r="B12" s="1">
        <v>46329</v>
      </c>
      <c r="C12" t="s">
        <v>34</v>
      </c>
      <c r="D12" s="2" t="s">
        <v>35</v>
      </c>
    </row>
    <row r="13" spans="1:7" x14ac:dyDescent="0.2">
      <c r="A13" s="5" t="s">
        <v>6</v>
      </c>
      <c r="B13" s="1">
        <v>46335</v>
      </c>
      <c r="C13" t="s">
        <v>36</v>
      </c>
      <c r="D13" s="2" t="s">
        <v>37</v>
      </c>
    </row>
    <row r="14" spans="1:7" x14ac:dyDescent="0.2">
      <c r="A14" s="5" t="s">
        <v>6</v>
      </c>
      <c r="B14" s="1">
        <v>46381</v>
      </c>
      <c r="C14" t="s">
        <v>38</v>
      </c>
      <c r="D14" s="2" t="s">
        <v>39</v>
      </c>
    </row>
    <row r="15" spans="1:7" x14ac:dyDescent="0.2">
      <c r="A15" s="5" t="s">
        <v>40</v>
      </c>
      <c r="B15" s="1">
        <v>46300</v>
      </c>
      <c r="C15" t="s">
        <v>41</v>
      </c>
      <c r="D15" s="2" t="s">
        <v>42</v>
      </c>
    </row>
    <row r="16" spans="1:7" x14ac:dyDescent="0.2">
      <c r="A16" s="5" t="s">
        <v>43</v>
      </c>
      <c r="B16" s="1">
        <v>46300</v>
      </c>
      <c r="C16" t="s">
        <v>41</v>
      </c>
      <c r="D16" s="2" t="s">
        <v>44</v>
      </c>
    </row>
    <row r="17" spans="1:3" x14ac:dyDescent="0.2">
      <c r="A17" s="5" t="s">
        <v>45</v>
      </c>
      <c r="B17" s="1">
        <v>46300</v>
      </c>
      <c r="C17" t="s">
        <v>41</v>
      </c>
    </row>
    <row r="18" spans="1:3" x14ac:dyDescent="0.2">
      <c r="A18" s="5" t="s">
        <v>46</v>
      </c>
      <c r="B18" s="1">
        <v>46300</v>
      </c>
      <c r="C18" t="s">
        <v>41</v>
      </c>
    </row>
    <row r="19" spans="1:3" x14ac:dyDescent="0.2">
      <c r="A19" s="5" t="s">
        <v>47</v>
      </c>
      <c r="B19" s="1">
        <v>46031</v>
      </c>
      <c r="C19" t="s">
        <v>41</v>
      </c>
    </row>
    <row r="20" spans="1:3" x14ac:dyDescent="0.2">
      <c r="A20" s="5" t="s">
        <v>48</v>
      </c>
      <c r="B20" s="1">
        <v>46080</v>
      </c>
      <c r="C20" t="s">
        <v>41</v>
      </c>
    </row>
    <row r="21" spans="1:3" x14ac:dyDescent="0.2">
      <c r="A21" s="5" t="s">
        <v>49</v>
      </c>
      <c r="B21" s="1">
        <v>46080</v>
      </c>
      <c r="C21" t="s">
        <v>41</v>
      </c>
    </row>
    <row r="22" spans="1:3" x14ac:dyDescent="0.2">
      <c r="A22" s="5" t="s">
        <v>50</v>
      </c>
      <c r="B22" s="1">
        <v>46080</v>
      </c>
      <c r="C22" t="s">
        <v>41</v>
      </c>
    </row>
    <row r="23" spans="1:3" x14ac:dyDescent="0.2">
      <c r="A23" s="5" t="s">
        <v>51</v>
      </c>
      <c r="B23" s="1">
        <v>46319</v>
      </c>
      <c r="C23" t="s">
        <v>41</v>
      </c>
    </row>
    <row r="24" spans="1:3" x14ac:dyDescent="0.2">
      <c r="A24" s="5" t="s">
        <v>52</v>
      </c>
      <c r="B24" s="1">
        <v>46353</v>
      </c>
      <c r="C24" t="s">
        <v>41</v>
      </c>
    </row>
    <row r="25" spans="1:3" x14ac:dyDescent="0.2">
      <c r="A25" s="5" t="s">
        <v>53</v>
      </c>
      <c r="B25" s="1">
        <v>46065</v>
      </c>
      <c r="C25" t="s">
        <v>41</v>
      </c>
    </row>
    <row r="26" spans="1:3" x14ac:dyDescent="0.2">
      <c r="A26" s="5" t="s">
        <v>54</v>
      </c>
      <c r="B26" s="1">
        <v>46065</v>
      </c>
      <c r="C26" t="s">
        <v>41</v>
      </c>
    </row>
    <row r="27" spans="1:3" x14ac:dyDescent="0.2">
      <c r="A27" s="5" t="s">
        <v>55</v>
      </c>
      <c r="B27" s="1">
        <v>46251</v>
      </c>
      <c r="C27" t="s">
        <v>56</v>
      </c>
    </row>
    <row r="28" spans="1:3" x14ac:dyDescent="0.2">
      <c r="A28" s="5" t="s">
        <v>57</v>
      </c>
      <c r="B28" s="1">
        <v>46251</v>
      </c>
      <c r="C28" t="s">
        <v>56</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25"/>
  <sheetViews>
    <sheetView tabSelected="1" topLeftCell="A7" zoomScale="65" zoomScaleNormal="65" workbookViewId="0">
      <selection activeCell="H228" sqref="H228"/>
    </sheetView>
  </sheetViews>
  <sheetFormatPr baseColWidth="10" defaultColWidth="11.5703125" defaultRowHeight="12.75" x14ac:dyDescent="0.2"/>
  <cols>
    <col min="1" max="1" width="31.5703125" customWidth="1"/>
    <col min="2" max="2" width="39.7109375" customWidth="1"/>
    <col min="3" max="3" width="14.42578125" style="12" customWidth="1"/>
    <col min="4" max="4" width="16.5703125" style="13" customWidth="1"/>
    <col min="5" max="5" width="14.5703125" style="14" customWidth="1"/>
    <col min="6" max="6" width="13.42578125" style="14" customWidth="1"/>
    <col min="7" max="7" width="19.7109375" style="15" customWidth="1"/>
    <col min="8" max="8" width="170.28515625" style="16" customWidth="1"/>
    <col min="9" max="9" width="38" customWidth="1"/>
    <col min="10" max="10" width="12.28515625" customWidth="1"/>
    <col min="11" max="12" width="10.140625" customWidth="1"/>
    <col min="13" max="13" width="55.85546875" customWidth="1"/>
  </cols>
  <sheetData>
    <row r="1" spans="1:13" x14ac:dyDescent="0.2">
      <c r="A1" s="2" t="s">
        <v>58</v>
      </c>
      <c r="B1" s="2" t="s">
        <v>59</v>
      </c>
      <c r="C1" s="17" t="s">
        <v>60</v>
      </c>
      <c r="D1" s="18" t="s">
        <v>1</v>
      </c>
      <c r="E1" s="19" t="s">
        <v>61</v>
      </c>
      <c r="F1" s="19" t="s">
        <v>62</v>
      </c>
      <c r="G1" s="20" t="s">
        <v>63</v>
      </c>
      <c r="H1" s="2" t="s">
        <v>64</v>
      </c>
      <c r="I1" s="2" t="s">
        <v>65</v>
      </c>
      <c r="J1" s="2" t="s">
        <v>66</v>
      </c>
      <c r="K1" s="2" t="s">
        <v>67</v>
      </c>
      <c r="L1" s="2" t="s">
        <v>68</v>
      </c>
      <c r="M1" s="2" t="s">
        <v>69</v>
      </c>
    </row>
    <row r="2" spans="1:13" x14ac:dyDescent="0.2">
      <c r="A2" t="s">
        <v>40</v>
      </c>
      <c r="B2" t="s">
        <v>70</v>
      </c>
      <c r="C2" s="12" t="s">
        <v>71</v>
      </c>
      <c r="D2" s="13">
        <v>46083</v>
      </c>
      <c r="E2" s="14">
        <v>0.89375000000000004</v>
      </c>
      <c r="F2" s="14">
        <v>0.999305555555556</v>
      </c>
      <c r="G2" s="15">
        <f t="shared" ref="G2:G65" si="0">F2-E2</f>
        <v>0.10555555555555596</v>
      </c>
      <c r="H2" s="21" t="s">
        <v>72</v>
      </c>
      <c r="I2" t="s">
        <v>73</v>
      </c>
      <c r="J2">
        <v>172309</v>
      </c>
      <c r="L2">
        <v>3</v>
      </c>
      <c r="M2" t="s">
        <v>74</v>
      </c>
    </row>
    <row r="3" spans="1:13" x14ac:dyDescent="0.2">
      <c r="A3" t="s">
        <v>40</v>
      </c>
      <c r="B3" t="s">
        <v>75</v>
      </c>
      <c r="C3" s="12" t="s">
        <v>76</v>
      </c>
      <c r="D3" s="13">
        <v>46084</v>
      </c>
      <c r="E3" s="14">
        <v>0.70833333333333304</v>
      </c>
      <c r="F3" s="14">
        <v>0.77986111111111101</v>
      </c>
      <c r="G3" s="15">
        <f t="shared" si="0"/>
        <v>7.1527777777777968E-2</v>
      </c>
      <c r="H3" t="s">
        <v>77</v>
      </c>
      <c r="I3" t="s">
        <v>78</v>
      </c>
      <c r="J3">
        <v>171915</v>
      </c>
      <c r="L3">
        <v>1</v>
      </c>
      <c r="M3" t="s">
        <v>79</v>
      </c>
    </row>
    <row r="4" spans="1:13" x14ac:dyDescent="0.2">
      <c r="A4" t="s">
        <v>40</v>
      </c>
      <c r="B4" t="s">
        <v>80</v>
      </c>
      <c r="C4" s="12" t="s">
        <v>81</v>
      </c>
      <c r="D4" s="13">
        <v>46085</v>
      </c>
      <c r="E4" s="14">
        <v>0.28125</v>
      </c>
      <c r="F4" s="14">
        <v>0.33333333333333298</v>
      </c>
      <c r="G4" s="15">
        <f t="shared" si="0"/>
        <v>5.2083333333332982E-2</v>
      </c>
      <c r="H4" s="21" t="s">
        <v>82</v>
      </c>
      <c r="I4" t="s">
        <v>78</v>
      </c>
      <c r="J4">
        <v>172008</v>
      </c>
      <c r="L4">
        <v>2</v>
      </c>
      <c r="M4" t="s">
        <v>83</v>
      </c>
    </row>
    <row r="5" spans="1:13" x14ac:dyDescent="0.2">
      <c r="A5" t="s">
        <v>40</v>
      </c>
      <c r="B5" t="s">
        <v>70</v>
      </c>
      <c r="C5" s="12" t="s">
        <v>81</v>
      </c>
      <c r="D5" s="13">
        <v>46085</v>
      </c>
      <c r="E5" s="14">
        <v>0.85208333333333297</v>
      </c>
      <c r="F5" s="14">
        <v>0.91458333333333297</v>
      </c>
      <c r="G5" s="15">
        <f t="shared" si="0"/>
        <v>6.25E-2</v>
      </c>
      <c r="H5" s="21" t="s">
        <v>84</v>
      </c>
      <c r="I5" t="s">
        <v>73</v>
      </c>
      <c r="J5">
        <v>172310</v>
      </c>
      <c r="L5">
        <v>3</v>
      </c>
      <c r="M5" t="s">
        <v>85</v>
      </c>
    </row>
    <row r="6" spans="1:13" ht="34.5" customHeight="1" x14ac:dyDescent="0.2">
      <c r="A6" t="s">
        <v>40</v>
      </c>
      <c r="B6" t="s">
        <v>70</v>
      </c>
      <c r="C6" s="12" t="s">
        <v>8</v>
      </c>
      <c r="D6" s="13">
        <v>46088</v>
      </c>
      <c r="E6" s="14">
        <v>0.42361111111111099</v>
      </c>
      <c r="F6" s="14">
        <v>0.56736111111111098</v>
      </c>
      <c r="G6" s="15">
        <f t="shared" si="0"/>
        <v>0.14374999999999999</v>
      </c>
      <c r="H6" s="22" t="s">
        <v>86</v>
      </c>
      <c r="I6" t="s">
        <v>78</v>
      </c>
      <c r="J6">
        <v>172367</v>
      </c>
      <c r="L6">
        <v>3</v>
      </c>
      <c r="M6" t="s">
        <v>87</v>
      </c>
    </row>
    <row r="7" spans="1:13" ht="25.5" x14ac:dyDescent="0.2">
      <c r="A7" t="s">
        <v>40</v>
      </c>
      <c r="B7" t="s">
        <v>70</v>
      </c>
      <c r="C7" s="12" t="s">
        <v>8</v>
      </c>
      <c r="D7" s="13">
        <v>46088</v>
      </c>
      <c r="E7" s="14">
        <v>0.68402777777777801</v>
      </c>
      <c r="F7" s="14">
        <v>0.77847222222222201</v>
      </c>
      <c r="G7" s="15">
        <f t="shared" si="0"/>
        <v>9.4444444444443998E-2</v>
      </c>
      <c r="H7" s="22" t="s">
        <v>88</v>
      </c>
      <c r="I7" t="s">
        <v>73</v>
      </c>
      <c r="J7">
        <v>172367</v>
      </c>
      <c r="L7">
        <v>3</v>
      </c>
      <c r="M7" t="s">
        <v>87</v>
      </c>
    </row>
    <row r="8" spans="1:13" ht="31.5" customHeight="1" x14ac:dyDescent="0.2">
      <c r="A8" t="s">
        <v>40</v>
      </c>
      <c r="B8" t="s">
        <v>70</v>
      </c>
      <c r="C8" s="12" t="s">
        <v>11</v>
      </c>
      <c r="D8" s="13">
        <v>46089</v>
      </c>
      <c r="E8" s="14">
        <v>0.47083333333333299</v>
      </c>
      <c r="F8" s="14">
        <v>0.58333333333333304</v>
      </c>
      <c r="G8" s="15">
        <f t="shared" si="0"/>
        <v>0.11250000000000004</v>
      </c>
      <c r="H8" s="22" t="s">
        <v>89</v>
      </c>
      <c r="I8" t="s">
        <v>78</v>
      </c>
      <c r="J8">
        <v>172769</v>
      </c>
      <c r="L8">
        <v>12</v>
      </c>
      <c r="M8" t="s">
        <v>90</v>
      </c>
    </row>
    <row r="9" spans="1:13" ht="34.5" customHeight="1" x14ac:dyDescent="0.2">
      <c r="A9" t="s">
        <v>40</v>
      </c>
      <c r="B9" t="s">
        <v>70</v>
      </c>
      <c r="C9" s="12" t="s">
        <v>11</v>
      </c>
      <c r="D9" s="13">
        <v>46089</v>
      </c>
      <c r="E9" s="14">
        <v>0.625</v>
      </c>
      <c r="F9" s="14">
        <v>0.780555555555556</v>
      </c>
      <c r="G9" s="15">
        <f t="shared" si="0"/>
        <v>0.155555555555556</v>
      </c>
      <c r="H9" s="22" t="s">
        <v>91</v>
      </c>
      <c r="I9" t="s">
        <v>78</v>
      </c>
      <c r="J9">
        <v>172769</v>
      </c>
      <c r="L9">
        <v>12</v>
      </c>
      <c r="M9" t="s">
        <v>90</v>
      </c>
    </row>
    <row r="10" spans="1:13" x14ac:dyDescent="0.2">
      <c r="A10" t="s">
        <v>40</v>
      </c>
      <c r="B10" t="s">
        <v>70</v>
      </c>
      <c r="C10" s="12" t="s">
        <v>11</v>
      </c>
      <c r="D10" s="13">
        <v>46089</v>
      </c>
      <c r="E10" s="14">
        <v>0.99652777777777801</v>
      </c>
      <c r="F10" s="14">
        <v>0.999305555555556</v>
      </c>
      <c r="G10" s="15">
        <f t="shared" si="0"/>
        <v>2.77777777777799E-3</v>
      </c>
      <c r="H10" s="21" t="s">
        <v>92</v>
      </c>
      <c r="I10" t="s">
        <v>73</v>
      </c>
      <c r="J10">
        <v>172769</v>
      </c>
      <c r="L10">
        <v>1</v>
      </c>
      <c r="M10" t="s">
        <v>90</v>
      </c>
    </row>
    <row r="11" spans="1:13" x14ac:dyDescent="0.2">
      <c r="A11" t="s">
        <v>40</v>
      </c>
      <c r="B11" t="s">
        <v>70</v>
      </c>
      <c r="C11" s="12" t="s">
        <v>71</v>
      </c>
      <c r="D11" s="13">
        <v>46090</v>
      </c>
      <c r="E11" s="14">
        <v>0</v>
      </c>
      <c r="F11" s="14">
        <v>3.4027777777777803E-2</v>
      </c>
      <c r="G11" s="15">
        <f t="shared" si="0"/>
        <v>3.4027777777777803E-2</v>
      </c>
      <c r="H11" s="21" t="s">
        <v>93</v>
      </c>
      <c r="I11" t="s">
        <v>73</v>
      </c>
      <c r="J11">
        <v>172862</v>
      </c>
      <c r="L11">
        <v>2</v>
      </c>
      <c r="M11" t="s">
        <v>94</v>
      </c>
    </row>
    <row r="12" spans="1:13" x14ac:dyDescent="0.2">
      <c r="A12" t="s">
        <v>40</v>
      </c>
      <c r="B12" t="s">
        <v>95</v>
      </c>
      <c r="C12" s="12" t="s">
        <v>81</v>
      </c>
      <c r="D12" s="13">
        <v>46092</v>
      </c>
      <c r="E12" s="14">
        <v>0.29166666666666702</v>
      </c>
      <c r="F12" s="14">
        <v>0.33333333333333298</v>
      </c>
      <c r="G12" s="15">
        <f t="shared" si="0"/>
        <v>4.1666666666665964E-2</v>
      </c>
      <c r="H12" s="21" t="s">
        <v>96</v>
      </c>
      <c r="I12" t="s">
        <v>78</v>
      </c>
      <c r="J12">
        <v>172478</v>
      </c>
      <c r="L12">
        <v>2</v>
      </c>
      <c r="M12" t="s">
        <v>97</v>
      </c>
    </row>
    <row r="13" spans="1:13" ht="30" customHeight="1" x14ac:dyDescent="0.2">
      <c r="A13" t="s">
        <v>40</v>
      </c>
      <c r="B13" t="s">
        <v>95</v>
      </c>
      <c r="C13" s="12" t="s">
        <v>81</v>
      </c>
      <c r="D13" s="13">
        <v>46092</v>
      </c>
      <c r="E13" s="14">
        <v>0.72916666666666696</v>
      </c>
      <c r="F13" s="14">
        <v>0.80069444444444504</v>
      </c>
      <c r="G13" s="15">
        <f t="shared" si="0"/>
        <v>7.1527777777778079E-2</v>
      </c>
      <c r="H13" s="22" t="s">
        <v>98</v>
      </c>
      <c r="I13" t="s">
        <v>78</v>
      </c>
      <c r="J13">
        <v>172478</v>
      </c>
      <c r="L13">
        <v>3</v>
      </c>
      <c r="M13" t="s">
        <v>97</v>
      </c>
    </row>
    <row r="14" spans="1:13" ht="25.5" x14ac:dyDescent="0.2">
      <c r="A14" t="s">
        <v>40</v>
      </c>
      <c r="B14" t="s">
        <v>99</v>
      </c>
      <c r="C14" s="12" t="s">
        <v>100</v>
      </c>
      <c r="D14" s="13">
        <v>46094</v>
      </c>
      <c r="E14" s="14">
        <v>0.25347222222222199</v>
      </c>
      <c r="F14" s="14">
        <v>0.33333333333333298</v>
      </c>
      <c r="G14" s="15">
        <f t="shared" si="0"/>
        <v>7.9861111111110994E-2</v>
      </c>
      <c r="H14" s="22" t="s">
        <v>101</v>
      </c>
      <c r="I14" t="s">
        <v>78</v>
      </c>
      <c r="J14">
        <v>172720</v>
      </c>
      <c r="L14">
        <v>2</v>
      </c>
      <c r="M14" t="s">
        <v>102</v>
      </c>
    </row>
    <row r="15" spans="1:13" x14ac:dyDescent="0.2">
      <c r="A15" t="s">
        <v>40</v>
      </c>
      <c r="B15" t="s">
        <v>103</v>
      </c>
      <c r="C15" s="12" t="s">
        <v>71</v>
      </c>
      <c r="D15" s="13">
        <v>46097</v>
      </c>
      <c r="E15" s="14">
        <v>0.71180555555555602</v>
      </c>
      <c r="F15" s="14">
        <v>0.77708333333333302</v>
      </c>
      <c r="G15" s="15">
        <f t="shared" si="0"/>
        <v>6.5277777777776991E-2</v>
      </c>
      <c r="H15" s="21" t="s">
        <v>104</v>
      </c>
      <c r="I15" t="s">
        <v>73</v>
      </c>
      <c r="J15">
        <v>172774</v>
      </c>
      <c r="L15">
        <v>1</v>
      </c>
      <c r="M15" t="s">
        <v>105</v>
      </c>
    </row>
    <row r="16" spans="1:13" x14ac:dyDescent="0.2">
      <c r="A16" t="s">
        <v>40</v>
      </c>
      <c r="B16" t="s">
        <v>103</v>
      </c>
      <c r="C16" s="12" t="s">
        <v>81</v>
      </c>
      <c r="D16" s="13">
        <v>46099</v>
      </c>
      <c r="E16" s="14">
        <v>0.70833333333333304</v>
      </c>
      <c r="F16" s="14">
        <v>0.85486111111111096</v>
      </c>
      <c r="G16" s="15">
        <f t="shared" si="0"/>
        <v>0.14652777777777792</v>
      </c>
      <c r="H16" s="21" t="s">
        <v>106</v>
      </c>
      <c r="I16" t="s">
        <v>73</v>
      </c>
      <c r="J16">
        <v>172973</v>
      </c>
      <c r="L16">
        <v>3</v>
      </c>
      <c r="M16" t="s">
        <v>107</v>
      </c>
    </row>
    <row r="17" spans="1:13" x14ac:dyDescent="0.2">
      <c r="A17" t="s">
        <v>40</v>
      </c>
      <c r="B17" t="s">
        <v>103</v>
      </c>
      <c r="C17" s="12" t="s">
        <v>108</v>
      </c>
      <c r="D17" s="13">
        <v>46100</v>
      </c>
      <c r="E17" s="14">
        <v>0.750694444444444</v>
      </c>
      <c r="F17" s="14">
        <v>0.88194444444444398</v>
      </c>
      <c r="G17" s="15">
        <f t="shared" si="0"/>
        <v>0.13124999999999998</v>
      </c>
      <c r="H17" s="21" t="s">
        <v>109</v>
      </c>
      <c r="I17" t="s">
        <v>110</v>
      </c>
      <c r="J17">
        <v>173013</v>
      </c>
      <c r="L17">
        <v>2</v>
      </c>
      <c r="M17" t="s">
        <v>111</v>
      </c>
    </row>
    <row r="18" spans="1:13" ht="63.75" x14ac:dyDescent="0.2">
      <c r="A18" t="s">
        <v>40</v>
      </c>
      <c r="B18" t="s">
        <v>112</v>
      </c>
      <c r="C18" s="12" t="s">
        <v>100</v>
      </c>
      <c r="D18" s="13">
        <v>46101</v>
      </c>
      <c r="E18" s="14">
        <v>0.70833333333333304</v>
      </c>
      <c r="F18" s="14">
        <v>0.98958333333333304</v>
      </c>
      <c r="G18" s="15">
        <f t="shared" si="0"/>
        <v>0.28125</v>
      </c>
      <c r="H18" s="22" t="s">
        <v>113</v>
      </c>
      <c r="I18" t="s">
        <v>114</v>
      </c>
      <c r="J18">
        <v>173131</v>
      </c>
      <c r="L18">
        <v>7</v>
      </c>
      <c r="M18" t="s">
        <v>115</v>
      </c>
    </row>
    <row r="19" spans="1:13" ht="25.5" x14ac:dyDescent="0.2">
      <c r="A19" t="s">
        <v>40</v>
      </c>
      <c r="B19" t="s">
        <v>116</v>
      </c>
      <c r="C19" s="12" t="s">
        <v>8</v>
      </c>
      <c r="D19" s="13">
        <v>46102</v>
      </c>
      <c r="E19" s="14">
        <v>0.27430555555555602</v>
      </c>
      <c r="F19" s="14">
        <v>0.625</v>
      </c>
      <c r="G19" s="15">
        <f t="shared" si="0"/>
        <v>0.35069444444444398</v>
      </c>
      <c r="H19" s="22" t="s">
        <v>117</v>
      </c>
      <c r="I19" t="s">
        <v>118</v>
      </c>
      <c r="J19">
        <v>173245</v>
      </c>
      <c r="L19">
        <v>5</v>
      </c>
      <c r="M19" t="s">
        <v>119</v>
      </c>
    </row>
    <row r="20" spans="1:13" x14ac:dyDescent="0.2">
      <c r="A20" t="s">
        <v>40</v>
      </c>
      <c r="B20" t="s">
        <v>116</v>
      </c>
      <c r="C20" s="12" t="s">
        <v>8</v>
      </c>
      <c r="D20" s="13">
        <v>46102</v>
      </c>
      <c r="E20" s="14">
        <v>0.66666666666666696</v>
      </c>
      <c r="F20" s="14">
        <v>0.69791666666666696</v>
      </c>
      <c r="G20" s="15">
        <f t="shared" si="0"/>
        <v>3.125E-2</v>
      </c>
      <c r="H20" s="22" t="s">
        <v>120</v>
      </c>
      <c r="I20" t="s">
        <v>118</v>
      </c>
      <c r="J20">
        <v>173245</v>
      </c>
      <c r="L20">
        <v>5</v>
      </c>
      <c r="M20" t="s">
        <v>119</v>
      </c>
    </row>
    <row r="21" spans="1:13" ht="25.5" x14ac:dyDescent="0.2">
      <c r="A21" t="s">
        <v>40</v>
      </c>
      <c r="B21" t="s">
        <v>103</v>
      </c>
      <c r="C21" s="12" t="s">
        <v>8</v>
      </c>
      <c r="D21" s="13">
        <v>46102</v>
      </c>
      <c r="E21" s="14">
        <v>0.33333333333333298</v>
      </c>
      <c r="F21" s="14">
        <v>0.54166666666666696</v>
      </c>
      <c r="G21" s="15">
        <f t="shared" si="0"/>
        <v>0.20833333333333398</v>
      </c>
      <c r="H21" s="22" t="s">
        <v>121</v>
      </c>
      <c r="I21" t="s">
        <v>78</v>
      </c>
      <c r="J21">
        <v>173244</v>
      </c>
      <c r="L21">
        <v>8</v>
      </c>
      <c r="M21" t="s">
        <v>122</v>
      </c>
    </row>
    <row r="22" spans="1:13" ht="25.5" x14ac:dyDescent="0.2">
      <c r="A22" t="s">
        <v>40</v>
      </c>
      <c r="B22" t="s">
        <v>103</v>
      </c>
      <c r="C22" s="12" t="s">
        <v>8</v>
      </c>
      <c r="D22" s="13">
        <v>46102</v>
      </c>
      <c r="E22" s="14">
        <v>0.58333333333333304</v>
      </c>
      <c r="F22" s="14">
        <v>0.718055555555556</v>
      </c>
      <c r="G22" s="15">
        <f t="shared" si="0"/>
        <v>0.13472222222222296</v>
      </c>
      <c r="H22" s="22" t="s">
        <v>123</v>
      </c>
      <c r="I22" t="s">
        <v>78</v>
      </c>
      <c r="J22">
        <v>173244</v>
      </c>
      <c r="L22">
        <v>8</v>
      </c>
      <c r="M22" t="s">
        <v>122</v>
      </c>
    </row>
    <row r="23" spans="1:13" ht="25.5" x14ac:dyDescent="0.2">
      <c r="A23" t="s">
        <v>40</v>
      </c>
      <c r="B23" t="s">
        <v>103</v>
      </c>
      <c r="C23" s="12" t="s">
        <v>8</v>
      </c>
      <c r="D23" s="13">
        <v>46102</v>
      </c>
      <c r="E23" s="14">
        <v>0.79444444444444395</v>
      </c>
      <c r="F23" s="14">
        <v>0.91111111111111098</v>
      </c>
      <c r="G23" s="15">
        <f t="shared" si="0"/>
        <v>0.11666666666666703</v>
      </c>
      <c r="H23" s="22" t="s">
        <v>124</v>
      </c>
      <c r="I23" t="s">
        <v>78</v>
      </c>
      <c r="J23">
        <v>173244</v>
      </c>
      <c r="L23">
        <v>2</v>
      </c>
      <c r="M23" t="s">
        <v>122</v>
      </c>
    </row>
    <row r="24" spans="1:13" ht="25.5" x14ac:dyDescent="0.2">
      <c r="A24" t="s">
        <v>40</v>
      </c>
      <c r="B24" t="s">
        <v>116</v>
      </c>
      <c r="C24" s="12" t="s">
        <v>11</v>
      </c>
      <c r="D24" s="13">
        <v>46103</v>
      </c>
      <c r="E24" s="14">
        <v>0.27777777777777801</v>
      </c>
      <c r="F24" s="14">
        <v>0.58055555555555605</v>
      </c>
      <c r="G24" s="15">
        <f t="shared" si="0"/>
        <v>0.30277777777777803</v>
      </c>
      <c r="H24" s="22" t="s">
        <v>125</v>
      </c>
      <c r="I24" t="s">
        <v>118</v>
      </c>
      <c r="J24">
        <v>173247</v>
      </c>
      <c r="L24">
        <v>5</v>
      </c>
      <c r="M24" t="s">
        <v>126</v>
      </c>
    </row>
    <row r="25" spans="1:13" ht="25.5" x14ac:dyDescent="0.2">
      <c r="A25" t="s">
        <v>40</v>
      </c>
      <c r="B25" t="s">
        <v>103</v>
      </c>
      <c r="C25" s="12" t="s">
        <v>11</v>
      </c>
      <c r="D25" s="13">
        <v>46103</v>
      </c>
      <c r="E25" s="14">
        <v>0.27083333333333298</v>
      </c>
      <c r="F25" s="14">
        <v>0.5625</v>
      </c>
      <c r="G25" s="15">
        <f t="shared" si="0"/>
        <v>0.29166666666666702</v>
      </c>
      <c r="H25" s="22" t="s">
        <v>125</v>
      </c>
      <c r="I25" t="s">
        <v>118</v>
      </c>
      <c r="J25">
        <v>173284</v>
      </c>
      <c r="L25">
        <v>6</v>
      </c>
      <c r="M25" t="s">
        <v>127</v>
      </c>
    </row>
    <row r="26" spans="1:13" x14ac:dyDescent="0.2">
      <c r="A26" t="s">
        <v>40</v>
      </c>
      <c r="B26" t="s">
        <v>103</v>
      </c>
      <c r="C26" s="12" t="s">
        <v>11</v>
      </c>
      <c r="D26" s="13">
        <v>46103</v>
      </c>
      <c r="E26" s="14">
        <v>0.60416666666666696</v>
      </c>
      <c r="F26" s="14">
        <v>0.68194444444444502</v>
      </c>
      <c r="G26" s="15">
        <f t="shared" si="0"/>
        <v>7.7777777777778057E-2</v>
      </c>
      <c r="H26" s="22" t="s">
        <v>128</v>
      </c>
      <c r="I26" t="s">
        <v>78</v>
      </c>
      <c r="J26">
        <v>173284</v>
      </c>
      <c r="L26">
        <v>6</v>
      </c>
      <c r="M26" t="s">
        <v>127</v>
      </c>
    </row>
    <row r="27" spans="1:13" ht="25.5" x14ac:dyDescent="0.2">
      <c r="A27" t="s">
        <v>43</v>
      </c>
      <c r="B27" t="s">
        <v>129</v>
      </c>
      <c r="C27" s="12" t="s">
        <v>76</v>
      </c>
      <c r="D27" s="13">
        <v>46091</v>
      </c>
      <c r="E27" s="14">
        <v>0.71666666666666701</v>
      </c>
      <c r="F27" s="14">
        <v>0.90138888888888902</v>
      </c>
      <c r="G27" s="15">
        <f t="shared" si="0"/>
        <v>0.18472222222222201</v>
      </c>
      <c r="H27" s="22" t="s">
        <v>130</v>
      </c>
      <c r="I27" t="s">
        <v>110</v>
      </c>
      <c r="J27">
        <v>172425</v>
      </c>
      <c r="L27">
        <v>5</v>
      </c>
      <c r="M27" t="s">
        <v>131</v>
      </c>
    </row>
    <row r="28" spans="1:13" x14ac:dyDescent="0.2">
      <c r="A28" t="s">
        <v>43</v>
      </c>
      <c r="B28" t="s">
        <v>129</v>
      </c>
      <c r="C28" s="12" t="s">
        <v>81</v>
      </c>
      <c r="D28" s="13">
        <v>46092</v>
      </c>
      <c r="E28" s="14">
        <v>0.70833333333333304</v>
      </c>
      <c r="F28" s="14">
        <v>0.79930555555555605</v>
      </c>
      <c r="G28" s="15">
        <f t="shared" si="0"/>
        <v>9.0972222222223009E-2</v>
      </c>
      <c r="H28" s="21" t="s">
        <v>132</v>
      </c>
      <c r="I28" t="s">
        <v>133</v>
      </c>
      <c r="J28">
        <v>172427</v>
      </c>
      <c r="L28">
        <v>1</v>
      </c>
      <c r="M28" t="s">
        <v>134</v>
      </c>
    </row>
    <row r="29" spans="1:13" x14ac:dyDescent="0.2">
      <c r="A29" t="s">
        <v>43</v>
      </c>
      <c r="B29" t="s">
        <v>129</v>
      </c>
      <c r="C29" s="12" t="s">
        <v>81</v>
      </c>
      <c r="D29" s="13">
        <v>46092</v>
      </c>
      <c r="E29" s="14">
        <v>0.98819444444444504</v>
      </c>
      <c r="F29" s="14">
        <v>0.999305555555556</v>
      </c>
      <c r="G29" s="15">
        <f t="shared" si="0"/>
        <v>1.1111111111110961E-2</v>
      </c>
      <c r="H29" s="21" t="s">
        <v>135</v>
      </c>
      <c r="I29" t="s">
        <v>78</v>
      </c>
      <c r="J29">
        <v>172427</v>
      </c>
      <c r="L29">
        <v>1</v>
      </c>
      <c r="M29" t="s">
        <v>134</v>
      </c>
    </row>
    <row r="30" spans="1:13" x14ac:dyDescent="0.2">
      <c r="A30" t="s">
        <v>43</v>
      </c>
      <c r="B30" t="s">
        <v>129</v>
      </c>
      <c r="C30" s="12" t="s">
        <v>108</v>
      </c>
      <c r="D30" s="13">
        <v>46093</v>
      </c>
      <c r="E30" s="14">
        <v>6.9444444444444501E-4</v>
      </c>
      <c r="F30" s="14">
        <v>2.9861111111111099E-2</v>
      </c>
      <c r="G30" s="15">
        <f t="shared" si="0"/>
        <v>2.9166666666666653E-2</v>
      </c>
      <c r="H30" s="21" t="s">
        <v>136</v>
      </c>
      <c r="I30" t="s">
        <v>78</v>
      </c>
      <c r="J30">
        <v>172582</v>
      </c>
      <c r="L30">
        <v>1</v>
      </c>
      <c r="M30" t="s">
        <v>137</v>
      </c>
    </row>
    <row r="31" spans="1:13" x14ac:dyDescent="0.2">
      <c r="A31" t="s">
        <v>43</v>
      </c>
      <c r="B31" t="s">
        <v>138</v>
      </c>
      <c r="C31" s="12" t="s">
        <v>8</v>
      </c>
      <c r="D31" s="13">
        <v>46095</v>
      </c>
      <c r="E31" s="14">
        <v>0.33333333333333298</v>
      </c>
      <c r="F31" s="14">
        <v>0.47986111111111102</v>
      </c>
      <c r="G31" s="15">
        <f t="shared" si="0"/>
        <v>0.14652777777777803</v>
      </c>
      <c r="H31" s="21" t="s">
        <v>139</v>
      </c>
      <c r="I31" t="s">
        <v>78</v>
      </c>
      <c r="J31">
        <v>172759</v>
      </c>
      <c r="L31">
        <v>3</v>
      </c>
      <c r="M31" t="s">
        <v>140</v>
      </c>
    </row>
    <row r="32" spans="1:13" ht="25.5" x14ac:dyDescent="0.2">
      <c r="A32" t="s">
        <v>43</v>
      </c>
      <c r="B32" t="s">
        <v>141</v>
      </c>
      <c r="C32" s="12" t="s">
        <v>11</v>
      </c>
      <c r="D32" s="13">
        <v>46096</v>
      </c>
      <c r="E32" s="14">
        <v>0.43541666666666701</v>
      </c>
      <c r="F32" s="14">
        <v>0.54236111111111096</v>
      </c>
      <c r="G32" s="15">
        <f t="shared" si="0"/>
        <v>0.10694444444444395</v>
      </c>
      <c r="H32" s="22" t="s">
        <v>142</v>
      </c>
      <c r="I32" t="s">
        <v>78</v>
      </c>
      <c r="J32">
        <v>172766</v>
      </c>
      <c r="L32">
        <v>4</v>
      </c>
      <c r="M32" t="s">
        <v>143</v>
      </c>
    </row>
    <row r="33" spans="1:13" ht="25.5" x14ac:dyDescent="0.2">
      <c r="A33" t="s">
        <v>43</v>
      </c>
      <c r="B33" t="s">
        <v>144</v>
      </c>
      <c r="C33" s="12" t="s">
        <v>108</v>
      </c>
      <c r="D33" s="13">
        <v>46100</v>
      </c>
      <c r="E33" s="14">
        <v>0.70833333333333304</v>
      </c>
      <c r="F33" s="14">
        <v>0.77083333333333304</v>
      </c>
      <c r="G33" s="15">
        <f t="shared" si="0"/>
        <v>6.25E-2</v>
      </c>
      <c r="H33" s="22" t="s">
        <v>145</v>
      </c>
      <c r="I33" t="s">
        <v>133</v>
      </c>
      <c r="J33">
        <v>172959</v>
      </c>
      <c r="L33">
        <v>2</v>
      </c>
      <c r="M33" t="s">
        <v>146</v>
      </c>
    </row>
    <row r="34" spans="1:13" ht="25.5" x14ac:dyDescent="0.2">
      <c r="A34" t="s">
        <v>43</v>
      </c>
      <c r="B34" t="s">
        <v>141</v>
      </c>
      <c r="C34" s="12" t="s">
        <v>108</v>
      </c>
      <c r="D34" s="13">
        <v>46100</v>
      </c>
      <c r="E34" s="14">
        <v>0.70833333333333304</v>
      </c>
      <c r="F34" s="14">
        <v>0.75</v>
      </c>
      <c r="G34" s="15">
        <f t="shared" si="0"/>
        <v>4.1666666666666963E-2</v>
      </c>
      <c r="H34" s="22" t="s">
        <v>147</v>
      </c>
      <c r="I34" t="s">
        <v>133</v>
      </c>
      <c r="J34">
        <v>172959</v>
      </c>
      <c r="L34">
        <v>2</v>
      </c>
      <c r="M34" t="s">
        <v>146</v>
      </c>
    </row>
    <row r="35" spans="1:13" x14ac:dyDescent="0.2">
      <c r="A35" t="s">
        <v>43</v>
      </c>
      <c r="B35" t="s">
        <v>148</v>
      </c>
      <c r="C35" s="12" t="s">
        <v>100</v>
      </c>
      <c r="D35" s="13">
        <v>46101</v>
      </c>
      <c r="E35" s="14">
        <v>0.70833333333333304</v>
      </c>
      <c r="F35" s="14">
        <v>0.88749999999999996</v>
      </c>
      <c r="G35" s="15">
        <f t="shared" si="0"/>
        <v>0.17916666666666692</v>
      </c>
      <c r="H35" s="22" t="s">
        <v>149</v>
      </c>
      <c r="I35" t="s">
        <v>133</v>
      </c>
      <c r="J35">
        <v>173125</v>
      </c>
      <c r="L35">
        <v>3</v>
      </c>
      <c r="M35" t="s">
        <v>150</v>
      </c>
    </row>
    <row r="36" spans="1:13" x14ac:dyDescent="0.2">
      <c r="A36" t="s">
        <v>47</v>
      </c>
      <c r="B36" t="s">
        <v>151</v>
      </c>
      <c r="C36" s="12" t="s">
        <v>8</v>
      </c>
      <c r="D36" s="13">
        <v>46088</v>
      </c>
      <c r="E36" s="14">
        <v>0.593055555555556</v>
      </c>
      <c r="F36" s="14">
        <v>0.67361111111111105</v>
      </c>
      <c r="G36" s="15">
        <f t="shared" si="0"/>
        <v>8.0555555555555047E-2</v>
      </c>
      <c r="H36" s="21" t="s">
        <v>152</v>
      </c>
      <c r="I36" t="s">
        <v>73</v>
      </c>
      <c r="J36">
        <v>172297</v>
      </c>
      <c r="L36">
        <v>4</v>
      </c>
      <c r="M36" t="s">
        <v>153</v>
      </c>
    </row>
    <row r="37" spans="1:13" x14ac:dyDescent="0.2">
      <c r="A37" t="s">
        <v>47</v>
      </c>
      <c r="B37" t="s">
        <v>151</v>
      </c>
      <c r="C37" s="12" t="s">
        <v>11</v>
      </c>
      <c r="D37" s="13">
        <v>46089</v>
      </c>
      <c r="E37" s="14">
        <v>0.42499999999999999</v>
      </c>
      <c r="F37" s="14">
        <v>0.54166666666666696</v>
      </c>
      <c r="G37" s="15">
        <f t="shared" si="0"/>
        <v>0.11666666666666697</v>
      </c>
      <c r="H37" s="22" t="s">
        <v>154</v>
      </c>
      <c r="I37" t="s">
        <v>78</v>
      </c>
      <c r="J37">
        <v>172299</v>
      </c>
      <c r="L37">
        <v>6</v>
      </c>
      <c r="M37" t="s">
        <v>155</v>
      </c>
    </row>
    <row r="38" spans="1:13" ht="25.5" x14ac:dyDescent="0.2">
      <c r="A38" t="s">
        <v>47</v>
      </c>
      <c r="B38" t="s">
        <v>156</v>
      </c>
      <c r="C38" s="12" t="s">
        <v>76</v>
      </c>
      <c r="D38" s="13">
        <v>46091</v>
      </c>
      <c r="E38" s="14">
        <v>0.70833333333333304</v>
      </c>
      <c r="F38" s="14">
        <v>0.80277777777777803</v>
      </c>
      <c r="G38" s="15">
        <f t="shared" si="0"/>
        <v>9.4444444444444997E-2</v>
      </c>
      <c r="H38" s="22" t="s">
        <v>157</v>
      </c>
      <c r="I38" t="s">
        <v>78</v>
      </c>
      <c r="J38">
        <v>172434</v>
      </c>
      <c r="L38">
        <v>2</v>
      </c>
      <c r="M38" t="s">
        <v>158</v>
      </c>
    </row>
    <row r="39" spans="1:13" ht="38.25" x14ac:dyDescent="0.2">
      <c r="A39" t="s">
        <v>47</v>
      </c>
      <c r="B39" t="s">
        <v>156</v>
      </c>
      <c r="C39" s="12" t="s">
        <v>81</v>
      </c>
      <c r="D39" s="13">
        <v>46092</v>
      </c>
      <c r="E39" s="14">
        <v>0.70833333333333304</v>
      </c>
      <c r="F39" s="14">
        <v>0.85833333333333295</v>
      </c>
      <c r="G39" s="15">
        <f t="shared" si="0"/>
        <v>0.14999999999999991</v>
      </c>
      <c r="H39" s="22" t="s">
        <v>159</v>
      </c>
      <c r="I39" t="s">
        <v>73</v>
      </c>
      <c r="J39">
        <v>172556</v>
      </c>
      <c r="L39">
        <v>2</v>
      </c>
      <c r="M39" t="s">
        <v>160</v>
      </c>
    </row>
    <row r="40" spans="1:13" x14ac:dyDescent="0.2">
      <c r="A40" t="s">
        <v>47</v>
      </c>
      <c r="B40" t="s">
        <v>161</v>
      </c>
      <c r="C40" s="12" t="s">
        <v>100</v>
      </c>
      <c r="D40" s="13">
        <v>46094</v>
      </c>
      <c r="E40" s="14">
        <v>0.70833333333333304</v>
      </c>
      <c r="F40" s="14">
        <v>0.79166666666666696</v>
      </c>
      <c r="G40" s="15">
        <f t="shared" si="0"/>
        <v>8.3333333333333925E-2</v>
      </c>
      <c r="H40" s="21" t="s">
        <v>162</v>
      </c>
      <c r="I40" t="s">
        <v>73</v>
      </c>
      <c r="J40">
        <v>172665</v>
      </c>
      <c r="L40">
        <v>3</v>
      </c>
      <c r="M40" t="s">
        <v>163</v>
      </c>
    </row>
    <row r="41" spans="1:13" x14ac:dyDescent="0.2">
      <c r="A41" t="s">
        <v>47</v>
      </c>
      <c r="B41" t="s">
        <v>161</v>
      </c>
      <c r="C41" s="12" t="s">
        <v>71</v>
      </c>
      <c r="D41" s="13">
        <v>46097</v>
      </c>
      <c r="E41" s="14">
        <v>0.70833333333333304</v>
      </c>
      <c r="F41" s="14">
        <v>0.75833333333333297</v>
      </c>
      <c r="G41" s="15">
        <f t="shared" si="0"/>
        <v>4.9999999999999933E-2</v>
      </c>
      <c r="H41" s="21" t="s">
        <v>164</v>
      </c>
      <c r="I41" t="s">
        <v>78</v>
      </c>
      <c r="J41">
        <v>172803</v>
      </c>
      <c r="L41">
        <v>2</v>
      </c>
      <c r="M41" t="s">
        <v>165</v>
      </c>
    </row>
    <row r="42" spans="1:13" ht="25.5" x14ac:dyDescent="0.2">
      <c r="A42" t="s">
        <v>47</v>
      </c>
      <c r="B42" t="s">
        <v>161</v>
      </c>
      <c r="C42" s="12" t="s">
        <v>100</v>
      </c>
      <c r="D42" s="13">
        <v>46101</v>
      </c>
      <c r="E42" s="14">
        <v>0.70833333333333304</v>
      </c>
      <c r="F42" s="14">
        <v>0.79166666666666696</v>
      </c>
      <c r="G42" s="15">
        <f t="shared" si="0"/>
        <v>8.3333333333333925E-2</v>
      </c>
      <c r="H42" s="22" t="s">
        <v>166</v>
      </c>
      <c r="I42" t="s">
        <v>167</v>
      </c>
      <c r="J42">
        <v>173113</v>
      </c>
      <c r="L42">
        <v>4</v>
      </c>
      <c r="M42" t="s">
        <v>168</v>
      </c>
    </row>
    <row r="43" spans="1:13" ht="25.5" x14ac:dyDescent="0.2">
      <c r="A43" t="s">
        <v>47</v>
      </c>
      <c r="B43" t="s">
        <v>156</v>
      </c>
      <c r="C43" s="12" t="s">
        <v>8</v>
      </c>
      <c r="D43" s="13">
        <v>46102</v>
      </c>
      <c r="E43" s="14">
        <v>0.27083333333333298</v>
      </c>
      <c r="F43" s="14">
        <v>0.54166666666666696</v>
      </c>
      <c r="G43" s="15">
        <f t="shared" si="0"/>
        <v>0.27083333333333398</v>
      </c>
      <c r="H43" s="22" t="s">
        <v>169</v>
      </c>
      <c r="I43" t="s">
        <v>118</v>
      </c>
      <c r="J43">
        <v>173299</v>
      </c>
      <c r="L43">
        <v>4</v>
      </c>
      <c r="M43" t="s">
        <v>170</v>
      </c>
    </row>
    <row r="44" spans="1:13" x14ac:dyDescent="0.2">
      <c r="A44" t="s">
        <v>47</v>
      </c>
      <c r="B44" t="s">
        <v>156</v>
      </c>
      <c r="C44" s="12" t="s">
        <v>8</v>
      </c>
      <c r="D44" s="13">
        <v>46102</v>
      </c>
      <c r="E44" s="14">
        <v>0.58333333333333304</v>
      </c>
      <c r="F44" s="14">
        <v>0.70833333333333304</v>
      </c>
      <c r="G44" s="15">
        <f t="shared" si="0"/>
        <v>0.125</v>
      </c>
      <c r="H44" s="22" t="s">
        <v>171</v>
      </c>
      <c r="I44" t="s">
        <v>118</v>
      </c>
      <c r="J44">
        <v>173299</v>
      </c>
      <c r="L44">
        <v>4</v>
      </c>
      <c r="M44" t="s">
        <v>170</v>
      </c>
    </row>
    <row r="45" spans="1:13" ht="25.5" x14ac:dyDescent="0.2">
      <c r="A45" t="s">
        <v>47</v>
      </c>
      <c r="B45" t="s">
        <v>156</v>
      </c>
      <c r="C45" s="12" t="s">
        <v>11</v>
      </c>
      <c r="D45" s="13">
        <v>46103</v>
      </c>
      <c r="E45" s="14">
        <v>0.27083333333333298</v>
      </c>
      <c r="F45" s="14">
        <v>0.58333333333333304</v>
      </c>
      <c r="G45" s="15">
        <f t="shared" si="0"/>
        <v>0.31250000000000006</v>
      </c>
      <c r="H45" s="22" t="s">
        <v>169</v>
      </c>
      <c r="I45" t="s">
        <v>118</v>
      </c>
      <c r="J45">
        <v>173351</v>
      </c>
      <c r="L45">
        <v>4</v>
      </c>
      <c r="M45" t="s">
        <v>172</v>
      </c>
    </row>
    <row r="46" spans="1:13" x14ac:dyDescent="0.2">
      <c r="A46" t="s">
        <v>47</v>
      </c>
      <c r="B46" t="s">
        <v>156</v>
      </c>
      <c r="C46" s="12" t="s">
        <v>11</v>
      </c>
      <c r="D46" s="13">
        <v>46103</v>
      </c>
      <c r="E46" s="14">
        <v>0.625</v>
      </c>
      <c r="F46" s="14">
        <v>0.73611111111111105</v>
      </c>
      <c r="G46" s="15">
        <f t="shared" si="0"/>
        <v>0.11111111111111105</v>
      </c>
      <c r="H46" s="22" t="s">
        <v>171</v>
      </c>
      <c r="I46" t="s">
        <v>118</v>
      </c>
      <c r="J46">
        <v>173351</v>
      </c>
      <c r="L46">
        <v>4</v>
      </c>
      <c r="M46" t="s">
        <v>172</v>
      </c>
    </row>
    <row r="47" spans="1:13" x14ac:dyDescent="0.2">
      <c r="A47" t="s">
        <v>47</v>
      </c>
      <c r="B47" t="s">
        <v>173</v>
      </c>
      <c r="C47" s="12" t="s">
        <v>11</v>
      </c>
      <c r="D47" s="13">
        <v>46103</v>
      </c>
      <c r="E47" s="14">
        <v>0.77777777777777801</v>
      </c>
      <c r="F47" s="14">
        <v>0.90625</v>
      </c>
      <c r="G47" s="15">
        <f t="shared" si="0"/>
        <v>0.12847222222222199</v>
      </c>
      <c r="H47" s="22" t="s">
        <v>174</v>
      </c>
      <c r="I47" t="s">
        <v>78</v>
      </c>
      <c r="J47">
        <v>173346</v>
      </c>
      <c r="L47">
        <v>4</v>
      </c>
      <c r="M47" t="s">
        <v>175</v>
      </c>
    </row>
    <row r="48" spans="1:13" x14ac:dyDescent="0.2">
      <c r="A48" t="s">
        <v>48</v>
      </c>
      <c r="B48" t="s">
        <v>176</v>
      </c>
      <c r="C48" s="12" t="s">
        <v>11</v>
      </c>
      <c r="D48" s="13">
        <v>46082</v>
      </c>
      <c r="E48" s="14">
        <v>0.64722222222222203</v>
      </c>
      <c r="F48" s="14">
        <v>0.66944444444444395</v>
      </c>
      <c r="G48" s="15">
        <f t="shared" si="0"/>
        <v>2.2222222222221921E-2</v>
      </c>
      <c r="H48" s="21" t="s">
        <v>177</v>
      </c>
      <c r="I48" t="s">
        <v>73</v>
      </c>
      <c r="J48">
        <v>171790</v>
      </c>
      <c r="L48">
        <v>2</v>
      </c>
      <c r="M48" t="s">
        <v>178</v>
      </c>
    </row>
    <row r="49" spans="1:13" x14ac:dyDescent="0.2">
      <c r="A49" t="s">
        <v>48</v>
      </c>
      <c r="B49" t="s">
        <v>176</v>
      </c>
      <c r="C49" s="12" t="s">
        <v>11</v>
      </c>
      <c r="D49" s="13">
        <v>46082</v>
      </c>
      <c r="E49" s="14">
        <v>0.79930555555555605</v>
      </c>
      <c r="F49" s="14">
        <v>0.86458333333333304</v>
      </c>
      <c r="G49" s="15">
        <f t="shared" si="0"/>
        <v>6.5277777777776991E-2</v>
      </c>
      <c r="H49" s="21" t="s">
        <v>179</v>
      </c>
      <c r="I49" t="s">
        <v>78</v>
      </c>
      <c r="J49">
        <v>171790</v>
      </c>
      <c r="L49">
        <v>3</v>
      </c>
      <c r="M49" t="s">
        <v>178</v>
      </c>
    </row>
    <row r="50" spans="1:13" x14ac:dyDescent="0.2">
      <c r="A50" t="s">
        <v>48</v>
      </c>
      <c r="B50" t="s">
        <v>180</v>
      </c>
      <c r="C50" s="12" t="s">
        <v>71</v>
      </c>
      <c r="D50" s="13">
        <v>46090</v>
      </c>
      <c r="E50" s="14">
        <v>0.78125</v>
      </c>
      <c r="F50" s="14">
        <v>0.80277777777777803</v>
      </c>
      <c r="G50" s="15">
        <f t="shared" si="0"/>
        <v>2.1527777777778034E-2</v>
      </c>
      <c r="H50" s="21" t="s">
        <v>181</v>
      </c>
      <c r="I50" t="s">
        <v>78</v>
      </c>
      <c r="J50">
        <v>172573</v>
      </c>
      <c r="L50">
        <v>3</v>
      </c>
      <c r="M50" t="s">
        <v>182</v>
      </c>
    </row>
    <row r="51" spans="1:13" x14ac:dyDescent="0.2">
      <c r="A51" t="s">
        <v>48</v>
      </c>
      <c r="B51" t="s">
        <v>180</v>
      </c>
      <c r="C51" s="12" t="s">
        <v>71</v>
      </c>
      <c r="D51" s="13">
        <v>46090</v>
      </c>
      <c r="E51" s="14">
        <v>0.86111111111111105</v>
      </c>
      <c r="F51" s="14">
        <v>0.90625</v>
      </c>
      <c r="G51" s="15">
        <f t="shared" si="0"/>
        <v>4.5138888888888951E-2</v>
      </c>
      <c r="H51" s="21" t="s">
        <v>183</v>
      </c>
      <c r="I51" t="s">
        <v>73</v>
      </c>
      <c r="J51">
        <v>172573</v>
      </c>
      <c r="L51">
        <v>3</v>
      </c>
      <c r="M51" t="s">
        <v>182</v>
      </c>
    </row>
    <row r="52" spans="1:13" x14ac:dyDescent="0.2">
      <c r="A52" t="s">
        <v>48</v>
      </c>
      <c r="B52" t="s">
        <v>180</v>
      </c>
      <c r="C52" s="12" t="s">
        <v>108</v>
      </c>
      <c r="D52" s="13">
        <v>46093</v>
      </c>
      <c r="E52" s="14">
        <v>0.89513888888888904</v>
      </c>
      <c r="F52" s="14">
        <v>0.92916666666666703</v>
      </c>
      <c r="G52" s="15">
        <f t="shared" si="0"/>
        <v>3.402777777777799E-2</v>
      </c>
      <c r="H52" s="21" t="s">
        <v>184</v>
      </c>
      <c r="I52" t="s">
        <v>78</v>
      </c>
      <c r="J52">
        <v>172695</v>
      </c>
      <c r="L52">
        <v>3</v>
      </c>
      <c r="M52" t="s">
        <v>185</v>
      </c>
    </row>
    <row r="53" spans="1:13" x14ac:dyDescent="0.2">
      <c r="A53" t="s">
        <v>48</v>
      </c>
      <c r="B53" t="s">
        <v>180</v>
      </c>
      <c r="C53" s="12" t="s">
        <v>100</v>
      </c>
      <c r="D53" s="13">
        <v>46094</v>
      </c>
      <c r="E53" s="14">
        <v>0.82361111111111096</v>
      </c>
      <c r="F53" s="14">
        <v>0.87291666666666701</v>
      </c>
      <c r="G53" s="15">
        <f t="shared" si="0"/>
        <v>4.9305555555556047E-2</v>
      </c>
      <c r="H53" s="21" t="s">
        <v>186</v>
      </c>
      <c r="I53" t="s">
        <v>73</v>
      </c>
      <c r="J53">
        <v>172697</v>
      </c>
      <c r="L53">
        <v>1</v>
      </c>
      <c r="M53" t="s">
        <v>187</v>
      </c>
    </row>
    <row r="54" spans="1:13" x14ac:dyDescent="0.2">
      <c r="A54" t="s">
        <v>48</v>
      </c>
      <c r="B54" t="s">
        <v>180</v>
      </c>
      <c r="C54" s="12" t="s">
        <v>100</v>
      </c>
      <c r="D54" s="13">
        <v>46094</v>
      </c>
      <c r="E54" s="14">
        <v>0.938194444444444</v>
      </c>
      <c r="F54" s="14">
        <v>0.999305555555556</v>
      </c>
      <c r="G54" s="15">
        <f t="shared" si="0"/>
        <v>6.1111111111112004E-2</v>
      </c>
      <c r="H54" s="21" t="s">
        <v>188</v>
      </c>
      <c r="I54" t="s">
        <v>78</v>
      </c>
      <c r="J54">
        <v>172697</v>
      </c>
      <c r="L54">
        <v>1</v>
      </c>
      <c r="M54" t="s">
        <v>187</v>
      </c>
    </row>
    <row r="55" spans="1:13" ht="25.5" x14ac:dyDescent="0.2">
      <c r="A55" t="s">
        <v>48</v>
      </c>
      <c r="B55" t="s">
        <v>180</v>
      </c>
      <c r="C55" s="12" t="s">
        <v>8</v>
      </c>
      <c r="D55" s="13">
        <v>46095</v>
      </c>
      <c r="E55" s="14">
        <v>0</v>
      </c>
      <c r="F55" s="14">
        <v>6.5972222222222196E-2</v>
      </c>
      <c r="G55" s="15">
        <f t="shared" si="0"/>
        <v>6.5972222222222196E-2</v>
      </c>
      <c r="H55" s="22" t="s">
        <v>189</v>
      </c>
      <c r="I55" t="s">
        <v>78</v>
      </c>
      <c r="J55">
        <v>172699</v>
      </c>
      <c r="L55">
        <v>2</v>
      </c>
      <c r="M55" t="s">
        <v>190</v>
      </c>
    </row>
    <row r="56" spans="1:13" ht="25.5" x14ac:dyDescent="0.2">
      <c r="A56" t="s">
        <v>48</v>
      </c>
      <c r="B56" t="s">
        <v>180</v>
      </c>
      <c r="C56" s="12" t="s">
        <v>8</v>
      </c>
      <c r="D56" s="13">
        <v>46095</v>
      </c>
      <c r="E56" s="14">
        <v>0.374305555555556</v>
      </c>
      <c r="F56" s="14">
        <v>0.54166666666666696</v>
      </c>
      <c r="G56" s="15">
        <f t="shared" si="0"/>
        <v>0.16736111111111096</v>
      </c>
      <c r="H56" s="22" t="s">
        <v>191</v>
      </c>
      <c r="I56" t="s">
        <v>78</v>
      </c>
      <c r="J56">
        <v>172699</v>
      </c>
      <c r="L56">
        <v>9</v>
      </c>
      <c r="M56" t="s">
        <v>190</v>
      </c>
    </row>
    <row r="57" spans="1:13" ht="38.25" customHeight="1" x14ac:dyDescent="0.2">
      <c r="A57" t="s">
        <v>48</v>
      </c>
      <c r="B57" t="s">
        <v>180</v>
      </c>
      <c r="C57" s="12" t="s">
        <v>8</v>
      </c>
      <c r="D57" s="13">
        <v>46095</v>
      </c>
      <c r="E57" s="14">
        <v>0.58333333333333304</v>
      </c>
      <c r="F57" s="14">
        <v>0.69930555555555596</v>
      </c>
      <c r="G57" s="15">
        <f t="shared" si="0"/>
        <v>0.11597222222222292</v>
      </c>
      <c r="H57" s="22" t="s">
        <v>192</v>
      </c>
      <c r="I57" t="s">
        <v>78</v>
      </c>
      <c r="J57">
        <v>172699</v>
      </c>
      <c r="L57">
        <v>9</v>
      </c>
      <c r="M57" t="s">
        <v>190</v>
      </c>
    </row>
    <row r="58" spans="1:13" ht="25.5" x14ac:dyDescent="0.2">
      <c r="A58" t="s">
        <v>48</v>
      </c>
      <c r="B58" t="s">
        <v>180</v>
      </c>
      <c r="C58" s="12" t="s">
        <v>11</v>
      </c>
      <c r="D58" s="13">
        <v>46096</v>
      </c>
      <c r="E58" s="14">
        <v>0.33333333333333298</v>
      </c>
      <c r="F58" s="14">
        <v>0.49305555555555602</v>
      </c>
      <c r="G58" s="15">
        <f t="shared" si="0"/>
        <v>0.15972222222222304</v>
      </c>
      <c r="H58" s="22" t="s">
        <v>193</v>
      </c>
      <c r="I58" t="s">
        <v>78</v>
      </c>
      <c r="J58">
        <v>172758</v>
      </c>
      <c r="L58">
        <v>5</v>
      </c>
      <c r="M58" t="s">
        <v>194</v>
      </c>
    </row>
    <row r="59" spans="1:13" x14ac:dyDescent="0.2">
      <c r="A59" t="s">
        <v>48</v>
      </c>
      <c r="B59" t="s">
        <v>180</v>
      </c>
      <c r="C59" s="12" t="s">
        <v>11</v>
      </c>
      <c r="D59" s="13">
        <v>46096</v>
      </c>
      <c r="E59" s="14">
        <v>0.60694444444444395</v>
      </c>
      <c r="F59" s="14">
        <v>0.62847222222222199</v>
      </c>
      <c r="G59" s="15">
        <f t="shared" si="0"/>
        <v>2.1527777777778034E-2</v>
      </c>
      <c r="H59" s="21" t="s">
        <v>195</v>
      </c>
      <c r="I59" t="s">
        <v>73</v>
      </c>
      <c r="J59">
        <v>172758</v>
      </c>
      <c r="L59">
        <v>3</v>
      </c>
      <c r="M59" t="s">
        <v>194</v>
      </c>
    </row>
    <row r="60" spans="1:13" x14ac:dyDescent="0.2">
      <c r="A60" t="s">
        <v>48</v>
      </c>
      <c r="B60" t="s">
        <v>196</v>
      </c>
      <c r="C60" s="12" t="s">
        <v>71</v>
      </c>
      <c r="D60" s="13">
        <v>46097</v>
      </c>
      <c r="E60" s="14">
        <v>0.75763888888888897</v>
      </c>
      <c r="F60" s="14">
        <v>0.83333333333333304</v>
      </c>
      <c r="G60" s="15">
        <f t="shared" si="0"/>
        <v>7.5694444444444065E-2</v>
      </c>
      <c r="H60" s="21" t="s">
        <v>197</v>
      </c>
      <c r="I60" t="s">
        <v>78</v>
      </c>
      <c r="J60">
        <v>172782</v>
      </c>
      <c r="L60">
        <v>3</v>
      </c>
      <c r="M60" t="s">
        <v>198</v>
      </c>
    </row>
    <row r="61" spans="1:13" ht="25.5" x14ac:dyDescent="0.2">
      <c r="A61" t="s">
        <v>48</v>
      </c>
      <c r="B61" t="s">
        <v>196</v>
      </c>
      <c r="C61" s="12" t="s">
        <v>76</v>
      </c>
      <c r="D61" s="13">
        <v>46098</v>
      </c>
      <c r="E61" s="14">
        <v>0.80277777777777803</v>
      </c>
      <c r="F61" s="14">
        <v>0.90625</v>
      </c>
      <c r="G61" s="15">
        <f t="shared" si="0"/>
        <v>0.10347222222222197</v>
      </c>
      <c r="H61" s="22" t="s">
        <v>199</v>
      </c>
      <c r="I61" t="s">
        <v>73</v>
      </c>
      <c r="J61">
        <v>172872</v>
      </c>
      <c r="L61">
        <v>5</v>
      </c>
      <c r="M61" t="s">
        <v>200</v>
      </c>
    </row>
    <row r="62" spans="1:13" ht="25.5" x14ac:dyDescent="0.2">
      <c r="A62" t="s">
        <v>48</v>
      </c>
      <c r="B62" t="s">
        <v>196</v>
      </c>
      <c r="C62" s="12" t="s">
        <v>81</v>
      </c>
      <c r="D62" s="13">
        <v>46099</v>
      </c>
      <c r="E62" s="14">
        <v>0.83333333333333304</v>
      </c>
      <c r="F62" s="14">
        <v>0.9375</v>
      </c>
      <c r="G62" s="15">
        <f t="shared" si="0"/>
        <v>0.10416666666666696</v>
      </c>
      <c r="H62" s="22" t="s">
        <v>201</v>
      </c>
      <c r="I62" t="s">
        <v>78</v>
      </c>
      <c r="J62">
        <v>172976</v>
      </c>
      <c r="L62">
        <v>3</v>
      </c>
      <c r="M62" t="s">
        <v>202</v>
      </c>
    </row>
    <row r="63" spans="1:13" ht="27" customHeight="1" x14ac:dyDescent="0.2">
      <c r="A63" t="s">
        <v>48</v>
      </c>
      <c r="B63" t="s">
        <v>196</v>
      </c>
      <c r="C63" s="12" t="s">
        <v>108</v>
      </c>
      <c r="D63" s="13">
        <v>46100</v>
      </c>
      <c r="E63" s="14">
        <v>0.70833333333333304</v>
      </c>
      <c r="F63" s="14">
        <v>0.95833333333333304</v>
      </c>
      <c r="G63" s="15">
        <f t="shared" si="0"/>
        <v>0.25</v>
      </c>
      <c r="H63" s="22" t="s">
        <v>203</v>
      </c>
      <c r="I63" t="s">
        <v>78</v>
      </c>
      <c r="J63">
        <v>173044</v>
      </c>
      <c r="L63">
        <v>9</v>
      </c>
      <c r="M63" t="s">
        <v>204</v>
      </c>
    </row>
    <row r="64" spans="1:13" ht="25.5" x14ac:dyDescent="0.2">
      <c r="A64" t="s">
        <v>48</v>
      </c>
      <c r="B64" t="s">
        <v>196</v>
      </c>
      <c r="C64" s="12" t="s">
        <v>100</v>
      </c>
      <c r="D64" s="13">
        <v>46101</v>
      </c>
      <c r="E64" s="14">
        <v>0.85763888888888895</v>
      </c>
      <c r="F64" s="14">
        <v>0.94097222222222199</v>
      </c>
      <c r="G64" s="15">
        <f t="shared" si="0"/>
        <v>8.3333333333333037E-2</v>
      </c>
      <c r="H64" s="22" t="s">
        <v>205</v>
      </c>
      <c r="I64" t="s">
        <v>110</v>
      </c>
      <c r="J64">
        <v>173139</v>
      </c>
      <c r="L64">
        <v>7</v>
      </c>
      <c r="M64" t="s">
        <v>206</v>
      </c>
    </row>
    <row r="65" spans="1:13" x14ac:dyDescent="0.2">
      <c r="A65" t="s">
        <v>48</v>
      </c>
      <c r="B65" t="s">
        <v>207</v>
      </c>
      <c r="C65" s="12" t="s">
        <v>8</v>
      </c>
      <c r="D65" s="13">
        <v>46102</v>
      </c>
      <c r="E65" s="14">
        <v>0.27083333333333298</v>
      </c>
      <c r="F65" s="14">
        <v>0.66666666666666696</v>
      </c>
      <c r="G65" s="15">
        <f t="shared" si="0"/>
        <v>0.39583333333333398</v>
      </c>
      <c r="H65" s="22" t="s">
        <v>208</v>
      </c>
      <c r="I65" t="s">
        <v>118</v>
      </c>
      <c r="J65">
        <v>173193</v>
      </c>
      <c r="L65">
        <v>4</v>
      </c>
      <c r="M65" t="s">
        <v>209</v>
      </c>
    </row>
    <row r="66" spans="1:13" x14ac:dyDescent="0.2">
      <c r="A66" t="s">
        <v>48</v>
      </c>
      <c r="B66" t="s">
        <v>196</v>
      </c>
      <c r="C66" s="12" t="s">
        <v>8</v>
      </c>
      <c r="D66" s="13">
        <v>46102</v>
      </c>
      <c r="E66" s="14">
        <v>0.73958333333333304</v>
      </c>
      <c r="F66" s="14">
        <v>0.77083333333333304</v>
      </c>
      <c r="G66" s="15">
        <f t="shared" ref="G66:G129" si="1">F66-E66</f>
        <v>3.125E-2</v>
      </c>
      <c r="H66" s="21" t="s">
        <v>210</v>
      </c>
      <c r="I66" t="s">
        <v>73</v>
      </c>
      <c r="J66">
        <v>173193</v>
      </c>
      <c r="L66">
        <v>1</v>
      </c>
      <c r="M66" t="s">
        <v>209</v>
      </c>
    </row>
    <row r="67" spans="1:13" x14ac:dyDescent="0.2">
      <c r="A67" t="s">
        <v>48</v>
      </c>
      <c r="B67" t="s">
        <v>196</v>
      </c>
      <c r="C67" s="12" t="s">
        <v>8</v>
      </c>
      <c r="D67" s="13">
        <v>46102</v>
      </c>
      <c r="E67" s="14">
        <v>0.80972222222222201</v>
      </c>
      <c r="F67" s="14">
        <v>0.90277777777777801</v>
      </c>
      <c r="G67" s="15">
        <f t="shared" si="1"/>
        <v>9.3055555555556002E-2</v>
      </c>
      <c r="H67" s="22" t="s">
        <v>211</v>
      </c>
      <c r="I67" t="s">
        <v>73</v>
      </c>
      <c r="J67">
        <v>173193</v>
      </c>
      <c r="L67">
        <v>3</v>
      </c>
      <c r="M67" t="s">
        <v>209</v>
      </c>
    </row>
    <row r="68" spans="1:13" ht="25.5" x14ac:dyDescent="0.2">
      <c r="A68" t="s">
        <v>48</v>
      </c>
      <c r="B68" t="s">
        <v>180</v>
      </c>
      <c r="C68" s="12" t="s">
        <v>8</v>
      </c>
      <c r="D68" s="13">
        <v>46102</v>
      </c>
      <c r="E68" s="14">
        <v>0.27083333333333298</v>
      </c>
      <c r="F68" s="14">
        <v>0.41736111111111102</v>
      </c>
      <c r="G68" s="15">
        <f t="shared" si="1"/>
        <v>0.14652777777777803</v>
      </c>
      <c r="H68" s="22" t="s">
        <v>212</v>
      </c>
      <c r="I68" t="s">
        <v>78</v>
      </c>
      <c r="J68">
        <v>173194</v>
      </c>
      <c r="L68">
        <v>5</v>
      </c>
      <c r="M68" t="s">
        <v>213</v>
      </c>
    </row>
    <row r="69" spans="1:13" x14ac:dyDescent="0.2">
      <c r="A69" t="s">
        <v>48</v>
      </c>
      <c r="B69" t="s">
        <v>180</v>
      </c>
      <c r="C69" s="12" t="s">
        <v>8</v>
      </c>
      <c r="D69" s="13">
        <v>46102</v>
      </c>
      <c r="E69" s="14">
        <v>0.45069444444444401</v>
      </c>
      <c r="F69" s="14">
        <v>0.54861111111111105</v>
      </c>
      <c r="G69" s="15">
        <f t="shared" si="1"/>
        <v>9.791666666666704E-2</v>
      </c>
      <c r="H69" s="22" t="s">
        <v>214</v>
      </c>
      <c r="I69" t="s">
        <v>78</v>
      </c>
      <c r="J69">
        <v>173194</v>
      </c>
      <c r="L69">
        <v>3</v>
      </c>
      <c r="M69" t="s">
        <v>213</v>
      </c>
    </row>
    <row r="70" spans="1:13" x14ac:dyDescent="0.2">
      <c r="A70" t="s">
        <v>48</v>
      </c>
      <c r="B70" t="s">
        <v>180</v>
      </c>
      <c r="C70" s="12" t="s">
        <v>8</v>
      </c>
      <c r="D70" s="13">
        <v>46102</v>
      </c>
      <c r="E70" s="14">
        <v>0.63611111111111096</v>
      </c>
      <c r="F70" s="14">
        <v>0.66805555555555596</v>
      </c>
      <c r="G70" s="15">
        <f t="shared" si="1"/>
        <v>3.1944444444444997E-2</v>
      </c>
      <c r="H70" s="21" t="s">
        <v>215</v>
      </c>
      <c r="I70" t="s">
        <v>78</v>
      </c>
      <c r="J70">
        <v>173194</v>
      </c>
      <c r="L70">
        <v>1</v>
      </c>
      <c r="M70" t="s">
        <v>213</v>
      </c>
    </row>
    <row r="71" spans="1:13" x14ac:dyDescent="0.2">
      <c r="A71" t="s">
        <v>48</v>
      </c>
      <c r="B71" t="s">
        <v>207</v>
      </c>
      <c r="C71" s="12" t="s">
        <v>11</v>
      </c>
      <c r="D71" s="13">
        <v>46103</v>
      </c>
      <c r="E71" s="14">
        <v>0.29166666666666702</v>
      </c>
      <c r="F71" s="14">
        <v>0.59375</v>
      </c>
      <c r="G71" s="15">
        <f t="shared" si="1"/>
        <v>0.30208333333333298</v>
      </c>
      <c r="H71" s="21" t="s">
        <v>216</v>
      </c>
      <c r="I71" t="s">
        <v>78</v>
      </c>
      <c r="J71">
        <v>173223</v>
      </c>
      <c r="L71">
        <v>4</v>
      </c>
      <c r="M71" t="s">
        <v>217</v>
      </c>
    </row>
    <row r="72" spans="1:13" x14ac:dyDescent="0.2">
      <c r="A72" t="s">
        <v>48</v>
      </c>
      <c r="B72" t="s">
        <v>196</v>
      </c>
      <c r="C72" s="12" t="s">
        <v>11</v>
      </c>
      <c r="D72" s="13">
        <v>46103</v>
      </c>
      <c r="E72" s="14">
        <v>0.72638888888888897</v>
      </c>
      <c r="F72" s="14">
        <v>0.77083333333333304</v>
      </c>
      <c r="G72" s="15">
        <f t="shared" si="1"/>
        <v>4.4444444444444065E-2</v>
      </c>
      <c r="H72" s="21" t="s">
        <v>218</v>
      </c>
      <c r="I72" t="s">
        <v>78</v>
      </c>
      <c r="J72">
        <v>173223</v>
      </c>
      <c r="L72">
        <v>3</v>
      </c>
      <c r="M72" t="s">
        <v>217</v>
      </c>
    </row>
    <row r="73" spans="1:13" x14ac:dyDescent="0.2">
      <c r="A73" t="s">
        <v>49</v>
      </c>
      <c r="B73" t="s">
        <v>219</v>
      </c>
      <c r="C73" s="12" t="s">
        <v>71</v>
      </c>
      <c r="D73" s="13">
        <v>46083</v>
      </c>
      <c r="E73" s="14">
        <v>0.66666666666666696</v>
      </c>
      <c r="F73" s="14">
        <v>0.79166666666666696</v>
      </c>
      <c r="G73" s="15">
        <f t="shared" si="1"/>
        <v>0.125</v>
      </c>
      <c r="H73" t="s">
        <v>220</v>
      </c>
      <c r="I73" t="s">
        <v>221</v>
      </c>
      <c r="J73">
        <v>171799</v>
      </c>
      <c r="L73">
        <v>2</v>
      </c>
      <c r="M73" t="s">
        <v>222</v>
      </c>
    </row>
    <row r="74" spans="1:13" x14ac:dyDescent="0.2">
      <c r="A74" t="s">
        <v>49</v>
      </c>
      <c r="B74" t="s">
        <v>219</v>
      </c>
      <c r="C74" s="12" t="s">
        <v>76</v>
      </c>
      <c r="D74" s="13">
        <v>46084</v>
      </c>
      <c r="E74" s="14">
        <v>0.27777777777777801</v>
      </c>
      <c r="F74" s="14">
        <v>0.33333333333333298</v>
      </c>
      <c r="G74" s="15">
        <f t="shared" si="1"/>
        <v>5.555555555555497E-2</v>
      </c>
      <c r="H74" t="s">
        <v>223</v>
      </c>
      <c r="I74" t="s">
        <v>78</v>
      </c>
      <c r="J74">
        <v>171894</v>
      </c>
      <c r="L74">
        <v>1</v>
      </c>
      <c r="M74" t="s">
        <v>224</v>
      </c>
    </row>
    <row r="75" spans="1:13" x14ac:dyDescent="0.2">
      <c r="A75" t="s">
        <v>49</v>
      </c>
      <c r="B75" t="s">
        <v>219</v>
      </c>
      <c r="C75" s="12" t="s">
        <v>76</v>
      </c>
      <c r="D75" s="13">
        <v>46084</v>
      </c>
      <c r="E75" s="14">
        <v>0.66666666666666696</v>
      </c>
      <c r="F75" s="14">
        <v>0.75</v>
      </c>
      <c r="G75" s="15">
        <f t="shared" si="1"/>
        <v>8.3333333333333037E-2</v>
      </c>
      <c r="H75" t="s">
        <v>225</v>
      </c>
      <c r="I75" t="s">
        <v>226</v>
      </c>
      <c r="J75">
        <v>171894</v>
      </c>
      <c r="L75">
        <v>1</v>
      </c>
      <c r="M75" t="s">
        <v>224</v>
      </c>
    </row>
    <row r="76" spans="1:13" x14ac:dyDescent="0.2">
      <c r="A76" t="s">
        <v>49</v>
      </c>
      <c r="B76" t="s">
        <v>219</v>
      </c>
      <c r="C76" s="12" t="s">
        <v>81</v>
      </c>
      <c r="D76" s="13">
        <v>46085</v>
      </c>
      <c r="E76" s="14">
        <v>0.66666666666666696</v>
      </c>
      <c r="F76" s="14">
        <v>0.77777777777777801</v>
      </c>
      <c r="G76" s="15">
        <f t="shared" si="1"/>
        <v>0.11111111111111105</v>
      </c>
      <c r="H76" t="s">
        <v>227</v>
      </c>
      <c r="I76" t="s">
        <v>78</v>
      </c>
      <c r="J76">
        <v>171993</v>
      </c>
      <c r="L76">
        <v>1</v>
      </c>
      <c r="M76" t="s">
        <v>228</v>
      </c>
    </row>
    <row r="77" spans="1:13" x14ac:dyDescent="0.2">
      <c r="A77" t="s">
        <v>49</v>
      </c>
      <c r="B77" t="s">
        <v>219</v>
      </c>
      <c r="C77" s="12" t="s">
        <v>108</v>
      </c>
      <c r="D77" s="13">
        <v>46086</v>
      </c>
      <c r="E77" s="14">
        <v>0.66666666666666696</v>
      </c>
      <c r="F77" s="14">
        <v>0.75</v>
      </c>
      <c r="G77" s="15">
        <f t="shared" si="1"/>
        <v>8.3333333333333037E-2</v>
      </c>
      <c r="H77" t="s">
        <v>229</v>
      </c>
      <c r="I77" t="s">
        <v>78</v>
      </c>
      <c r="J77">
        <v>172093</v>
      </c>
      <c r="L77">
        <v>1</v>
      </c>
      <c r="M77" t="s">
        <v>230</v>
      </c>
    </row>
    <row r="78" spans="1:13" x14ac:dyDescent="0.2">
      <c r="A78" t="s">
        <v>49</v>
      </c>
      <c r="B78" t="s">
        <v>219</v>
      </c>
      <c r="C78" s="12" t="s">
        <v>100</v>
      </c>
      <c r="D78" s="13">
        <v>46087</v>
      </c>
      <c r="E78" s="14">
        <v>0.66666666666666696</v>
      </c>
      <c r="F78" s="14">
        <v>0.75</v>
      </c>
      <c r="G78" s="15">
        <f t="shared" si="1"/>
        <v>8.3333333333333037E-2</v>
      </c>
      <c r="H78" t="s">
        <v>231</v>
      </c>
      <c r="I78" t="s">
        <v>78</v>
      </c>
      <c r="J78">
        <v>172165</v>
      </c>
      <c r="L78">
        <v>1</v>
      </c>
      <c r="M78" t="s">
        <v>232</v>
      </c>
    </row>
    <row r="79" spans="1:13" x14ac:dyDescent="0.2">
      <c r="A79" t="s">
        <v>49</v>
      </c>
      <c r="B79" t="s">
        <v>219</v>
      </c>
      <c r="C79" s="12" t="s">
        <v>71</v>
      </c>
      <c r="D79" s="13">
        <v>46090</v>
      </c>
      <c r="E79" s="14">
        <v>0.66666666666666696</v>
      </c>
      <c r="F79" s="14">
        <v>0.77083333333333304</v>
      </c>
      <c r="G79" s="15">
        <f t="shared" si="1"/>
        <v>0.10416666666666607</v>
      </c>
      <c r="H79" t="s">
        <v>233</v>
      </c>
      <c r="I79" t="s">
        <v>234</v>
      </c>
      <c r="J79">
        <v>172274</v>
      </c>
      <c r="L79">
        <v>1</v>
      </c>
      <c r="M79" t="s">
        <v>235</v>
      </c>
    </row>
    <row r="80" spans="1:13" x14ac:dyDescent="0.2">
      <c r="A80" t="s">
        <v>49</v>
      </c>
      <c r="B80" t="s">
        <v>219</v>
      </c>
      <c r="C80" s="12" t="s">
        <v>76</v>
      </c>
      <c r="D80" s="13">
        <v>46091</v>
      </c>
      <c r="E80" s="14">
        <v>0.66666666666666696</v>
      </c>
      <c r="F80" s="14">
        <v>0.77083333333333304</v>
      </c>
      <c r="G80" s="15">
        <f t="shared" si="1"/>
        <v>0.10416666666666607</v>
      </c>
      <c r="H80" t="s">
        <v>236</v>
      </c>
      <c r="I80" t="s">
        <v>221</v>
      </c>
      <c r="J80">
        <v>172404</v>
      </c>
      <c r="L80">
        <v>2</v>
      </c>
      <c r="M80" t="s">
        <v>237</v>
      </c>
    </row>
    <row r="81" spans="1:13" x14ac:dyDescent="0.2">
      <c r="A81" t="s">
        <v>49</v>
      </c>
      <c r="B81" t="s">
        <v>219</v>
      </c>
      <c r="C81" s="12" t="s">
        <v>81</v>
      </c>
      <c r="D81" s="13">
        <v>46092</v>
      </c>
      <c r="E81" s="14">
        <v>0.66666666666666696</v>
      </c>
      <c r="F81" s="14">
        <v>0.8125</v>
      </c>
      <c r="G81" s="15">
        <f t="shared" si="1"/>
        <v>0.14583333333333304</v>
      </c>
      <c r="H81" t="s">
        <v>238</v>
      </c>
      <c r="I81" t="s">
        <v>78</v>
      </c>
      <c r="J81">
        <v>172473</v>
      </c>
      <c r="L81">
        <v>1</v>
      </c>
      <c r="M81" t="s">
        <v>239</v>
      </c>
    </row>
    <row r="82" spans="1:13" x14ac:dyDescent="0.2">
      <c r="A82" t="s">
        <v>49</v>
      </c>
      <c r="B82" t="s">
        <v>219</v>
      </c>
      <c r="C82" s="12" t="s">
        <v>71</v>
      </c>
      <c r="D82" s="13">
        <v>46097</v>
      </c>
      <c r="E82" s="14">
        <v>0.66666666666666696</v>
      </c>
      <c r="F82" s="14">
        <v>0.875</v>
      </c>
      <c r="G82" s="15">
        <f t="shared" si="1"/>
        <v>0.20833333333333304</v>
      </c>
      <c r="H82" t="s">
        <v>240</v>
      </c>
      <c r="I82" t="s">
        <v>226</v>
      </c>
      <c r="J82">
        <v>172700</v>
      </c>
      <c r="L82">
        <v>1</v>
      </c>
      <c r="M82" t="s">
        <v>241</v>
      </c>
    </row>
    <row r="83" spans="1:13" x14ac:dyDescent="0.2">
      <c r="A83" t="s">
        <v>49</v>
      </c>
      <c r="B83" t="s">
        <v>219</v>
      </c>
      <c r="C83" s="12" t="s">
        <v>76</v>
      </c>
      <c r="D83" s="13">
        <v>46098</v>
      </c>
      <c r="E83" s="14">
        <v>0.26041666666666702</v>
      </c>
      <c r="F83" s="14">
        <v>0.33333333333333298</v>
      </c>
      <c r="G83" s="15">
        <f t="shared" si="1"/>
        <v>7.2916666666665964E-2</v>
      </c>
      <c r="H83" t="s">
        <v>242</v>
      </c>
      <c r="I83" t="s">
        <v>243</v>
      </c>
      <c r="J83">
        <v>172868</v>
      </c>
      <c r="L83">
        <v>1</v>
      </c>
      <c r="M83" t="s">
        <v>244</v>
      </c>
    </row>
    <row r="84" spans="1:13" x14ac:dyDescent="0.2">
      <c r="A84" t="s">
        <v>49</v>
      </c>
      <c r="B84" t="s">
        <v>219</v>
      </c>
      <c r="C84" s="12" t="s">
        <v>76</v>
      </c>
      <c r="D84" s="13">
        <v>46098</v>
      </c>
      <c r="E84" s="14">
        <v>0.66666666666666696</v>
      </c>
      <c r="F84" s="14">
        <v>0.75</v>
      </c>
      <c r="G84" s="15">
        <f t="shared" si="1"/>
        <v>8.3333333333333037E-2</v>
      </c>
      <c r="H84" t="s">
        <v>245</v>
      </c>
      <c r="I84" t="s">
        <v>78</v>
      </c>
      <c r="J84">
        <v>172868</v>
      </c>
      <c r="L84">
        <v>1</v>
      </c>
      <c r="M84" t="s">
        <v>244</v>
      </c>
    </row>
    <row r="85" spans="1:13" x14ac:dyDescent="0.2">
      <c r="A85" t="s">
        <v>49</v>
      </c>
      <c r="B85" t="s">
        <v>219</v>
      </c>
      <c r="C85" s="12" t="s">
        <v>81</v>
      </c>
      <c r="D85" s="13">
        <v>46099</v>
      </c>
      <c r="E85" s="14">
        <v>0.66666666666666696</v>
      </c>
      <c r="F85" s="14">
        <v>0.79166666666666696</v>
      </c>
      <c r="G85" s="15">
        <f t="shared" si="1"/>
        <v>0.125</v>
      </c>
      <c r="H85" t="s">
        <v>246</v>
      </c>
      <c r="I85" t="s">
        <v>234</v>
      </c>
      <c r="J85">
        <v>172944</v>
      </c>
      <c r="L85">
        <v>1</v>
      </c>
      <c r="M85" t="s">
        <v>247</v>
      </c>
    </row>
    <row r="86" spans="1:13" x14ac:dyDescent="0.2">
      <c r="A86" t="s">
        <v>49</v>
      </c>
      <c r="B86" t="s">
        <v>219</v>
      </c>
      <c r="C86" s="12" t="s">
        <v>108</v>
      </c>
      <c r="D86" s="13">
        <v>46100</v>
      </c>
      <c r="E86" s="14">
        <v>0.66666666666666696</v>
      </c>
      <c r="F86" s="14">
        <v>0.75</v>
      </c>
      <c r="G86" s="15">
        <f t="shared" si="1"/>
        <v>8.3333333333333037E-2</v>
      </c>
      <c r="H86" t="s">
        <v>248</v>
      </c>
      <c r="I86" t="s">
        <v>78</v>
      </c>
      <c r="J86">
        <v>173010</v>
      </c>
      <c r="L86">
        <v>1</v>
      </c>
      <c r="M86" t="s">
        <v>249</v>
      </c>
    </row>
    <row r="87" spans="1:13" x14ac:dyDescent="0.2">
      <c r="A87" t="s">
        <v>49</v>
      </c>
      <c r="B87" t="s">
        <v>219</v>
      </c>
      <c r="C87" s="12" t="s">
        <v>100</v>
      </c>
      <c r="D87" s="13">
        <v>46101</v>
      </c>
      <c r="E87" s="14">
        <v>0.29166666666666702</v>
      </c>
      <c r="F87" s="14">
        <v>0.36805555555555602</v>
      </c>
      <c r="G87" s="15">
        <f t="shared" si="1"/>
        <v>7.6388888888889006E-2</v>
      </c>
      <c r="H87" t="s">
        <v>250</v>
      </c>
      <c r="I87" t="s">
        <v>221</v>
      </c>
      <c r="J87">
        <v>173089</v>
      </c>
      <c r="L87">
        <v>2</v>
      </c>
      <c r="M87" t="s">
        <v>251</v>
      </c>
    </row>
    <row r="88" spans="1:13" x14ac:dyDescent="0.2">
      <c r="A88" t="s">
        <v>49</v>
      </c>
      <c r="B88" t="s">
        <v>219</v>
      </c>
      <c r="C88" s="12" t="s">
        <v>100</v>
      </c>
      <c r="D88" s="13">
        <v>46101</v>
      </c>
      <c r="E88" s="14">
        <v>0.66666666666666696</v>
      </c>
      <c r="F88" s="14">
        <v>0.82291666666666696</v>
      </c>
      <c r="G88" s="15">
        <f t="shared" si="1"/>
        <v>0.15625</v>
      </c>
      <c r="H88" t="s">
        <v>252</v>
      </c>
      <c r="I88" t="s">
        <v>243</v>
      </c>
      <c r="J88">
        <v>173089</v>
      </c>
      <c r="L88">
        <v>1</v>
      </c>
      <c r="M88" t="s">
        <v>251</v>
      </c>
    </row>
    <row r="89" spans="1:13" x14ac:dyDescent="0.2">
      <c r="A89" t="s">
        <v>49</v>
      </c>
      <c r="B89" t="s">
        <v>219</v>
      </c>
      <c r="C89" s="12" t="s">
        <v>8</v>
      </c>
      <c r="D89" s="13">
        <v>46102</v>
      </c>
      <c r="E89" s="14">
        <v>0.30208333333333298</v>
      </c>
      <c r="F89" s="14">
        <v>0.33333333333333298</v>
      </c>
      <c r="G89" s="15">
        <f t="shared" si="1"/>
        <v>3.125E-2</v>
      </c>
      <c r="H89" t="s">
        <v>253</v>
      </c>
      <c r="I89" t="s">
        <v>78</v>
      </c>
      <c r="J89">
        <v>173192</v>
      </c>
      <c r="L89">
        <v>1</v>
      </c>
      <c r="M89" t="s">
        <v>254</v>
      </c>
    </row>
    <row r="90" spans="1:13" x14ac:dyDescent="0.2">
      <c r="A90" t="s">
        <v>51</v>
      </c>
      <c r="B90" t="s">
        <v>255</v>
      </c>
      <c r="C90" s="12" t="s">
        <v>71</v>
      </c>
      <c r="D90" s="13">
        <v>46083</v>
      </c>
      <c r="E90" s="14">
        <v>0.70833333333333304</v>
      </c>
      <c r="F90" s="14">
        <v>0.8125</v>
      </c>
      <c r="G90" s="15">
        <f t="shared" si="1"/>
        <v>0.10416666666666696</v>
      </c>
      <c r="H90" s="21" t="s">
        <v>256</v>
      </c>
      <c r="I90" t="s">
        <v>73</v>
      </c>
      <c r="J90">
        <v>171816</v>
      </c>
      <c r="L90">
        <v>3</v>
      </c>
      <c r="M90" t="s">
        <v>257</v>
      </c>
    </row>
    <row r="91" spans="1:13" ht="25.5" x14ac:dyDescent="0.2">
      <c r="A91" t="s">
        <v>51</v>
      </c>
      <c r="B91" t="s">
        <v>258</v>
      </c>
      <c r="C91" s="12" t="s">
        <v>8</v>
      </c>
      <c r="D91" s="13">
        <v>46088</v>
      </c>
      <c r="E91" s="14">
        <v>0.33541666666666697</v>
      </c>
      <c r="F91" s="14">
        <v>0.52569444444444502</v>
      </c>
      <c r="G91" s="15">
        <f t="shared" si="1"/>
        <v>0.19027777777777805</v>
      </c>
      <c r="H91" s="22" t="s">
        <v>259</v>
      </c>
      <c r="I91" t="s">
        <v>73</v>
      </c>
      <c r="J91">
        <v>172277</v>
      </c>
      <c r="L91">
        <v>5</v>
      </c>
      <c r="M91" t="s">
        <v>260</v>
      </c>
    </row>
    <row r="92" spans="1:13" x14ac:dyDescent="0.2">
      <c r="A92" t="s">
        <v>51</v>
      </c>
      <c r="B92" t="s">
        <v>255</v>
      </c>
      <c r="C92" s="12" t="s">
        <v>8</v>
      </c>
      <c r="D92" s="13">
        <v>46095</v>
      </c>
      <c r="E92" s="14">
        <v>0.52500000000000002</v>
      </c>
      <c r="F92" s="14">
        <v>0.63333333333333297</v>
      </c>
      <c r="G92" s="15">
        <f t="shared" si="1"/>
        <v>0.10833333333333295</v>
      </c>
      <c r="H92" t="s">
        <v>261</v>
      </c>
      <c r="I92" t="s">
        <v>78</v>
      </c>
      <c r="J92">
        <v>172714</v>
      </c>
      <c r="L92">
        <v>3</v>
      </c>
      <c r="M92" t="s">
        <v>262</v>
      </c>
    </row>
    <row r="93" spans="1:13" ht="63.75" x14ac:dyDescent="0.2">
      <c r="A93" t="s">
        <v>51</v>
      </c>
      <c r="B93" t="s">
        <v>255</v>
      </c>
      <c r="C93" s="12" t="s">
        <v>11</v>
      </c>
      <c r="D93" s="13">
        <v>46096</v>
      </c>
      <c r="E93" s="14">
        <v>0.33333333333333298</v>
      </c>
      <c r="F93" s="14">
        <v>0.61458333333333304</v>
      </c>
      <c r="G93" s="15">
        <f t="shared" si="1"/>
        <v>0.28125000000000006</v>
      </c>
      <c r="H93" s="22" t="s">
        <v>263</v>
      </c>
      <c r="I93" t="s">
        <v>78</v>
      </c>
      <c r="J93">
        <v>172716</v>
      </c>
      <c r="L93">
        <v>9</v>
      </c>
      <c r="M93" t="s">
        <v>264</v>
      </c>
    </row>
    <row r="94" spans="1:13" ht="25.5" x14ac:dyDescent="0.2">
      <c r="A94" t="s">
        <v>51</v>
      </c>
      <c r="B94" t="s">
        <v>265</v>
      </c>
      <c r="C94" s="12" t="s">
        <v>76</v>
      </c>
      <c r="D94" s="13">
        <v>46098</v>
      </c>
      <c r="E94" s="14">
        <v>0.75694444444444398</v>
      </c>
      <c r="F94" s="14">
        <v>0.92500000000000004</v>
      </c>
      <c r="G94" s="15">
        <f t="shared" si="1"/>
        <v>0.16805555555555607</v>
      </c>
      <c r="H94" s="22" t="s">
        <v>266</v>
      </c>
      <c r="I94" t="s">
        <v>73</v>
      </c>
      <c r="J94">
        <v>173005</v>
      </c>
      <c r="L94">
        <v>5</v>
      </c>
      <c r="M94" t="s">
        <v>267</v>
      </c>
    </row>
    <row r="95" spans="1:13" x14ac:dyDescent="0.2">
      <c r="A95" t="s">
        <v>51</v>
      </c>
      <c r="B95" t="s">
        <v>265</v>
      </c>
      <c r="C95" s="12" t="s">
        <v>81</v>
      </c>
      <c r="D95" s="13">
        <v>46099</v>
      </c>
      <c r="E95" s="14">
        <v>0.90277777777777801</v>
      </c>
      <c r="F95" s="14">
        <v>0.94166666666666698</v>
      </c>
      <c r="G95" s="15">
        <f t="shared" si="1"/>
        <v>3.8888888888888973E-2</v>
      </c>
      <c r="H95" s="21" t="s">
        <v>268</v>
      </c>
      <c r="I95" t="s">
        <v>78</v>
      </c>
      <c r="J95">
        <v>173135</v>
      </c>
      <c r="L95">
        <v>3</v>
      </c>
      <c r="M95" t="s">
        <v>269</v>
      </c>
    </row>
    <row r="96" spans="1:13" x14ac:dyDescent="0.2">
      <c r="A96" t="s">
        <v>51</v>
      </c>
      <c r="B96" t="s">
        <v>265</v>
      </c>
      <c r="C96" s="12" t="s">
        <v>108</v>
      </c>
      <c r="D96" s="13">
        <v>46100</v>
      </c>
      <c r="E96" s="14">
        <v>0.70833333333333304</v>
      </c>
      <c r="F96" s="14">
        <v>0.76319444444444395</v>
      </c>
      <c r="G96" s="15">
        <f t="shared" si="1"/>
        <v>5.4861111111110916E-2</v>
      </c>
      <c r="H96" s="21" t="s">
        <v>270</v>
      </c>
      <c r="I96" t="s">
        <v>78</v>
      </c>
      <c r="J96">
        <v>173140</v>
      </c>
      <c r="L96">
        <v>3</v>
      </c>
      <c r="M96" t="s">
        <v>271</v>
      </c>
    </row>
    <row r="97" spans="1:13" x14ac:dyDescent="0.2">
      <c r="A97" t="s">
        <v>51</v>
      </c>
      <c r="B97" t="s">
        <v>272</v>
      </c>
      <c r="C97" s="12" t="s">
        <v>8</v>
      </c>
      <c r="D97" s="13">
        <v>46102</v>
      </c>
      <c r="E97" s="14">
        <v>0.25</v>
      </c>
      <c r="F97" s="14">
        <v>0.54166666666666696</v>
      </c>
      <c r="G97" s="15">
        <f t="shared" si="1"/>
        <v>0.29166666666666696</v>
      </c>
      <c r="H97" s="21" t="s">
        <v>273</v>
      </c>
      <c r="I97" t="s">
        <v>118</v>
      </c>
      <c r="J97">
        <v>173191</v>
      </c>
      <c r="L97">
        <v>1</v>
      </c>
      <c r="M97" t="s">
        <v>274</v>
      </c>
    </row>
    <row r="98" spans="1:13" ht="25.5" x14ac:dyDescent="0.2">
      <c r="A98" t="s">
        <v>51</v>
      </c>
      <c r="B98" t="s">
        <v>272</v>
      </c>
      <c r="C98" s="12" t="s">
        <v>8</v>
      </c>
      <c r="D98" s="13">
        <v>46102</v>
      </c>
      <c r="E98" s="14">
        <v>0.58333333333333304</v>
      </c>
      <c r="F98" s="14">
        <v>0.69791666666666696</v>
      </c>
      <c r="G98" s="15">
        <f t="shared" si="1"/>
        <v>0.11458333333333393</v>
      </c>
      <c r="H98" s="22" t="s">
        <v>275</v>
      </c>
      <c r="I98" t="s">
        <v>226</v>
      </c>
      <c r="J98">
        <v>173191</v>
      </c>
      <c r="L98">
        <v>1</v>
      </c>
      <c r="M98" t="s">
        <v>274</v>
      </c>
    </row>
    <row r="99" spans="1:13" x14ac:dyDescent="0.2">
      <c r="A99" t="s">
        <v>51</v>
      </c>
      <c r="B99" t="s">
        <v>265</v>
      </c>
      <c r="C99" s="12" t="s">
        <v>11</v>
      </c>
      <c r="D99" s="13">
        <v>46103</v>
      </c>
      <c r="E99" s="14">
        <v>0.26319444444444401</v>
      </c>
      <c r="F99" s="14">
        <v>0.375</v>
      </c>
      <c r="G99" s="15">
        <f t="shared" si="1"/>
        <v>0.11180555555555599</v>
      </c>
      <c r="H99" s="21" t="s">
        <v>276</v>
      </c>
      <c r="I99" t="s">
        <v>78</v>
      </c>
      <c r="J99">
        <v>173222</v>
      </c>
      <c r="L99">
        <v>5</v>
      </c>
      <c r="M99" t="s">
        <v>277</v>
      </c>
    </row>
    <row r="100" spans="1:13" x14ac:dyDescent="0.2">
      <c r="A100" t="s">
        <v>51</v>
      </c>
      <c r="B100" t="s">
        <v>265</v>
      </c>
      <c r="C100" s="12" t="s">
        <v>11</v>
      </c>
      <c r="D100" s="13">
        <v>46103</v>
      </c>
      <c r="E100" s="14">
        <v>0.64513888888888904</v>
      </c>
      <c r="F100" s="14">
        <v>0.69861111111111096</v>
      </c>
      <c r="G100" s="15">
        <f t="shared" si="1"/>
        <v>5.3472222222221921E-2</v>
      </c>
      <c r="H100" s="21" t="s">
        <v>278</v>
      </c>
      <c r="I100" t="s">
        <v>78</v>
      </c>
      <c r="J100">
        <v>173222</v>
      </c>
      <c r="L100">
        <v>4</v>
      </c>
      <c r="M100" t="s">
        <v>277</v>
      </c>
    </row>
    <row r="101" spans="1:13" x14ac:dyDescent="0.2">
      <c r="A101" t="s">
        <v>52</v>
      </c>
      <c r="B101" t="s">
        <v>279</v>
      </c>
      <c r="C101" s="12" t="s">
        <v>71</v>
      </c>
      <c r="D101" s="13">
        <v>46083</v>
      </c>
      <c r="E101" s="14">
        <v>0.78402777777777799</v>
      </c>
      <c r="F101" s="14">
        <v>0.88749999999999996</v>
      </c>
      <c r="G101" s="15">
        <f t="shared" si="1"/>
        <v>0.10347222222222197</v>
      </c>
      <c r="H101" s="21" t="s">
        <v>280</v>
      </c>
      <c r="I101" t="s">
        <v>133</v>
      </c>
      <c r="J101">
        <v>171804</v>
      </c>
      <c r="L101">
        <v>1</v>
      </c>
      <c r="M101" t="s">
        <v>281</v>
      </c>
    </row>
    <row r="102" spans="1:13" x14ac:dyDescent="0.2">
      <c r="A102" t="s">
        <v>52</v>
      </c>
      <c r="B102" t="s">
        <v>282</v>
      </c>
      <c r="C102" s="12" t="s">
        <v>76</v>
      </c>
      <c r="D102" s="13">
        <v>46084</v>
      </c>
      <c r="E102" s="14">
        <v>0.70833333333333304</v>
      </c>
      <c r="F102" s="14">
        <v>0.75972222222222197</v>
      </c>
      <c r="G102" s="15">
        <f t="shared" si="1"/>
        <v>5.1388888888888928E-2</v>
      </c>
      <c r="H102" s="21" t="s">
        <v>283</v>
      </c>
      <c r="I102" t="s">
        <v>73</v>
      </c>
      <c r="J102">
        <v>171941</v>
      </c>
      <c r="L102">
        <v>2</v>
      </c>
      <c r="M102" t="s">
        <v>284</v>
      </c>
    </row>
    <row r="103" spans="1:13" x14ac:dyDescent="0.2">
      <c r="A103" t="s">
        <v>52</v>
      </c>
      <c r="B103" t="s">
        <v>282</v>
      </c>
      <c r="C103" s="12" t="s">
        <v>81</v>
      </c>
      <c r="D103" s="13">
        <v>46085</v>
      </c>
      <c r="E103" s="14">
        <v>0.25</v>
      </c>
      <c r="F103" s="14">
        <v>0.33333333333333298</v>
      </c>
      <c r="G103" s="15">
        <f t="shared" si="1"/>
        <v>8.3333333333332982E-2</v>
      </c>
      <c r="H103" s="22" t="s">
        <v>285</v>
      </c>
      <c r="I103" t="s">
        <v>78</v>
      </c>
      <c r="J103">
        <v>171989</v>
      </c>
      <c r="L103">
        <v>1</v>
      </c>
      <c r="M103" t="s">
        <v>286</v>
      </c>
    </row>
    <row r="104" spans="1:13" x14ac:dyDescent="0.2">
      <c r="A104" t="s">
        <v>52</v>
      </c>
      <c r="B104" t="s">
        <v>282</v>
      </c>
      <c r="C104" s="12" t="s">
        <v>81</v>
      </c>
      <c r="D104" s="13">
        <v>46085</v>
      </c>
      <c r="E104" s="14">
        <v>0.70833333333333304</v>
      </c>
      <c r="F104" s="14">
        <v>0.875</v>
      </c>
      <c r="G104" s="15">
        <f t="shared" si="1"/>
        <v>0.16666666666666696</v>
      </c>
      <c r="H104" s="21" t="s">
        <v>287</v>
      </c>
      <c r="I104" t="s">
        <v>78</v>
      </c>
      <c r="J104">
        <v>171989</v>
      </c>
      <c r="L104">
        <v>2</v>
      </c>
      <c r="M104" t="s">
        <v>286</v>
      </c>
    </row>
    <row r="105" spans="1:13" x14ac:dyDescent="0.2">
      <c r="A105" t="s">
        <v>52</v>
      </c>
      <c r="B105" t="s">
        <v>279</v>
      </c>
      <c r="C105" s="12" t="s">
        <v>108</v>
      </c>
      <c r="D105" s="13">
        <v>46086</v>
      </c>
      <c r="E105" s="14">
        <v>0.81597222222222199</v>
      </c>
      <c r="F105" s="14">
        <v>0.84722222222222199</v>
      </c>
      <c r="G105" s="15">
        <f t="shared" si="1"/>
        <v>3.125E-2</v>
      </c>
      <c r="H105" s="21" t="s">
        <v>288</v>
      </c>
      <c r="I105" t="s">
        <v>78</v>
      </c>
      <c r="J105">
        <v>172107</v>
      </c>
      <c r="L105">
        <v>1</v>
      </c>
      <c r="M105" t="s">
        <v>289</v>
      </c>
    </row>
    <row r="106" spans="1:13" ht="25.5" x14ac:dyDescent="0.2">
      <c r="A106" t="s">
        <v>52</v>
      </c>
      <c r="B106" t="s">
        <v>279</v>
      </c>
      <c r="C106" s="12" t="s">
        <v>11</v>
      </c>
      <c r="D106" s="13">
        <v>46089</v>
      </c>
      <c r="E106" s="14">
        <v>0.57986111111111105</v>
      </c>
      <c r="F106" s="14">
        <v>0.71527777777777801</v>
      </c>
      <c r="G106" s="15">
        <f t="shared" si="1"/>
        <v>0.13541666666666696</v>
      </c>
      <c r="H106" s="22" t="s">
        <v>290</v>
      </c>
      <c r="I106" t="s">
        <v>78</v>
      </c>
      <c r="J106">
        <v>172300</v>
      </c>
      <c r="L106">
        <v>1</v>
      </c>
      <c r="M106" t="s">
        <v>291</v>
      </c>
    </row>
    <row r="107" spans="1:13" x14ac:dyDescent="0.2">
      <c r="A107" t="s">
        <v>52</v>
      </c>
      <c r="B107" t="s">
        <v>279</v>
      </c>
      <c r="C107" s="12" t="s">
        <v>71</v>
      </c>
      <c r="D107" s="13">
        <v>46097</v>
      </c>
      <c r="E107" s="14">
        <v>0.70833333333333304</v>
      </c>
      <c r="F107" s="14">
        <v>0.79861111111111105</v>
      </c>
      <c r="G107" s="15">
        <f t="shared" si="1"/>
        <v>9.0277777777778012E-2</v>
      </c>
      <c r="H107" s="21" t="s">
        <v>292</v>
      </c>
      <c r="I107" t="s">
        <v>78</v>
      </c>
      <c r="J107">
        <v>172792</v>
      </c>
      <c r="L107">
        <v>1</v>
      </c>
      <c r="M107" t="s">
        <v>293</v>
      </c>
    </row>
    <row r="108" spans="1:13" ht="25.5" x14ac:dyDescent="0.2">
      <c r="A108" t="s">
        <v>52</v>
      </c>
      <c r="B108" t="s">
        <v>279</v>
      </c>
      <c r="C108" s="12" t="s">
        <v>76</v>
      </c>
      <c r="D108" s="13">
        <v>46098</v>
      </c>
      <c r="E108" s="14">
        <v>0.71527777777777801</v>
      </c>
      <c r="F108" s="14">
        <v>0.83750000000000002</v>
      </c>
      <c r="G108" s="15">
        <f t="shared" si="1"/>
        <v>0.12222222222222201</v>
      </c>
      <c r="H108" s="22" t="s">
        <v>294</v>
      </c>
      <c r="I108" t="s">
        <v>73</v>
      </c>
      <c r="J108">
        <v>172891</v>
      </c>
      <c r="L108">
        <v>2</v>
      </c>
      <c r="M108" t="s">
        <v>295</v>
      </c>
    </row>
    <row r="109" spans="1:13" x14ac:dyDescent="0.2">
      <c r="A109" t="s">
        <v>52</v>
      </c>
      <c r="B109" t="s">
        <v>279</v>
      </c>
      <c r="C109" s="12" t="s">
        <v>100</v>
      </c>
      <c r="D109" s="13">
        <v>46101</v>
      </c>
      <c r="E109" s="14">
        <v>0.70833333333333304</v>
      </c>
      <c r="F109" s="14">
        <v>0.76527777777777795</v>
      </c>
      <c r="G109" s="15">
        <f t="shared" si="1"/>
        <v>5.6944444444444908E-2</v>
      </c>
      <c r="H109" s="21" t="s">
        <v>296</v>
      </c>
      <c r="I109" t="s">
        <v>73</v>
      </c>
      <c r="J109">
        <v>173118</v>
      </c>
      <c r="L109">
        <v>2</v>
      </c>
      <c r="M109" t="s">
        <v>297</v>
      </c>
    </row>
    <row r="110" spans="1:13" ht="25.5" x14ac:dyDescent="0.2">
      <c r="A110" t="s">
        <v>52</v>
      </c>
      <c r="B110" t="s">
        <v>298</v>
      </c>
      <c r="C110" s="12" t="s">
        <v>8</v>
      </c>
      <c r="D110" s="13">
        <v>46102</v>
      </c>
      <c r="E110" s="14">
        <v>0.50694444444444398</v>
      </c>
      <c r="F110" s="14">
        <v>0.64166666666666705</v>
      </c>
      <c r="G110" s="15">
        <f t="shared" si="1"/>
        <v>0.13472222222222308</v>
      </c>
      <c r="H110" s="22" t="s">
        <v>299</v>
      </c>
      <c r="I110" t="s">
        <v>167</v>
      </c>
      <c r="J110">
        <v>173212</v>
      </c>
      <c r="L110">
        <v>5</v>
      </c>
      <c r="M110" t="s">
        <v>300</v>
      </c>
    </row>
    <row r="111" spans="1:13" x14ac:dyDescent="0.2">
      <c r="A111" t="s">
        <v>52</v>
      </c>
      <c r="B111" t="s">
        <v>298</v>
      </c>
      <c r="C111" s="12" t="s">
        <v>8</v>
      </c>
      <c r="D111" s="13">
        <v>46102</v>
      </c>
      <c r="E111" s="14">
        <v>0.64791666666666703</v>
      </c>
      <c r="F111" s="14">
        <v>0.7</v>
      </c>
      <c r="G111" s="15">
        <f t="shared" si="1"/>
        <v>5.2083333333332926E-2</v>
      </c>
      <c r="H111" s="21" t="s">
        <v>301</v>
      </c>
      <c r="I111" t="s">
        <v>78</v>
      </c>
      <c r="J111">
        <v>173212</v>
      </c>
      <c r="L111">
        <v>2</v>
      </c>
      <c r="M111" t="s">
        <v>300</v>
      </c>
    </row>
    <row r="112" spans="1:13" ht="25.5" x14ac:dyDescent="0.2">
      <c r="A112" t="s">
        <v>53</v>
      </c>
      <c r="B112" t="s">
        <v>302</v>
      </c>
      <c r="C112" s="12" t="s">
        <v>11</v>
      </c>
      <c r="D112" s="13">
        <v>46082</v>
      </c>
      <c r="E112" s="14">
        <v>0.52013888888888904</v>
      </c>
      <c r="F112" s="14">
        <v>0.62847222222222199</v>
      </c>
      <c r="G112" s="15">
        <f t="shared" si="1"/>
        <v>0.10833333333333295</v>
      </c>
      <c r="H112" s="22" t="s">
        <v>303</v>
      </c>
      <c r="I112" t="s">
        <v>78</v>
      </c>
      <c r="J112">
        <v>171751</v>
      </c>
      <c r="L112">
        <v>4</v>
      </c>
      <c r="M112" t="s">
        <v>304</v>
      </c>
    </row>
    <row r="113" spans="1:13" x14ac:dyDescent="0.2">
      <c r="A113" t="s">
        <v>53</v>
      </c>
      <c r="B113" t="s">
        <v>302</v>
      </c>
      <c r="C113" s="12" t="s">
        <v>11</v>
      </c>
      <c r="D113" s="13">
        <v>46082</v>
      </c>
      <c r="E113" s="14">
        <v>0.84722222222222199</v>
      </c>
      <c r="F113" s="14">
        <v>0.91805555555555596</v>
      </c>
      <c r="G113" s="15">
        <f t="shared" si="1"/>
        <v>7.083333333333397E-2</v>
      </c>
      <c r="H113" s="21" t="s">
        <v>305</v>
      </c>
      <c r="I113" t="s">
        <v>73</v>
      </c>
      <c r="J113">
        <v>171751</v>
      </c>
      <c r="L113">
        <v>3</v>
      </c>
      <c r="M113" t="s">
        <v>304</v>
      </c>
    </row>
    <row r="114" spans="1:13" x14ac:dyDescent="0.2">
      <c r="A114" t="s">
        <v>53</v>
      </c>
      <c r="B114" t="s">
        <v>306</v>
      </c>
      <c r="C114" s="12" t="s">
        <v>71</v>
      </c>
      <c r="D114" s="13">
        <v>46083</v>
      </c>
      <c r="E114" s="14">
        <v>0.70833333333333304</v>
      </c>
      <c r="F114" s="14">
        <v>0.75208333333333299</v>
      </c>
      <c r="G114" s="15">
        <f t="shared" si="1"/>
        <v>4.3749999999999956E-2</v>
      </c>
      <c r="H114" s="21" t="s">
        <v>307</v>
      </c>
      <c r="I114" t="s">
        <v>78</v>
      </c>
      <c r="J114">
        <v>171797</v>
      </c>
      <c r="L114">
        <v>2</v>
      </c>
      <c r="M114" t="s">
        <v>308</v>
      </c>
    </row>
    <row r="115" spans="1:13" x14ac:dyDescent="0.2">
      <c r="A115" t="s">
        <v>53</v>
      </c>
      <c r="B115" t="s">
        <v>309</v>
      </c>
      <c r="C115" s="12" t="s">
        <v>108</v>
      </c>
      <c r="D115" s="13">
        <v>46086</v>
      </c>
      <c r="E115" s="14">
        <v>0.70833333333333304</v>
      </c>
      <c r="F115" s="14">
        <v>0.75208333333333299</v>
      </c>
      <c r="G115" s="15">
        <f t="shared" si="1"/>
        <v>4.3749999999999956E-2</v>
      </c>
      <c r="H115" s="21" t="s">
        <v>310</v>
      </c>
      <c r="I115" t="s">
        <v>73</v>
      </c>
      <c r="J115">
        <v>172115</v>
      </c>
      <c r="L115">
        <v>2</v>
      </c>
      <c r="M115" t="s">
        <v>311</v>
      </c>
    </row>
    <row r="116" spans="1:13" ht="63.75" x14ac:dyDescent="0.2">
      <c r="A116" t="s">
        <v>53</v>
      </c>
      <c r="B116" t="s">
        <v>312</v>
      </c>
      <c r="C116" s="12" t="s">
        <v>8</v>
      </c>
      <c r="D116" s="13">
        <v>46088</v>
      </c>
      <c r="E116" s="14">
        <v>0.31527777777777799</v>
      </c>
      <c r="F116" s="14">
        <v>0.70972222222222203</v>
      </c>
      <c r="G116" s="15">
        <f t="shared" si="1"/>
        <v>0.39444444444444404</v>
      </c>
      <c r="H116" s="22" t="s">
        <v>313</v>
      </c>
      <c r="I116" t="s">
        <v>314</v>
      </c>
      <c r="J116">
        <v>172250</v>
      </c>
      <c r="L116">
        <v>7</v>
      </c>
      <c r="M116" t="s">
        <v>315</v>
      </c>
    </row>
    <row r="117" spans="1:13" ht="38.25" x14ac:dyDescent="0.2">
      <c r="A117" t="s">
        <v>53</v>
      </c>
      <c r="B117" t="s">
        <v>312</v>
      </c>
      <c r="C117" s="12" t="s">
        <v>11</v>
      </c>
      <c r="D117" s="13">
        <v>46089</v>
      </c>
      <c r="E117" s="14">
        <v>0.58263888888888904</v>
      </c>
      <c r="F117" s="14">
        <v>0.71111111111111103</v>
      </c>
      <c r="G117" s="15">
        <f t="shared" si="1"/>
        <v>0.12847222222222199</v>
      </c>
      <c r="H117" s="22" t="s">
        <v>316</v>
      </c>
      <c r="I117" t="s">
        <v>78</v>
      </c>
      <c r="J117">
        <v>172287</v>
      </c>
      <c r="L117">
        <v>4</v>
      </c>
      <c r="M117" t="s">
        <v>317</v>
      </c>
    </row>
    <row r="118" spans="1:13" x14ac:dyDescent="0.2">
      <c r="A118" t="s">
        <v>53</v>
      </c>
      <c r="B118" t="s">
        <v>318</v>
      </c>
      <c r="C118" s="12" t="s">
        <v>76</v>
      </c>
      <c r="D118" s="13">
        <v>46091</v>
      </c>
      <c r="E118" s="14">
        <v>0.70833333333333304</v>
      </c>
      <c r="F118" s="14">
        <v>0.80277777777777803</v>
      </c>
      <c r="G118" s="15">
        <f t="shared" si="1"/>
        <v>9.4444444444444997E-2</v>
      </c>
      <c r="H118" s="21" t="s">
        <v>319</v>
      </c>
      <c r="I118" t="s">
        <v>73</v>
      </c>
      <c r="J118">
        <v>172409</v>
      </c>
      <c r="L118">
        <v>3</v>
      </c>
      <c r="M118" t="s">
        <v>320</v>
      </c>
    </row>
    <row r="119" spans="1:13" x14ac:dyDescent="0.2">
      <c r="A119" t="s">
        <v>53</v>
      </c>
      <c r="B119" t="s">
        <v>321</v>
      </c>
      <c r="C119" s="12" t="s">
        <v>8</v>
      </c>
      <c r="D119" s="13">
        <v>46095</v>
      </c>
      <c r="E119" s="14">
        <v>4.4444444444444398E-2</v>
      </c>
      <c r="F119" s="14">
        <v>8.6805555555555594E-2</v>
      </c>
      <c r="G119" s="15">
        <f t="shared" si="1"/>
        <v>4.2361111111111197E-2</v>
      </c>
      <c r="H119" s="21" t="s">
        <v>322</v>
      </c>
      <c r="I119" t="s">
        <v>78</v>
      </c>
      <c r="J119">
        <v>172693</v>
      </c>
      <c r="L119">
        <v>3</v>
      </c>
      <c r="M119" t="s">
        <v>323</v>
      </c>
    </row>
    <row r="120" spans="1:13" ht="25.5" x14ac:dyDescent="0.2">
      <c r="A120" t="s">
        <v>53</v>
      </c>
      <c r="B120" t="s">
        <v>324</v>
      </c>
      <c r="C120" s="12" t="s">
        <v>8</v>
      </c>
      <c r="D120" s="13">
        <v>46095</v>
      </c>
      <c r="E120" s="14">
        <v>0.328472222222222</v>
      </c>
      <c r="F120" s="14">
        <v>0.73680555555555605</v>
      </c>
      <c r="G120" s="15">
        <f t="shared" si="1"/>
        <v>0.40833333333333405</v>
      </c>
      <c r="H120" s="22" t="s">
        <v>325</v>
      </c>
      <c r="I120" t="s">
        <v>78</v>
      </c>
      <c r="J120">
        <v>172693</v>
      </c>
      <c r="L120">
        <v>6</v>
      </c>
      <c r="M120" t="s">
        <v>323</v>
      </c>
    </row>
    <row r="121" spans="1:13" x14ac:dyDescent="0.2">
      <c r="A121" t="s">
        <v>53</v>
      </c>
      <c r="B121" t="s">
        <v>321</v>
      </c>
      <c r="C121" s="12" t="s">
        <v>11</v>
      </c>
      <c r="D121" s="13">
        <v>46096</v>
      </c>
      <c r="E121" s="14">
        <v>0.37152777777777801</v>
      </c>
      <c r="F121" s="14">
        <v>0.54166666666666696</v>
      </c>
      <c r="G121" s="15">
        <f t="shared" si="1"/>
        <v>0.17013888888888895</v>
      </c>
      <c r="H121" s="21" t="s">
        <v>326</v>
      </c>
      <c r="I121" t="s">
        <v>78</v>
      </c>
      <c r="J121">
        <v>172909</v>
      </c>
      <c r="L121">
        <v>7</v>
      </c>
      <c r="M121" t="s">
        <v>327</v>
      </c>
    </row>
    <row r="122" spans="1:13" ht="25.5" x14ac:dyDescent="0.2">
      <c r="A122" t="s">
        <v>53</v>
      </c>
      <c r="B122" t="s">
        <v>321</v>
      </c>
      <c r="C122" s="12" t="s">
        <v>11</v>
      </c>
      <c r="D122" s="13">
        <v>46096</v>
      </c>
      <c r="E122" s="14">
        <v>0.58333333333333304</v>
      </c>
      <c r="F122" s="14">
        <v>0.77083333333333304</v>
      </c>
      <c r="G122" s="15">
        <f t="shared" si="1"/>
        <v>0.1875</v>
      </c>
      <c r="H122" s="22" t="s">
        <v>328</v>
      </c>
      <c r="I122" t="s">
        <v>78</v>
      </c>
      <c r="J122">
        <v>172909</v>
      </c>
      <c r="L122">
        <v>7</v>
      </c>
      <c r="M122" t="s">
        <v>327</v>
      </c>
    </row>
    <row r="123" spans="1:13" x14ac:dyDescent="0.2">
      <c r="A123" t="s">
        <v>53</v>
      </c>
      <c r="B123" t="s">
        <v>329</v>
      </c>
      <c r="C123" s="12" t="s">
        <v>71</v>
      </c>
      <c r="D123" s="13">
        <v>46097</v>
      </c>
      <c r="E123" s="14">
        <v>0.81111111111111101</v>
      </c>
      <c r="F123" s="14">
        <v>0.83194444444444504</v>
      </c>
      <c r="G123" s="15">
        <f t="shared" si="1"/>
        <v>2.0833333333334036E-2</v>
      </c>
      <c r="H123" s="21" t="s">
        <v>330</v>
      </c>
      <c r="I123" t="s">
        <v>78</v>
      </c>
      <c r="J123">
        <v>172771</v>
      </c>
      <c r="L123">
        <v>3</v>
      </c>
      <c r="M123" t="s">
        <v>331</v>
      </c>
    </row>
    <row r="124" spans="1:13" x14ac:dyDescent="0.2">
      <c r="A124" t="s">
        <v>53</v>
      </c>
      <c r="B124" t="s">
        <v>332</v>
      </c>
      <c r="C124" s="12" t="s">
        <v>76</v>
      </c>
      <c r="D124" s="13">
        <v>46098</v>
      </c>
      <c r="E124" s="14">
        <v>0.70833333333333304</v>
      </c>
      <c r="F124" s="14">
        <v>0.75624999999999998</v>
      </c>
      <c r="G124" s="15">
        <f t="shared" si="1"/>
        <v>4.7916666666666941E-2</v>
      </c>
      <c r="H124" s="22" t="s">
        <v>333</v>
      </c>
      <c r="I124" t="s">
        <v>78</v>
      </c>
      <c r="J124">
        <v>172875</v>
      </c>
      <c r="L124">
        <v>2</v>
      </c>
      <c r="M124" t="s">
        <v>334</v>
      </c>
    </row>
    <row r="125" spans="1:13" ht="25.5" x14ac:dyDescent="0.2">
      <c r="A125" t="s">
        <v>53</v>
      </c>
      <c r="B125" t="s">
        <v>329</v>
      </c>
      <c r="C125" s="12" t="s">
        <v>108</v>
      </c>
      <c r="D125" s="13">
        <v>46100</v>
      </c>
      <c r="E125" s="14">
        <v>0.70833333333333304</v>
      </c>
      <c r="F125" s="14">
        <v>0.81458333333333299</v>
      </c>
      <c r="G125" s="15">
        <f t="shared" si="1"/>
        <v>0.10624999999999996</v>
      </c>
      <c r="H125" s="22" t="s">
        <v>335</v>
      </c>
      <c r="I125" t="s">
        <v>78</v>
      </c>
      <c r="J125">
        <v>173041</v>
      </c>
      <c r="L125">
        <v>2</v>
      </c>
      <c r="M125" t="s">
        <v>336</v>
      </c>
    </row>
    <row r="126" spans="1:13" x14ac:dyDescent="0.2">
      <c r="A126" t="s">
        <v>53</v>
      </c>
      <c r="B126" t="s">
        <v>329</v>
      </c>
      <c r="C126" s="12" t="s">
        <v>100</v>
      </c>
      <c r="D126" s="13">
        <v>46101</v>
      </c>
      <c r="E126" s="14">
        <v>0.28611111111111098</v>
      </c>
      <c r="F126" s="14">
        <v>0.33333333333333298</v>
      </c>
      <c r="G126" s="15">
        <f t="shared" si="1"/>
        <v>4.7222222222221999E-2</v>
      </c>
      <c r="H126" s="21" t="s">
        <v>337</v>
      </c>
      <c r="I126" t="s">
        <v>78</v>
      </c>
      <c r="J126">
        <v>173109</v>
      </c>
      <c r="L126">
        <v>1</v>
      </c>
      <c r="M126" t="s">
        <v>338</v>
      </c>
    </row>
    <row r="127" spans="1:13" x14ac:dyDescent="0.2">
      <c r="A127" t="s">
        <v>53</v>
      </c>
      <c r="B127" t="s">
        <v>312</v>
      </c>
      <c r="C127" s="12" t="s">
        <v>100</v>
      </c>
      <c r="D127" s="13">
        <v>46101</v>
      </c>
      <c r="E127" s="14">
        <v>0.82847222222222205</v>
      </c>
      <c r="F127" s="14">
        <v>0.85902777777777795</v>
      </c>
      <c r="G127" s="15">
        <f t="shared" si="1"/>
        <v>3.0555555555555891E-2</v>
      </c>
      <c r="H127" s="22" t="s">
        <v>339</v>
      </c>
      <c r="I127" t="s">
        <v>78</v>
      </c>
      <c r="J127">
        <v>173109</v>
      </c>
      <c r="L127">
        <v>3</v>
      </c>
      <c r="M127" t="s">
        <v>338</v>
      </c>
    </row>
    <row r="128" spans="1:13" x14ac:dyDescent="0.2">
      <c r="A128" t="s">
        <v>55</v>
      </c>
      <c r="B128" t="s">
        <v>340</v>
      </c>
      <c r="C128" s="12" t="s">
        <v>11</v>
      </c>
      <c r="D128" s="13">
        <v>46082</v>
      </c>
      <c r="E128" s="14">
        <v>0.51875000000000004</v>
      </c>
      <c r="F128" s="14">
        <v>0.60277777777777797</v>
      </c>
      <c r="G128" s="15">
        <f t="shared" si="1"/>
        <v>8.4027777777777923E-2</v>
      </c>
      <c r="H128" s="21" t="s">
        <v>341</v>
      </c>
      <c r="I128" t="s">
        <v>78</v>
      </c>
      <c r="J128">
        <v>171753</v>
      </c>
      <c r="L128">
        <v>3</v>
      </c>
      <c r="M128" t="s">
        <v>342</v>
      </c>
    </row>
    <row r="129" spans="1:13" x14ac:dyDescent="0.2">
      <c r="A129" t="s">
        <v>55</v>
      </c>
      <c r="B129" t="s">
        <v>340</v>
      </c>
      <c r="C129" s="12" t="s">
        <v>11</v>
      </c>
      <c r="D129" s="13">
        <v>46082</v>
      </c>
      <c r="E129" s="14">
        <v>0.66597222222222197</v>
      </c>
      <c r="F129" s="14">
        <v>0.79166666666666696</v>
      </c>
      <c r="G129" s="15">
        <f t="shared" si="1"/>
        <v>0.125694444444445</v>
      </c>
      <c r="H129" s="22" t="s">
        <v>343</v>
      </c>
      <c r="I129" t="s">
        <v>78</v>
      </c>
      <c r="J129">
        <v>171753</v>
      </c>
      <c r="L129">
        <v>3</v>
      </c>
      <c r="M129" t="s">
        <v>342</v>
      </c>
    </row>
    <row r="130" spans="1:13" ht="25.5" x14ac:dyDescent="0.2">
      <c r="A130" t="s">
        <v>55</v>
      </c>
      <c r="B130" t="s">
        <v>340</v>
      </c>
      <c r="C130" s="12" t="s">
        <v>11</v>
      </c>
      <c r="D130" s="13">
        <v>46082</v>
      </c>
      <c r="E130" s="14">
        <v>0.84513888888888899</v>
      </c>
      <c r="F130" s="14">
        <v>0.94791666666666696</v>
      </c>
      <c r="G130" s="15">
        <f t="shared" ref="G130:G193" si="2">F130-E130</f>
        <v>0.10277777777777797</v>
      </c>
      <c r="H130" s="22" t="s">
        <v>344</v>
      </c>
      <c r="I130" t="s">
        <v>78</v>
      </c>
      <c r="J130">
        <v>171753</v>
      </c>
      <c r="L130">
        <v>1</v>
      </c>
      <c r="M130" t="s">
        <v>342</v>
      </c>
    </row>
    <row r="131" spans="1:13" ht="25.5" x14ac:dyDescent="0.2">
      <c r="A131" t="s">
        <v>55</v>
      </c>
      <c r="B131" t="s">
        <v>345</v>
      </c>
      <c r="C131" s="12" t="s">
        <v>71</v>
      </c>
      <c r="D131" s="13">
        <v>46083</v>
      </c>
      <c r="E131" s="14">
        <v>0.70833333333333304</v>
      </c>
      <c r="F131" s="14">
        <v>0.75347222222222199</v>
      </c>
      <c r="G131" s="15">
        <f t="shared" si="2"/>
        <v>4.5138888888888951E-2</v>
      </c>
      <c r="H131" s="22" t="s">
        <v>346</v>
      </c>
      <c r="I131" t="s">
        <v>78</v>
      </c>
      <c r="J131">
        <v>171814</v>
      </c>
      <c r="L131">
        <v>2</v>
      </c>
      <c r="M131" t="s">
        <v>347</v>
      </c>
    </row>
    <row r="132" spans="1:13" ht="25.5" x14ac:dyDescent="0.2">
      <c r="A132" t="s">
        <v>55</v>
      </c>
      <c r="B132" t="s">
        <v>345</v>
      </c>
      <c r="C132" s="12" t="s">
        <v>76</v>
      </c>
      <c r="D132" s="13">
        <v>46084</v>
      </c>
      <c r="E132" s="14">
        <v>0.70833333333333304</v>
      </c>
      <c r="F132" s="14">
        <v>0.81527777777777799</v>
      </c>
      <c r="G132" s="15">
        <f t="shared" si="2"/>
        <v>0.10694444444444495</v>
      </c>
      <c r="H132" s="22" t="s">
        <v>348</v>
      </c>
      <c r="I132" t="s">
        <v>78</v>
      </c>
      <c r="J132">
        <v>171926</v>
      </c>
      <c r="L132">
        <v>3</v>
      </c>
      <c r="M132" t="s">
        <v>349</v>
      </c>
    </row>
    <row r="133" spans="1:13" x14ac:dyDescent="0.2">
      <c r="A133" t="s">
        <v>55</v>
      </c>
      <c r="B133" t="s">
        <v>350</v>
      </c>
      <c r="C133" s="12" t="s">
        <v>81</v>
      </c>
      <c r="D133" s="13">
        <v>46085</v>
      </c>
      <c r="E133" s="14">
        <v>0.813194444444444</v>
      </c>
      <c r="F133" s="14">
        <v>0.86875000000000002</v>
      </c>
      <c r="G133" s="15">
        <f t="shared" si="2"/>
        <v>5.5555555555556024E-2</v>
      </c>
      <c r="H133" s="21" t="s">
        <v>351</v>
      </c>
      <c r="I133" t="s">
        <v>78</v>
      </c>
      <c r="J133">
        <v>172010</v>
      </c>
      <c r="L133">
        <v>3</v>
      </c>
      <c r="M133" t="s">
        <v>352</v>
      </c>
    </row>
    <row r="134" spans="1:13" x14ac:dyDescent="0.2">
      <c r="A134" t="s">
        <v>55</v>
      </c>
      <c r="B134" t="s">
        <v>345</v>
      </c>
      <c r="C134" s="12" t="s">
        <v>108</v>
      </c>
      <c r="D134" s="13">
        <v>46086</v>
      </c>
      <c r="E134" s="14">
        <v>0.70833333333333304</v>
      </c>
      <c r="F134" s="14">
        <v>0.75208333333333299</v>
      </c>
      <c r="G134" s="15">
        <f t="shared" si="2"/>
        <v>4.3749999999999956E-2</v>
      </c>
      <c r="H134" s="21" t="s">
        <v>353</v>
      </c>
      <c r="I134" t="s">
        <v>78</v>
      </c>
      <c r="J134">
        <v>172104</v>
      </c>
      <c r="L134">
        <v>2</v>
      </c>
      <c r="M134" t="s">
        <v>354</v>
      </c>
    </row>
    <row r="135" spans="1:13" x14ac:dyDescent="0.2">
      <c r="A135" t="s">
        <v>55</v>
      </c>
      <c r="B135" t="s">
        <v>355</v>
      </c>
      <c r="C135" s="12" t="s">
        <v>100</v>
      </c>
      <c r="D135" s="13">
        <v>46087</v>
      </c>
      <c r="E135" s="14">
        <v>0.80486111111111103</v>
      </c>
      <c r="F135" s="14">
        <v>0.86041666666666705</v>
      </c>
      <c r="G135" s="15">
        <f t="shared" si="2"/>
        <v>5.5555555555556024E-2</v>
      </c>
      <c r="H135" s="21" t="s">
        <v>356</v>
      </c>
      <c r="I135" t="s">
        <v>78</v>
      </c>
      <c r="J135">
        <v>172194</v>
      </c>
      <c r="L135">
        <v>3</v>
      </c>
      <c r="M135" t="s">
        <v>357</v>
      </c>
    </row>
    <row r="136" spans="1:13" ht="38.25" x14ac:dyDescent="0.2">
      <c r="A136" t="s">
        <v>55</v>
      </c>
      <c r="B136" t="s">
        <v>355</v>
      </c>
      <c r="C136" s="12" t="s">
        <v>8</v>
      </c>
      <c r="D136" s="13">
        <v>46088</v>
      </c>
      <c r="E136" s="14">
        <v>0.47361111111111098</v>
      </c>
      <c r="F136" s="14">
        <v>0.63958333333333295</v>
      </c>
      <c r="G136" s="15">
        <f t="shared" si="2"/>
        <v>0.16597222222222197</v>
      </c>
      <c r="H136" s="22" t="s">
        <v>358</v>
      </c>
      <c r="I136" t="s">
        <v>73</v>
      </c>
      <c r="J136">
        <v>172256</v>
      </c>
      <c r="L136">
        <v>6</v>
      </c>
      <c r="M136" t="s">
        <v>359</v>
      </c>
    </row>
    <row r="137" spans="1:13" x14ac:dyDescent="0.2">
      <c r="A137" t="s">
        <v>55</v>
      </c>
      <c r="B137" t="s">
        <v>355</v>
      </c>
      <c r="C137" s="12" t="s">
        <v>11</v>
      </c>
      <c r="D137" s="13">
        <v>46089</v>
      </c>
      <c r="E137" s="14">
        <v>0.72638888888888897</v>
      </c>
      <c r="F137" s="14">
        <v>0.81666666666666698</v>
      </c>
      <c r="G137" s="15">
        <f t="shared" si="2"/>
        <v>9.0277777777778012E-2</v>
      </c>
      <c r="H137" s="21" t="s">
        <v>360</v>
      </c>
      <c r="I137" t="s">
        <v>78</v>
      </c>
      <c r="J137">
        <v>172301</v>
      </c>
      <c r="L137">
        <v>3</v>
      </c>
      <c r="M137" t="s">
        <v>361</v>
      </c>
    </row>
    <row r="138" spans="1:13" x14ac:dyDescent="0.2">
      <c r="A138" t="s">
        <v>55</v>
      </c>
      <c r="B138" t="s">
        <v>345</v>
      </c>
      <c r="C138" s="12" t="s">
        <v>108</v>
      </c>
      <c r="D138" s="13">
        <v>46093</v>
      </c>
      <c r="E138" s="14">
        <v>0.71875</v>
      </c>
      <c r="F138" s="14">
        <v>0.80972222222222201</v>
      </c>
      <c r="G138" s="15">
        <f t="shared" si="2"/>
        <v>9.097222222222201E-2</v>
      </c>
      <c r="H138" s="21" t="s">
        <v>362</v>
      </c>
      <c r="I138" t="s">
        <v>78</v>
      </c>
      <c r="J138">
        <v>172569</v>
      </c>
      <c r="L138">
        <v>3</v>
      </c>
      <c r="M138" t="s">
        <v>363</v>
      </c>
    </row>
    <row r="139" spans="1:13" ht="38.25" x14ac:dyDescent="0.2">
      <c r="A139" t="s">
        <v>55</v>
      </c>
      <c r="B139" t="s">
        <v>364</v>
      </c>
      <c r="C139" s="12" t="s">
        <v>8</v>
      </c>
      <c r="D139" s="13">
        <v>46095</v>
      </c>
      <c r="E139" s="14">
        <v>0.26874999999999999</v>
      </c>
      <c r="F139" s="14">
        <v>0.54166666666666696</v>
      </c>
      <c r="G139" s="15">
        <f t="shared" si="2"/>
        <v>0.27291666666666697</v>
      </c>
      <c r="H139" s="22" t="s">
        <v>365</v>
      </c>
      <c r="I139" t="s">
        <v>78</v>
      </c>
      <c r="J139">
        <v>172778</v>
      </c>
      <c r="L139">
        <v>9</v>
      </c>
      <c r="M139" t="s">
        <v>366</v>
      </c>
    </row>
    <row r="140" spans="1:13" x14ac:dyDescent="0.2">
      <c r="A140" t="s">
        <v>55</v>
      </c>
      <c r="B140" t="s">
        <v>364</v>
      </c>
      <c r="C140" s="12" t="s">
        <v>8</v>
      </c>
      <c r="D140" s="13">
        <v>46095</v>
      </c>
      <c r="E140" s="14">
        <v>0.58333333333333304</v>
      </c>
      <c r="F140" s="14">
        <v>0.67152777777777795</v>
      </c>
      <c r="G140" s="15">
        <f t="shared" si="2"/>
        <v>8.8194444444444908E-2</v>
      </c>
      <c r="H140" s="22" t="s">
        <v>367</v>
      </c>
      <c r="I140" t="s">
        <v>78</v>
      </c>
      <c r="J140">
        <v>172778</v>
      </c>
      <c r="L140">
        <v>9</v>
      </c>
      <c r="M140" t="s">
        <v>366</v>
      </c>
    </row>
    <row r="141" spans="1:13" x14ac:dyDescent="0.2">
      <c r="A141" t="s">
        <v>55</v>
      </c>
      <c r="B141" t="s">
        <v>364</v>
      </c>
      <c r="C141" s="12" t="s">
        <v>8</v>
      </c>
      <c r="D141" s="13">
        <v>46095</v>
      </c>
      <c r="E141" s="14">
        <v>0.76597222222222205</v>
      </c>
      <c r="F141" s="14">
        <v>0.81041666666666701</v>
      </c>
      <c r="G141" s="15">
        <f t="shared" si="2"/>
        <v>4.4444444444444953E-2</v>
      </c>
      <c r="H141" s="21" t="s">
        <v>368</v>
      </c>
      <c r="I141" t="s">
        <v>78</v>
      </c>
      <c r="J141">
        <v>172778</v>
      </c>
      <c r="L141">
        <v>3</v>
      </c>
      <c r="M141" t="s">
        <v>366</v>
      </c>
    </row>
    <row r="142" spans="1:13" ht="25.5" x14ac:dyDescent="0.2">
      <c r="A142" t="s">
        <v>55</v>
      </c>
      <c r="B142" t="s">
        <v>364</v>
      </c>
      <c r="C142" s="12" t="s">
        <v>11</v>
      </c>
      <c r="D142" s="13">
        <v>46096</v>
      </c>
      <c r="E142" s="14">
        <v>0.33680555555555602</v>
      </c>
      <c r="F142" s="14">
        <v>0.5</v>
      </c>
      <c r="G142" s="15">
        <f t="shared" si="2"/>
        <v>0.16319444444444398</v>
      </c>
      <c r="H142" s="22" t="s">
        <v>369</v>
      </c>
      <c r="I142" t="s">
        <v>78</v>
      </c>
      <c r="J142">
        <v>172835</v>
      </c>
      <c r="L142">
        <v>5</v>
      </c>
      <c r="M142" t="s">
        <v>370</v>
      </c>
    </row>
    <row r="143" spans="1:13" ht="25.5" x14ac:dyDescent="0.2">
      <c r="A143" t="s">
        <v>55</v>
      </c>
      <c r="B143" t="s">
        <v>364</v>
      </c>
      <c r="C143" s="12" t="s">
        <v>11</v>
      </c>
      <c r="D143" s="13">
        <v>46096</v>
      </c>
      <c r="E143" s="14">
        <v>0.54166666666666696</v>
      </c>
      <c r="F143" s="14">
        <v>0.64791666666666703</v>
      </c>
      <c r="G143" s="15">
        <f t="shared" si="2"/>
        <v>0.10625000000000007</v>
      </c>
      <c r="H143" s="22" t="s">
        <v>371</v>
      </c>
      <c r="I143" t="s">
        <v>78</v>
      </c>
      <c r="J143">
        <v>172835</v>
      </c>
      <c r="L143">
        <v>5</v>
      </c>
      <c r="M143" t="s">
        <v>370</v>
      </c>
    </row>
    <row r="144" spans="1:13" x14ac:dyDescent="0.2">
      <c r="A144" t="s">
        <v>55</v>
      </c>
      <c r="B144" t="s">
        <v>372</v>
      </c>
      <c r="C144" s="12" t="s">
        <v>81</v>
      </c>
      <c r="D144" s="13">
        <v>46099</v>
      </c>
      <c r="E144" s="14">
        <v>0.30416666666666697</v>
      </c>
      <c r="F144" s="14">
        <v>0.33333333333333298</v>
      </c>
      <c r="G144" s="15">
        <f t="shared" si="2"/>
        <v>2.9166666666666008E-2</v>
      </c>
      <c r="H144" s="21" t="s">
        <v>373</v>
      </c>
      <c r="I144" t="s">
        <v>78</v>
      </c>
      <c r="J144">
        <v>172943</v>
      </c>
      <c r="L144">
        <v>2</v>
      </c>
      <c r="M144" t="s">
        <v>374</v>
      </c>
    </row>
    <row r="145" spans="1:13" x14ac:dyDescent="0.2">
      <c r="A145" t="s">
        <v>55</v>
      </c>
      <c r="B145" t="s">
        <v>375</v>
      </c>
      <c r="C145" s="12" t="s">
        <v>108</v>
      </c>
      <c r="D145" s="13">
        <v>46099</v>
      </c>
      <c r="E145" s="14">
        <v>0.82152777777777797</v>
      </c>
      <c r="F145" s="14">
        <v>0.89583333333333304</v>
      </c>
      <c r="G145" s="15">
        <f t="shared" si="2"/>
        <v>7.430555555555507E-2</v>
      </c>
      <c r="H145" s="21" t="s">
        <v>376</v>
      </c>
      <c r="I145" t="s">
        <v>78</v>
      </c>
      <c r="J145">
        <v>173202</v>
      </c>
      <c r="L145">
        <v>3</v>
      </c>
      <c r="M145" t="s">
        <v>377</v>
      </c>
    </row>
    <row r="146" spans="1:13" x14ac:dyDescent="0.2">
      <c r="A146" t="s">
        <v>55</v>
      </c>
      <c r="B146" t="s">
        <v>375</v>
      </c>
      <c r="C146" s="12" t="s">
        <v>108</v>
      </c>
      <c r="D146" s="13">
        <v>46100</v>
      </c>
      <c r="E146" s="14">
        <v>0.83125000000000004</v>
      </c>
      <c r="F146" s="14">
        <v>0.88958333333333295</v>
      </c>
      <c r="G146" s="15">
        <f t="shared" si="2"/>
        <v>5.8333333333332904E-2</v>
      </c>
      <c r="H146" s="16" t="s">
        <v>378</v>
      </c>
      <c r="I146" t="s">
        <v>78</v>
      </c>
      <c r="J146">
        <v>173203</v>
      </c>
      <c r="L146">
        <v>3</v>
      </c>
      <c r="M146" t="s">
        <v>379</v>
      </c>
    </row>
    <row r="147" spans="1:13" ht="25.5" x14ac:dyDescent="0.2">
      <c r="A147" t="s">
        <v>55</v>
      </c>
      <c r="B147" t="s">
        <v>345</v>
      </c>
      <c r="C147" s="12" t="s">
        <v>100</v>
      </c>
      <c r="D147" s="13">
        <v>46101</v>
      </c>
      <c r="E147" s="14">
        <v>0.29166666666666702</v>
      </c>
      <c r="F147" s="14">
        <v>0.33333333333333298</v>
      </c>
      <c r="G147" s="15">
        <f t="shared" si="2"/>
        <v>4.1666666666665964E-2</v>
      </c>
      <c r="H147" s="22" t="s">
        <v>380</v>
      </c>
      <c r="I147" t="s">
        <v>78</v>
      </c>
      <c r="J147">
        <v>173104</v>
      </c>
      <c r="L147">
        <v>3</v>
      </c>
      <c r="M147" t="s">
        <v>381</v>
      </c>
    </row>
    <row r="148" spans="1:13" x14ac:dyDescent="0.2">
      <c r="A148" t="s">
        <v>55</v>
      </c>
      <c r="B148" t="s">
        <v>345</v>
      </c>
      <c r="C148" s="12" t="s">
        <v>100</v>
      </c>
      <c r="D148" s="13">
        <v>46101</v>
      </c>
      <c r="E148" s="14">
        <v>0.70833333333333304</v>
      </c>
      <c r="F148" s="14">
        <v>0.79583333333333295</v>
      </c>
      <c r="G148" s="15">
        <f t="shared" si="2"/>
        <v>8.7499999999999911E-2</v>
      </c>
      <c r="H148" s="22" t="s">
        <v>382</v>
      </c>
      <c r="I148" t="s">
        <v>78</v>
      </c>
      <c r="J148">
        <v>173104</v>
      </c>
      <c r="L148">
        <v>3</v>
      </c>
      <c r="M148" t="s">
        <v>381</v>
      </c>
    </row>
    <row r="149" spans="1:13" x14ac:dyDescent="0.2">
      <c r="A149" t="s">
        <v>55</v>
      </c>
      <c r="B149" t="s">
        <v>355</v>
      </c>
      <c r="C149" s="12" t="s">
        <v>8</v>
      </c>
      <c r="D149" s="13">
        <v>46102</v>
      </c>
      <c r="E149" s="14">
        <v>4.9305555555555602E-2</v>
      </c>
      <c r="F149" s="14">
        <v>0.115972222222222</v>
      </c>
      <c r="G149" s="15">
        <f t="shared" si="2"/>
        <v>6.6666666666666402E-2</v>
      </c>
      <c r="H149" s="21" t="s">
        <v>383</v>
      </c>
      <c r="I149" t="s">
        <v>78</v>
      </c>
      <c r="J149">
        <v>173235</v>
      </c>
      <c r="L149">
        <v>6</v>
      </c>
      <c r="M149" t="s">
        <v>384</v>
      </c>
    </row>
    <row r="150" spans="1:13" ht="25.5" x14ac:dyDescent="0.2">
      <c r="A150" t="s">
        <v>55</v>
      </c>
      <c r="B150" t="s">
        <v>350</v>
      </c>
      <c r="C150" s="12" t="s">
        <v>8</v>
      </c>
      <c r="D150" s="13">
        <v>46102</v>
      </c>
      <c r="E150" s="14">
        <v>0.36736111111111103</v>
      </c>
      <c r="F150" s="14">
        <v>0.52500000000000002</v>
      </c>
      <c r="G150" s="15">
        <f t="shared" si="2"/>
        <v>0.15763888888888899</v>
      </c>
      <c r="H150" s="22" t="s">
        <v>385</v>
      </c>
      <c r="I150" t="s">
        <v>78</v>
      </c>
      <c r="J150">
        <v>173235</v>
      </c>
      <c r="L150">
        <v>5</v>
      </c>
      <c r="M150" t="s">
        <v>384</v>
      </c>
    </row>
    <row r="151" spans="1:13" ht="25.5" x14ac:dyDescent="0.2">
      <c r="A151" t="s">
        <v>55</v>
      </c>
      <c r="B151" t="s">
        <v>375</v>
      </c>
      <c r="C151" s="12" t="s">
        <v>8</v>
      </c>
      <c r="D151" s="13">
        <v>46102</v>
      </c>
      <c r="E151" s="14">
        <v>0.64236111111111105</v>
      </c>
      <c r="F151" s="14">
        <v>0.77291666666666703</v>
      </c>
      <c r="G151" s="15">
        <f t="shared" si="2"/>
        <v>0.13055555555555598</v>
      </c>
      <c r="H151" s="22" t="s">
        <v>386</v>
      </c>
      <c r="I151" t="s">
        <v>78</v>
      </c>
      <c r="J151">
        <v>173204</v>
      </c>
      <c r="L151">
        <v>3</v>
      </c>
      <c r="M151" t="s">
        <v>387</v>
      </c>
    </row>
    <row r="152" spans="1:13" x14ac:dyDescent="0.2">
      <c r="A152" t="s">
        <v>55</v>
      </c>
      <c r="B152" t="s">
        <v>375</v>
      </c>
      <c r="C152" s="12" t="s">
        <v>8</v>
      </c>
      <c r="D152" s="13">
        <v>46102</v>
      </c>
      <c r="E152" s="14">
        <v>0.80763888888888902</v>
      </c>
      <c r="F152" s="14">
        <v>0.84930555555555598</v>
      </c>
      <c r="G152" s="15">
        <f t="shared" si="2"/>
        <v>4.1666666666666963E-2</v>
      </c>
      <c r="H152" s="21" t="s">
        <v>388</v>
      </c>
      <c r="I152" t="s">
        <v>73</v>
      </c>
      <c r="J152">
        <v>173204</v>
      </c>
      <c r="L152">
        <v>3</v>
      </c>
      <c r="M152" t="s">
        <v>387</v>
      </c>
    </row>
    <row r="153" spans="1:13" ht="25.5" x14ac:dyDescent="0.2">
      <c r="A153" t="s">
        <v>55</v>
      </c>
      <c r="B153" t="s">
        <v>375</v>
      </c>
      <c r="C153" s="12" t="s">
        <v>8</v>
      </c>
      <c r="D153" s="13">
        <v>46102</v>
      </c>
      <c r="E153" s="14">
        <v>0.87361111111111101</v>
      </c>
      <c r="F153" s="14">
        <v>0.9375</v>
      </c>
      <c r="G153" s="15">
        <f t="shared" si="2"/>
        <v>6.3888888888888995E-2</v>
      </c>
      <c r="H153" s="22" t="s">
        <v>389</v>
      </c>
      <c r="I153" t="s">
        <v>78</v>
      </c>
      <c r="J153">
        <v>173204</v>
      </c>
      <c r="L153">
        <v>3</v>
      </c>
      <c r="M153" t="s">
        <v>387</v>
      </c>
    </row>
    <row r="154" spans="1:13" x14ac:dyDescent="0.2">
      <c r="A154" t="s">
        <v>55</v>
      </c>
      <c r="B154" t="s">
        <v>375</v>
      </c>
      <c r="C154" s="12" t="s">
        <v>11</v>
      </c>
      <c r="D154" s="13">
        <v>46103</v>
      </c>
      <c r="E154" s="14">
        <v>0.39374999999999999</v>
      </c>
      <c r="F154" s="14">
        <v>0.5</v>
      </c>
      <c r="G154" s="15">
        <f t="shared" si="2"/>
        <v>0.10625000000000001</v>
      </c>
      <c r="H154" s="21" t="s">
        <v>390</v>
      </c>
      <c r="I154" t="s">
        <v>78</v>
      </c>
      <c r="J154">
        <v>173325</v>
      </c>
      <c r="L154">
        <v>3</v>
      </c>
      <c r="M154" t="s">
        <v>391</v>
      </c>
    </row>
    <row r="155" spans="1:13" x14ac:dyDescent="0.2">
      <c r="A155" t="s">
        <v>55</v>
      </c>
      <c r="B155" t="s">
        <v>375</v>
      </c>
      <c r="C155" s="12" t="s">
        <v>11</v>
      </c>
      <c r="D155" s="13">
        <v>46103</v>
      </c>
      <c r="E155" s="14">
        <v>0.77847222222222201</v>
      </c>
      <c r="F155" s="14">
        <v>0.86805555555555602</v>
      </c>
      <c r="G155" s="15">
        <f t="shared" si="2"/>
        <v>8.9583333333334014E-2</v>
      </c>
      <c r="H155" s="21" t="s">
        <v>392</v>
      </c>
      <c r="I155" t="s">
        <v>78</v>
      </c>
      <c r="J155">
        <v>173325</v>
      </c>
      <c r="L155">
        <v>3</v>
      </c>
      <c r="M155" t="s">
        <v>391</v>
      </c>
    </row>
    <row r="156" spans="1:13" x14ac:dyDescent="0.2">
      <c r="A156" t="s">
        <v>45</v>
      </c>
      <c r="B156" t="s">
        <v>393</v>
      </c>
      <c r="C156" s="12" t="s">
        <v>81</v>
      </c>
      <c r="D156" s="13">
        <v>46085</v>
      </c>
      <c r="E156" s="14">
        <v>0.70833333333333304</v>
      </c>
      <c r="F156" s="14">
        <v>0.77083333333333304</v>
      </c>
      <c r="G156" s="15">
        <f t="shared" si="2"/>
        <v>6.25E-2</v>
      </c>
      <c r="H156" s="21" t="s">
        <v>394</v>
      </c>
      <c r="I156" t="s">
        <v>73</v>
      </c>
      <c r="J156">
        <v>172001</v>
      </c>
      <c r="L156">
        <v>2</v>
      </c>
      <c r="M156" t="s">
        <v>395</v>
      </c>
    </row>
    <row r="157" spans="1:13" x14ac:dyDescent="0.2">
      <c r="A157" t="s">
        <v>45</v>
      </c>
      <c r="B157" t="s">
        <v>396</v>
      </c>
      <c r="C157" s="12" t="s">
        <v>108</v>
      </c>
      <c r="D157" s="13">
        <v>46086</v>
      </c>
      <c r="E157" s="14">
        <v>0.70833333333333304</v>
      </c>
      <c r="F157" s="14">
        <v>0.75833333333333297</v>
      </c>
      <c r="G157" s="15">
        <f t="shared" si="2"/>
        <v>4.9999999999999933E-2</v>
      </c>
      <c r="H157" s="21" t="s">
        <v>397</v>
      </c>
      <c r="I157" t="s">
        <v>78</v>
      </c>
      <c r="J157">
        <v>172125</v>
      </c>
      <c r="L157">
        <v>1</v>
      </c>
      <c r="M157" t="s">
        <v>398</v>
      </c>
    </row>
    <row r="158" spans="1:13" ht="38.25" x14ac:dyDescent="0.2">
      <c r="A158" t="s">
        <v>45</v>
      </c>
      <c r="B158" t="s">
        <v>399</v>
      </c>
      <c r="C158" s="12" t="s">
        <v>100</v>
      </c>
      <c r="D158" s="13">
        <v>46087</v>
      </c>
      <c r="E158" s="14">
        <v>0.70833333333333304</v>
      </c>
      <c r="F158" s="14">
        <v>0.89236111111111105</v>
      </c>
      <c r="G158" s="15">
        <f t="shared" si="2"/>
        <v>0.18402777777777801</v>
      </c>
      <c r="H158" s="22" t="s">
        <v>400</v>
      </c>
      <c r="I158" t="s">
        <v>78</v>
      </c>
      <c r="J158">
        <v>172186</v>
      </c>
      <c r="L158">
        <v>8</v>
      </c>
      <c r="M158" t="s">
        <v>401</v>
      </c>
    </row>
    <row r="159" spans="1:13" x14ac:dyDescent="0.2">
      <c r="A159" t="s">
        <v>45</v>
      </c>
      <c r="B159" t="s">
        <v>402</v>
      </c>
      <c r="C159" s="12" t="s">
        <v>108</v>
      </c>
      <c r="D159" s="13">
        <v>46093</v>
      </c>
      <c r="E159" s="14">
        <v>0.70833333333333304</v>
      </c>
      <c r="F159" s="14">
        <v>0.76111111111111096</v>
      </c>
      <c r="G159" s="15">
        <f t="shared" si="2"/>
        <v>5.2777777777777923E-2</v>
      </c>
      <c r="H159" s="21" t="s">
        <v>403</v>
      </c>
      <c r="I159" t="s">
        <v>73</v>
      </c>
      <c r="J159">
        <v>172600</v>
      </c>
      <c r="L159">
        <v>3</v>
      </c>
      <c r="M159" t="s">
        <v>404</v>
      </c>
    </row>
    <row r="160" spans="1:13" ht="25.5" x14ac:dyDescent="0.2">
      <c r="A160" t="s">
        <v>50</v>
      </c>
      <c r="B160" t="s">
        <v>405</v>
      </c>
      <c r="C160" s="12" t="s">
        <v>71</v>
      </c>
      <c r="D160" s="13">
        <v>46083</v>
      </c>
      <c r="E160" s="14">
        <v>0.71180555555555602</v>
      </c>
      <c r="F160" s="14">
        <v>0.83333333333333304</v>
      </c>
      <c r="G160" s="15">
        <f t="shared" si="2"/>
        <v>0.12152777777777701</v>
      </c>
      <c r="H160" s="22" t="s">
        <v>406</v>
      </c>
      <c r="I160" t="s">
        <v>73</v>
      </c>
      <c r="J160">
        <v>171811</v>
      </c>
      <c r="L160">
        <v>4</v>
      </c>
      <c r="M160" t="s">
        <v>407</v>
      </c>
    </row>
    <row r="161" spans="1:13" x14ac:dyDescent="0.2">
      <c r="A161" t="s">
        <v>50</v>
      </c>
      <c r="B161" t="s">
        <v>408</v>
      </c>
      <c r="C161" s="12" t="s">
        <v>81</v>
      </c>
      <c r="D161" s="13">
        <v>46085</v>
      </c>
      <c r="E161" s="14">
        <v>0.83680555555555602</v>
      </c>
      <c r="F161" s="14">
        <v>0.87916666666666698</v>
      </c>
      <c r="G161" s="15">
        <f t="shared" si="2"/>
        <v>4.2361111111110961E-2</v>
      </c>
      <c r="H161" s="21" t="s">
        <v>409</v>
      </c>
      <c r="I161" t="s">
        <v>78</v>
      </c>
      <c r="J161">
        <v>172098</v>
      </c>
      <c r="L161">
        <v>4</v>
      </c>
      <c r="M161" t="s">
        <v>410</v>
      </c>
    </row>
    <row r="162" spans="1:13" x14ac:dyDescent="0.2">
      <c r="A162" t="s">
        <v>50</v>
      </c>
      <c r="B162" t="s">
        <v>408</v>
      </c>
      <c r="C162" s="12" t="s">
        <v>81</v>
      </c>
      <c r="D162" s="13">
        <v>46085</v>
      </c>
      <c r="E162" s="14">
        <v>0.70833333333333304</v>
      </c>
      <c r="F162" s="14">
        <v>0.75</v>
      </c>
      <c r="G162" s="15">
        <f t="shared" si="2"/>
        <v>4.1666666666666963E-2</v>
      </c>
      <c r="H162" s="21" t="s">
        <v>411</v>
      </c>
      <c r="I162" t="s">
        <v>78</v>
      </c>
      <c r="J162">
        <v>172018</v>
      </c>
      <c r="L162">
        <v>1</v>
      </c>
      <c r="M162" t="s">
        <v>412</v>
      </c>
    </row>
    <row r="163" spans="1:13" ht="51" x14ac:dyDescent="0.2">
      <c r="A163" t="s">
        <v>50</v>
      </c>
      <c r="B163" t="s">
        <v>408</v>
      </c>
      <c r="C163" s="12" t="s">
        <v>100</v>
      </c>
      <c r="D163" s="13">
        <v>46087</v>
      </c>
      <c r="E163" s="14">
        <v>0.70833333333333304</v>
      </c>
      <c r="F163" s="14">
        <v>0.91666666666666696</v>
      </c>
      <c r="G163" s="15">
        <f t="shared" si="2"/>
        <v>0.20833333333333393</v>
      </c>
      <c r="H163" s="22" t="s">
        <v>413</v>
      </c>
      <c r="I163" t="s">
        <v>167</v>
      </c>
      <c r="J163">
        <v>172211</v>
      </c>
      <c r="L163">
        <v>6</v>
      </c>
      <c r="M163" t="s">
        <v>414</v>
      </c>
    </row>
    <row r="164" spans="1:13" ht="51" x14ac:dyDescent="0.2">
      <c r="A164" t="s">
        <v>50</v>
      </c>
      <c r="B164" t="s">
        <v>408</v>
      </c>
      <c r="C164" s="12" t="s">
        <v>8</v>
      </c>
      <c r="D164" s="13">
        <v>46088</v>
      </c>
      <c r="E164" s="14">
        <v>0.35</v>
      </c>
      <c r="F164" s="14">
        <v>0.54583333333333295</v>
      </c>
      <c r="G164" s="15">
        <f t="shared" si="2"/>
        <v>0.19583333333333297</v>
      </c>
      <c r="H164" s="22" t="s">
        <v>415</v>
      </c>
      <c r="I164" t="s">
        <v>78</v>
      </c>
      <c r="J164">
        <v>172258</v>
      </c>
      <c r="L164">
        <v>3</v>
      </c>
      <c r="M164" t="s">
        <v>416</v>
      </c>
    </row>
    <row r="165" spans="1:13" x14ac:dyDescent="0.2">
      <c r="A165" t="s">
        <v>50</v>
      </c>
      <c r="B165" t="s">
        <v>417</v>
      </c>
      <c r="C165" s="12" t="s">
        <v>8</v>
      </c>
      <c r="D165" s="13">
        <v>46088</v>
      </c>
      <c r="E165" s="14">
        <v>0.92847222222222203</v>
      </c>
      <c r="F165" s="14">
        <v>0.98958333333333304</v>
      </c>
      <c r="G165" s="15">
        <f t="shared" si="2"/>
        <v>6.1111111111111005E-2</v>
      </c>
      <c r="H165" s="21" t="s">
        <v>418</v>
      </c>
      <c r="I165" t="s">
        <v>78</v>
      </c>
      <c r="J165">
        <v>172258</v>
      </c>
      <c r="L165">
        <v>3</v>
      </c>
      <c r="M165" t="s">
        <v>416</v>
      </c>
    </row>
    <row r="166" spans="1:13" x14ac:dyDescent="0.2">
      <c r="A166" t="s">
        <v>50</v>
      </c>
      <c r="B166" t="s">
        <v>417</v>
      </c>
      <c r="C166" s="12" t="s">
        <v>11</v>
      </c>
      <c r="D166" s="13">
        <v>46089</v>
      </c>
      <c r="E166" s="14">
        <v>0.81944444444444398</v>
      </c>
      <c r="F166" s="14">
        <v>0.88888888888888895</v>
      </c>
      <c r="G166" s="15">
        <f t="shared" si="2"/>
        <v>6.9444444444444975E-2</v>
      </c>
      <c r="H166" s="21" t="s">
        <v>419</v>
      </c>
      <c r="I166" t="s">
        <v>73</v>
      </c>
      <c r="J166">
        <v>172302</v>
      </c>
      <c r="L166">
        <v>4</v>
      </c>
      <c r="M166" t="s">
        <v>420</v>
      </c>
    </row>
    <row r="167" spans="1:13" x14ac:dyDescent="0.2">
      <c r="A167" t="s">
        <v>50</v>
      </c>
      <c r="B167" t="s">
        <v>421</v>
      </c>
      <c r="C167" s="12" t="s">
        <v>81</v>
      </c>
      <c r="D167" s="13">
        <v>46099</v>
      </c>
      <c r="E167" s="14">
        <v>0.71597222222222201</v>
      </c>
      <c r="F167" s="14">
        <v>0.76041666666666696</v>
      </c>
      <c r="G167" s="15">
        <f t="shared" si="2"/>
        <v>4.4444444444444953E-2</v>
      </c>
      <c r="H167" s="21" t="s">
        <v>422</v>
      </c>
      <c r="I167" t="s">
        <v>73</v>
      </c>
      <c r="J167">
        <v>172978</v>
      </c>
      <c r="L167">
        <v>2</v>
      </c>
      <c r="M167" t="s">
        <v>423</v>
      </c>
    </row>
    <row r="168" spans="1:13" ht="25.5" x14ac:dyDescent="0.2">
      <c r="A168" t="s">
        <v>54</v>
      </c>
      <c r="B168" t="s">
        <v>424</v>
      </c>
      <c r="C168" s="12" t="s">
        <v>71</v>
      </c>
      <c r="D168" s="13">
        <v>46083</v>
      </c>
      <c r="E168" s="14">
        <v>0.70833333333333304</v>
      </c>
      <c r="F168" s="14">
        <v>0.83750000000000002</v>
      </c>
      <c r="G168" s="15">
        <f t="shared" si="2"/>
        <v>0.12916666666666698</v>
      </c>
      <c r="H168" s="22" t="s">
        <v>425</v>
      </c>
      <c r="I168" t="s">
        <v>73</v>
      </c>
      <c r="J168">
        <v>171784</v>
      </c>
      <c r="L168">
        <v>4</v>
      </c>
      <c r="M168" t="s">
        <v>426</v>
      </c>
    </row>
    <row r="169" spans="1:13" x14ac:dyDescent="0.2">
      <c r="A169" t="s">
        <v>54</v>
      </c>
      <c r="B169" t="s">
        <v>424</v>
      </c>
      <c r="C169" s="12" t="s">
        <v>76</v>
      </c>
      <c r="D169" s="13">
        <v>46084</v>
      </c>
      <c r="E169" s="14">
        <v>0.83750000000000002</v>
      </c>
      <c r="F169" s="14">
        <v>0.86111111111111105</v>
      </c>
      <c r="G169" s="15">
        <f t="shared" si="2"/>
        <v>2.3611111111111027E-2</v>
      </c>
      <c r="H169" s="21" t="s">
        <v>427</v>
      </c>
      <c r="I169" t="s">
        <v>78</v>
      </c>
      <c r="J169">
        <v>171914</v>
      </c>
      <c r="L169">
        <v>1</v>
      </c>
      <c r="M169" t="s">
        <v>428</v>
      </c>
    </row>
    <row r="170" spans="1:13" x14ac:dyDescent="0.2">
      <c r="A170" t="s">
        <v>57</v>
      </c>
      <c r="B170" t="s">
        <v>429</v>
      </c>
      <c r="C170" s="12" t="s">
        <v>76</v>
      </c>
      <c r="D170" s="13">
        <v>46084</v>
      </c>
      <c r="E170" s="14">
        <v>0.70833333333333304</v>
      </c>
      <c r="F170" s="14">
        <v>0.75208333333333299</v>
      </c>
      <c r="G170" s="15">
        <f t="shared" si="2"/>
        <v>4.3749999999999956E-2</v>
      </c>
      <c r="H170" s="22" t="s">
        <v>430</v>
      </c>
      <c r="I170" t="s">
        <v>73</v>
      </c>
      <c r="J170">
        <v>171947</v>
      </c>
      <c r="L170">
        <v>3</v>
      </c>
      <c r="M170" t="s">
        <v>431</v>
      </c>
    </row>
    <row r="171" spans="1:13" x14ac:dyDescent="0.2">
      <c r="A171" t="s">
        <v>57</v>
      </c>
      <c r="B171" t="s">
        <v>432</v>
      </c>
      <c r="C171" s="12" t="s">
        <v>76</v>
      </c>
      <c r="D171" s="13">
        <v>46091</v>
      </c>
      <c r="E171" s="14">
        <v>0.94166666666666698</v>
      </c>
      <c r="F171" s="14">
        <v>0.99791666666666701</v>
      </c>
      <c r="G171" s="15">
        <f t="shared" si="2"/>
        <v>5.6250000000000022E-2</v>
      </c>
      <c r="H171" s="21" t="s">
        <v>433</v>
      </c>
      <c r="I171" t="s">
        <v>78</v>
      </c>
      <c r="J171">
        <v>172483</v>
      </c>
      <c r="L171">
        <v>3</v>
      </c>
      <c r="M171" t="s">
        <v>431</v>
      </c>
    </row>
    <row r="172" spans="1:13" x14ac:dyDescent="0.2">
      <c r="A172" t="s">
        <v>57</v>
      </c>
      <c r="B172" t="s">
        <v>432</v>
      </c>
      <c r="C172" s="12" t="s">
        <v>100</v>
      </c>
      <c r="D172" s="13">
        <v>46094</v>
      </c>
      <c r="E172" s="14">
        <v>0.27847222222222201</v>
      </c>
      <c r="F172" s="14">
        <v>0.33333333333333298</v>
      </c>
      <c r="G172" s="15">
        <f t="shared" si="2"/>
        <v>5.4861111111110972E-2</v>
      </c>
      <c r="H172" s="21" t="s">
        <v>434</v>
      </c>
      <c r="I172" t="s">
        <v>78</v>
      </c>
      <c r="J172">
        <v>172663</v>
      </c>
      <c r="L172">
        <v>1</v>
      </c>
      <c r="M172" t="s">
        <v>435</v>
      </c>
    </row>
    <row r="173" spans="1:13" ht="25.5" x14ac:dyDescent="0.2">
      <c r="A173" t="s">
        <v>57</v>
      </c>
      <c r="B173" t="s">
        <v>432</v>
      </c>
      <c r="C173" s="12" t="s">
        <v>100</v>
      </c>
      <c r="D173" s="13">
        <v>46094</v>
      </c>
      <c r="E173" s="14">
        <v>0.71875</v>
      </c>
      <c r="F173" s="14">
        <v>0.81666666666666698</v>
      </c>
      <c r="G173" s="15">
        <f t="shared" si="2"/>
        <v>9.7916666666666985E-2</v>
      </c>
      <c r="H173" s="22" t="s">
        <v>436</v>
      </c>
      <c r="I173" t="s">
        <v>167</v>
      </c>
      <c r="J173">
        <v>172663</v>
      </c>
      <c r="L173">
        <v>2</v>
      </c>
      <c r="M173" t="s">
        <v>435</v>
      </c>
    </row>
    <row r="174" spans="1:13" ht="24.2" customHeight="1" x14ac:dyDescent="0.2">
      <c r="A174" t="s">
        <v>40</v>
      </c>
      <c r="B174" t="s">
        <v>437</v>
      </c>
      <c r="C174" s="12" t="s">
        <v>71</v>
      </c>
      <c r="D174" s="13">
        <v>46104</v>
      </c>
      <c r="E174" s="14">
        <v>0.70833333333333304</v>
      </c>
      <c r="F174" s="14">
        <v>0.90763888888888899</v>
      </c>
      <c r="G174" s="15">
        <f t="shared" si="2"/>
        <v>0.19930555555555596</v>
      </c>
      <c r="H174" s="16" t="s">
        <v>438</v>
      </c>
      <c r="I174" t="s">
        <v>78</v>
      </c>
      <c r="J174">
        <v>173271</v>
      </c>
      <c r="K174" t="s">
        <v>439</v>
      </c>
      <c r="L174">
        <v>5</v>
      </c>
      <c r="M174" t="s">
        <v>440</v>
      </c>
    </row>
    <row r="175" spans="1:13" ht="12.75" customHeight="1" x14ac:dyDescent="0.2">
      <c r="A175" t="s">
        <v>40</v>
      </c>
      <c r="B175" t="s">
        <v>75</v>
      </c>
      <c r="C175" s="12" t="s">
        <v>76</v>
      </c>
      <c r="D175" s="13">
        <v>46105</v>
      </c>
      <c r="E175" s="14">
        <v>0.70833333333333304</v>
      </c>
      <c r="F175" s="14">
        <v>0.94513888888888897</v>
      </c>
      <c r="G175" s="15">
        <f t="shared" si="2"/>
        <v>0.23680555555555594</v>
      </c>
      <c r="H175" s="23" t="s">
        <v>441</v>
      </c>
      <c r="I175" t="s">
        <v>78</v>
      </c>
      <c r="J175">
        <v>173348</v>
      </c>
      <c r="K175" t="s">
        <v>442</v>
      </c>
      <c r="L175">
        <v>10</v>
      </c>
      <c r="M175" t="s">
        <v>443</v>
      </c>
    </row>
    <row r="176" spans="1:13" ht="12.75" customHeight="1" x14ac:dyDescent="0.2">
      <c r="A176" t="s">
        <v>40</v>
      </c>
      <c r="B176" t="s">
        <v>437</v>
      </c>
      <c r="C176" s="12" t="s">
        <v>81</v>
      </c>
      <c r="D176" s="13">
        <v>46106</v>
      </c>
      <c r="E176" s="14">
        <v>0.70833333333333304</v>
      </c>
      <c r="F176" s="14">
        <v>0.81041666666666701</v>
      </c>
      <c r="G176" s="15">
        <f t="shared" si="2"/>
        <v>0.10208333333333397</v>
      </c>
      <c r="H176" s="23" t="s">
        <v>444</v>
      </c>
      <c r="I176" t="s">
        <v>73</v>
      </c>
      <c r="J176">
        <v>173441</v>
      </c>
      <c r="K176" t="s">
        <v>445</v>
      </c>
      <c r="L176">
        <v>3</v>
      </c>
      <c r="M176" t="s">
        <v>446</v>
      </c>
    </row>
    <row r="177" spans="1:13" ht="34.5" customHeight="1" x14ac:dyDescent="0.2">
      <c r="A177" t="s">
        <v>40</v>
      </c>
      <c r="B177" t="s">
        <v>437</v>
      </c>
      <c r="C177" s="12" t="s">
        <v>108</v>
      </c>
      <c r="D177" s="13">
        <v>46107</v>
      </c>
      <c r="E177" s="14">
        <v>0.87152777777777801</v>
      </c>
      <c r="F177" s="14">
        <v>0.98124999999999996</v>
      </c>
      <c r="G177" s="15">
        <f t="shared" si="2"/>
        <v>0.10972222222222194</v>
      </c>
      <c r="H177" s="24" t="s">
        <v>447</v>
      </c>
      <c r="I177" t="s">
        <v>78</v>
      </c>
      <c r="J177">
        <v>173504</v>
      </c>
      <c r="K177" t="s">
        <v>448</v>
      </c>
      <c r="L177">
        <v>3</v>
      </c>
      <c r="M177" t="s">
        <v>449</v>
      </c>
    </row>
    <row r="178" spans="1:13" ht="23.25" customHeight="1" x14ac:dyDescent="0.2">
      <c r="A178" t="s">
        <v>43</v>
      </c>
      <c r="B178" t="s">
        <v>144</v>
      </c>
      <c r="C178" s="12" t="s">
        <v>76</v>
      </c>
      <c r="D178" s="13">
        <v>46105</v>
      </c>
      <c r="E178" s="14">
        <v>0.79236111111111096</v>
      </c>
      <c r="F178" s="14">
        <v>0.92013888888888895</v>
      </c>
      <c r="G178" s="15">
        <f t="shared" si="2"/>
        <v>0.12777777777777799</v>
      </c>
      <c r="H178" s="24" t="s">
        <v>450</v>
      </c>
      <c r="I178" t="s">
        <v>133</v>
      </c>
      <c r="J178">
        <v>173347</v>
      </c>
      <c r="K178" t="s">
        <v>451</v>
      </c>
      <c r="L178">
        <v>1</v>
      </c>
      <c r="M178" t="s">
        <v>452</v>
      </c>
    </row>
    <row r="179" spans="1:13" ht="31.5" customHeight="1" x14ac:dyDescent="0.2">
      <c r="A179" t="s">
        <v>43</v>
      </c>
      <c r="B179" t="s">
        <v>144</v>
      </c>
      <c r="C179" s="12" t="s">
        <v>108</v>
      </c>
      <c r="D179" s="13">
        <v>46107</v>
      </c>
      <c r="E179" s="14">
        <v>0.78333333333333299</v>
      </c>
      <c r="F179" s="14">
        <v>0.91874999999999996</v>
      </c>
      <c r="G179" s="15">
        <f t="shared" si="2"/>
        <v>0.13541666666666696</v>
      </c>
      <c r="H179" s="24" t="s">
        <v>453</v>
      </c>
      <c r="I179" t="s">
        <v>133</v>
      </c>
      <c r="J179">
        <v>173497</v>
      </c>
      <c r="K179" t="s">
        <v>454</v>
      </c>
      <c r="L179">
        <v>1</v>
      </c>
      <c r="M179" t="s">
        <v>455</v>
      </c>
    </row>
    <row r="180" spans="1:13" ht="34.5" customHeight="1" x14ac:dyDescent="0.2">
      <c r="A180" t="s">
        <v>47</v>
      </c>
      <c r="B180" t="s">
        <v>161</v>
      </c>
      <c r="C180" s="12" t="s">
        <v>71</v>
      </c>
      <c r="D180" s="13">
        <v>46104</v>
      </c>
      <c r="E180" s="14">
        <v>0.70833333333333304</v>
      </c>
      <c r="F180" s="14">
        <v>0.84583333333333299</v>
      </c>
      <c r="G180" s="15">
        <f t="shared" si="2"/>
        <v>0.13749999999999996</v>
      </c>
      <c r="H180" s="22" t="s">
        <v>456</v>
      </c>
      <c r="I180" t="s">
        <v>73</v>
      </c>
      <c r="J180">
        <v>173374</v>
      </c>
      <c r="K180" t="s">
        <v>457</v>
      </c>
      <c r="L180">
        <v>5</v>
      </c>
      <c r="M180" t="s">
        <v>458</v>
      </c>
    </row>
    <row r="181" spans="1:13" ht="12.75" customHeight="1" x14ac:dyDescent="0.2">
      <c r="A181" t="s">
        <v>47</v>
      </c>
      <c r="B181" t="s">
        <v>459</v>
      </c>
      <c r="C181" s="12" t="s">
        <v>108</v>
      </c>
      <c r="D181" s="13">
        <v>46107</v>
      </c>
      <c r="E181" s="14">
        <v>0.70833333333333304</v>
      </c>
      <c r="F181" s="14">
        <v>0.77569444444444502</v>
      </c>
      <c r="G181" s="15">
        <f t="shared" si="2"/>
        <v>6.7361111111111982E-2</v>
      </c>
      <c r="H181" s="23" t="s">
        <v>460</v>
      </c>
      <c r="I181" t="s">
        <v>78</v>
      </c>
      <c r="J181">
        <v>173588</v>
      </c>
      <c r="K181" t="s">
        <v>461</v>
      </c>
      <c r="L181">
        <v>1</v>
      </c>
      <c r="M181" t="s">
        <v>462</v>
      </c>
    </row>
    <row r="182" spans="1:13" ht="68.099999999999994" customHeight="1" x14ac:dyDescent="0.2">
      <c r="A182" t="s">
        <v>47</v>
      </c>
      <c r="B182" t="s">
        <v>151</v>
      </c>
      <c r="C182" s="12" t="s">
        <v>8</v>
      </c>
      <c r="D182" s="13">
        <v>46109</v>
      </c>
      <c r="E182" s="14">
        <v>0.48611111111111099</v>
      </c>
      <c r="F182" s="14">
        <v>0.69097222222222199</v>
      </c>
      <c r="G182" s="15">
        <f t="shared" si="2"/>
        <v>0.20486111111111099</v>
      </c>
      <c r="H182" s="24" t="s">
        <v>463</v>
      </c>
      <c r="I182" t="s">
        <v>78</v>
      </c>
      <c r="J182">
        <v>173627</v>
      </c>
      <c r="K182" t="s">
        <v>464</v>
      </c>
      <c r="L182">
        <v>6</v>
      </c>
      <c r="M182" t="s">
        <v>465</v>
      </c>
    </row>
    <row r="183" spans="1:13" ht="30" customHeight="1" x14ac:dyDescent="0.2">
      <c r="A183" t="s">
        <v>47</v>
      </c>
      <c r="B183" t="s">
        <v>161</v>
      </c>
      <c r="C183" s="12" t="s">
        <v>71</v>
      </c>
      <c r="D183" s="13">
        <v>46111</v>
      </c>
      <c r="E183" s="14">
        <v>0.70833333333333304</v>
      </c>
      <c r="F183" s="14">
        <v>0.75</v>
      </c>
      <c r="G183" s="15">
        <f t="shared" si="2"/>
        <v>4.1666666666666963E-2</v>
      </c>
      <c r="H183" s="24" t="s">
        <v>466</v>
      </c>
      <c r="I183" t="s">
        <v>78</v>
      </c>
      <c r="J183">
        <v>173676</v>
      </c>
      <c r="K183" t="s">
        <v>467</v>
      </c>
      <c r="L183">
        <v>3</v>
      </c>
      <c r="M183" t="s">
        <v>468</v>
      </c>
    </row>
    <row r="184" spans="1:13" ht="23.25" customHeight="1" x14ac:dyDescent="0.2">
      <c r="A184" t="s">
        <v>47</v>
      </c>
      <c r="B184" t="s">
        <v>469</v>
      </c>
      <c r="C184" s="12" t="s">
        <v>71</v>
      </c>
      <c r="D184" s="13">
        <v>46111</v>
      </c>
      <c r="E184" s="14">
        <v>0.86111111111111105</v>
      </c>
      <c r="F184" s="14">
        <v>0.91666666666666696</v>
      </c>
      <c r="G184" s="15">
        <f t="shared" si="2"/>
        <v>5.5555555555555913E-2</v>
      </c>
      <c r="H184" s="24" t="s">
        <v>470</v>
      </c>
      <c r="I184" t="s">
        <v>78</v>
      </c>
      <c r="J184">
        <v>173676</v>
      </c>
      <c r="K184" t="s">
        <v>471</v>
      </c>
      <c r="L184">
        <v>2</v>
      </c>
      <c r="M184" t="s">
        <v>468</v>
      </c>
    </row>
    <row r="185" spans="1:13" ht="12.75" customHeight="1" x14ac:dyDescent="0.2">
      <c r="A185" t="s">
        <v>48</v>
      </c>
      <c r="B185" t="s">
        <v>472</v>
      </c>
      <c r="C185" s="12" t="s">
        <v>71</v>
      </c>
      <c r="D185" s="13">
        <v>46104</v>
      </c>
      <c r="E185" s="14">
        <v>0.70833333333333304</v>
      </c>
      <c r="F185" s="14">
        <v>0.77777777777777801</v>
      </c>
      <c r="G185" s="15">
        <f t="shared" si="2"/>
        <v>6.9444444444444975E-2</v>
      </c>
      <c r="H185" s="23" t="s">
        <v>473</v>
      </c>
      <c r="I185" t="s">
        <v>73</v>
      </c>
      <c r="J185">
        <v>173338</v>
      </c>
      <c r="K185" t="s">
        <v>474</v>
      </c>
      <c r="L185">
        <v>3</v>
      </c>
      <c r="M185" t="s">
        <v>475</v>
      </c>
    </row>
    <row r="186" spans="1:13" ht="12.75" customHeight="1" x14ac:dyDescent="0.2">
      <c r="A186" t="s">
        <v>48</v>
      </c>
      <c r="B186" t="s">
        <v>476</v>
      </c>
      <c r="C186" s="12" t="s">
        <v>76</v>
      </c>
      <c r="D186" s="13">
        <v>46105</v>
      </c>
      <c r="E186" s="14">
        <v>0.70833333333333304</v>
      </c>
      <c r="F186" s="14">
        <v>0.75</v>
      </c>
      <c r="G186" s="15">
        <f t="shared" si="2"/>
        <v>4.1666666666666963E-2</v>
      </c>
      <c r="H186" s="23" t="s">
        <v>477</v>
      </c>
      <c r="I186" t="s">
        <v>78</v>
      </c>
      <c r="J186">
        <v>173362</v>
      </c>
      <c r="K186" t="s">
        <v>478</v>
      </c>
      <c r="L186">
        <v>2</v>
      </c>
      <c r="M186" t="s">
        <v>479</v>
      </c>
    </row>
    <row r="187" spans="1:13" ht="12.75" customHeight="1" x14ac:dyDescent="0.2">
      <c r="A187" t="s">
        <v>48</v>
      </c>
      <c r="B187" t="s">
        <v>472</v>
      </c>
      <c r="C187" s="12" t="s">
        <v>76</v>
      </c>
      <c r="D187" s="13">
        <v>46105</v>
      </c>
      <c r="E187" s="14">
        <v>0.86041666666666705</v>
      </c>
      <c r="F187" s="14">
        <v>0.88263888888888897</v>
      </c>
      <c r="G187" s="15">
        <f t="shared" si="2"/>
        <v>2.2222222222221921E-2</v>
      </c>
      <c r="H187" s="23" t="s">
        <v>480</v>
      </c>
      <c r="I187" t="s">
        <v>78</v>
      </c>
      <c r="J187">
        <v>173598</v>
      </c>
      <c r="K187" t="s">
        <v>474</v>
      </c>
      <c r="L187">
        <v>3</v>
      </c>
      <c r="M187" t="s">
        <v>481</v>
      </c>
    </row>
    <row r="188" spans="1:13" x14ac:dyDescent="0.2">
      <c r="A188" t="s">
        <v>48</v>
      </c>
      <c r="B188" t="s">
        <v>482</v>
      </c>
      <c r="C188" s="12" t="s">
        <v>81</v>
      </c>
      <c r="D188" s="13">
        <v>46106</v>
      </c>
      <c r="E188" s="14">
        <v>0.70833333333333304</v>
      </c>
      <c r="F188" s="14">
        <v>0.77083333333333304</v>
      </c>
      <c r="G188" s="15">
        <f t="shared" si="2"/>
        <v>6.25E-2</v>
      </c>
      <c r="H188" s="24" t="s">
        <v>483</v>
      </c>
      <c r="I188" t="s">
        <v>78</v>
      </c>
      <c r="J188">
        <v>173409</v>
      </c>
      <c r="K188" t="s">
        <v>484</v>
      </c>
      <c r="L188">
        <v>2</v>
      </c>
      <c r="M188" t="s">
        <v>485</v>
      </c>
    </row>
    <row r="189" spans="1:13" ht="23.25" customHeight="1" x14ac:dyDescent="0.2">
      <c r="A189" t="s">
        <v>48</v>
      </c>
      <c r="B189" t="s">
        <v>486</v>
      </c>
      <c r="C189" s="12" t="s">
        <v>108</v>
      </c>
      <c r="D189" s="13">
        <v>46107</v>
      </c>
      <c r="E189" s="14">
        <v>0.70833333333333304</v>
      </c>
      <c r="F189" s="14">
        <v>0.80972222222222201</v>
      </c>
      <c r="G189" s="15">
        <f t="shared" si="2"/>
        <v>0.10138888888888897</v>
      </c>
      <c r="H189" s="24" t="s">
        <v>487</v>
      </c>
      <c r="I189" t="s">
        <v>78</v>
      </c>
      <c r="J189">
        <v>173753</v>
      </c>
      <c r="K189" t="s">
        <v>488</v>
      </c>
      <c r="L189">
        <v>3</v>
      </c>
      <c r="M189" t="s">
        <v>489</v>
      </c>
    </row>
    <row r="190" spans="1:13" ht="38.25" x14ac:dyDescent="0.2">
      <c r="A190" t="s">
        <v>48</v>
      </c>
      <c r="B190" t="s">
        <v>486</v>
      </c>
      <c r="C190" s="12" t="s">
        <v>100</v>
      </c>
      <c r="D190" s="13">
        <v>46108</v>
      </c>
      <c r="E190" s="14">
        <v>0.70833333333333304</v>
      </c>
      <c r="F190" s="14">
        <v>0.79930555555555605</v>
      </c>
      <c r="G190" s="15">
        <f t="shared" si="2"/>
        <v>9.0972222222223009E-2</v>
      </c>
      <c r="H190" s="24" t="s">
        <v>490</v>
      </c>
      <c r="I190" t="s">
        <v>78</v>
      </c>
      <c r="J190">
        <v>173756</v>
      </c>
      <c r="K190" t="s">
        <v>491</v>
      </c>
      <c r="L190">
        <v>7</v>
      </c>
      <c r="M190" t="s">
        <v>492</v>
      </c>
    </row>
    <row r="191" spans="1:13" ht="51" x14ac:dyDescent="0.2">
      <c r="A191" t="s">
        <v>48</v>
      </c>
      <c r="B191" t="s">
        <v>486</v>
      </c>
      <c r="C191" s="12" t="s">
        <v>8</v>
      </c>
      <c r="D191" s="13">
        <v>46109</v>
      </c>
      <c r="E191" s="14">
        <v>0.33333333333333298</v>
      </c>
      <c r="F191" s="14">
        <v>0.54166666666666696</v>
      </c>
      <c r="G191" s="15">
        <f t="shared" si="2"/>
        <v>0.20833333333333398</v>
      </c>
      <c r="H191" s="24" t="s">
        <v>493</v>
      </c>
      <c r="I191" t="s">
        <v>494</v>
      </c>
      <c r="J191">
        <v>173773</v>
      </c>
      <c r="K191" t="s">
        <v>495</v>
      </c>
      <c r="L191">
        <v>12</v>
      </c>
      <c r="M191" t="s">
        <v>496</v>
      </c>
    </row>
    <row r="192" spans="1:13" ht="23.25" customHeight="1" x14ac:dyDescent="0.2">
      <c r="A192" t="s">
        <v>48</v>
      </c>
      <c r="B192" t="s">
        <v>486</v>
      </c>
      <c r="C192" s="12" t="s">
        <v>8</v>
      </c>
      <c r="D192" s="13">
        <v>46109</v>
      </c>
      <c r="E192" s="14">
        <v>0.58333333333333304</v>
      </c>
      <c r="F192" s="14">
        <v>0.72083333333333299</v>
      </c>
      <c r="G192" s="15">
        <f t="shared" si="2"/>
        <v>0.13749999999999996</v>
      </c>
      <c r="H192" s="24" t="s">
        <v>497</v>
      </c>
      <c r="I192" t="s">
        <v>498</v>
      </c>
      <c r="J192">
        <v>173773</v>
      </c>
      <c r="K192" t="s">
        <v>495</v>
      </c>
      <c r="L192">
        <v>12</v>
      </c>
      <c r="M192" t="s">
        <v>496</v>
      </c>
    </row>
    <row r="193" spans="1:13" ht="38.25" x14ac:dyDescent="0.2">
      <c r="A193" t="s">
        <v>48</v>
      </c>
      <c r="B193" t="s">
        <v>486</v>
      </c>
      <c r="C193" s="12" t="s">
        <v>11</v>
      </c>
      <c r="D193" s="13">
        <v>46110</v>
      </c>
      <c r="E193" s="14">
        <v>0.33333333333333298</v>
      </c>
      <c r="F193" s="14">
        <v>0.54166666666666696</v>
      </c>
      <c r="G193" s="15">
        <f t="shared" si="2"/>
        <v>0.20833333333333398</v>
      </c>
      <c r="H193" s="24" t="s">
        <v>499</v>
      </c>
      <c r="I193" t="s">
        <v>78</v>
      </c>
      <c r="J193">
        <v>173865</v>
      </c>
      <c r="K193" t="s">
        <v>500</v>
      </c>
      <c r="L193">
        <v>11</v>
      </c>
      <c r="M193" t="s">
        <v>501</v>
      </c>
    </row>
    <row r="194" spans="1:13" ht="38.25" x14ac:dyDescent="0.2">
      <c r="A194" t="s">
        <v>48</v>
      </c>
      <c r="B194" t="s">
        <v>486</v>
      </c>
      <c r="C194" s="12" t="s">
        <v>11</v>
      </c>
      <c r="D194" s="13">
        <v>46110</v>
      </c>
      <c r="E194" s="14">
        <v>0.70833333333333304</v>
      </c>
      <c r="F194" s="14">
        <v>0.80486111111111103</v>
      </c>
      <c r="G194" s="15">
        <f t="shared" ref="G194:G257" si="3">F194-E194</f>
        <v>9.652777777777799E-2</v>
      </c>
      <c r="H194" s="24" t="s">
        <v>502</v>
      </c>
      <c r="I194" t="s">
        <v>78</v>
      </c>
      <c r="J194">
        <v>173865</v>
      </c>
      <c r="K194" t="s">
        <v>500</v>
      </c>
      <c r="L194">
        <v>11</v>
      </c>
      <c r="M194" t="s">
        <v>501</v>
      </c>
    </row>
    <row r="195" spans="1:13" ht="38.25" x14ac:dyDescent="0.2">
      <c r="A195" t="s">
        <v>48</v>
      </c>
      <c r="B195" t="s">
        <v>486</v>
      </c>
      <c r="C195" s="12" t="s">
        <v>11</v>
      </c>
      <c r="D195" s="13">
        <v>46110</v>
      </c>
      <c r="E195" s="14">
        <v>0.84236111111111101</v>
      </c>
      <c r="F195" s="14">
        <v>0.97986111111111096</v>
      </c>
      <c r="G195" s="15">
        <f t="shared" si="3"/>
        <v>0.13749999999999996</v>
      </c>
      <c r="H195" s="24" t="s">
        <v>503</v>
      </c>
      <c r="I195" t="s">
        <v>78</v>
      </c>
      <c r="J195">
        <v>173865</v>
      </c>
      <c r="K195" t="s">
        <v>504</v>
      </c>
      <c r="L195">
        <v>5</v>
      </c>
      <c r="M195" t="s">
        <v>501</v>
      </c>
    </row>
    <row r="196" spans="1:13" ht="23.25" customHeight="1" x14ac:dyDescent="0.2">
      <c r="A196" t="s">
        <v>49</v>
      </c>
      <c r="B196" t="s">
        <v>219</v>
      </c>
      <c r="C196" s="12" t="s">
        <v>71</v>
      </c>
      <c r="D196" s="13">
        <v>46104</v>
      </c>
      <c r="E196" s="14">
        <v>0.70833333333333304</v>
      </c>
      <c r="F196" s="14">
        <v>0.75</v>
      </c>
      <c r="G196" s="15">
        <f t="shared" si="3"/>
        <v>4.1666666666666963E-2</v>
      </c>
      <c r="H196" s="22" t="s">
        <v>505</v>
      </c>
      <c r="I196" t="s">
        <v>78</v>
      </c>
      <c r="J196">
        <v>173230</v>
      </c>
      <c r="K196" t="s">
        <v>506</v>
      </c>
      <c r="L196">
        <v>1</v>
      </c>
      <c r="M196" t="s">
        <v>507</v>
      </c>
    </row>
    <row r="197" spans="1:13" ht="23.25" customHeight="1" x14ac:dyDescent="0.2">
      <c r="A197" t="s">
        <v>49</v>
      </c>
      <c r="B197" t="s">
        <v>219</v>
      </c>
      <c r="C197" s="12" t="s">
        <v>76</v>
      </c>
      <c r="D197" s="13">
        <v>46105</v>
      </c>
      <c r="E197" s="14">
        <v>0.70833333333333304</v>
      </c>
      <c r="F197" s="14">
        <v>0.75</v>
      </c>
      <c r="G197" s="15">
        <f t="shared" si="3"/>
        <v>4.1666666666666963E-2</v>
      </c>
      <c r="H197" s="22" t="s">
        <v>508</v>
      </c>
      <c r="I197" t="s">
        <v>78</v>
      </c>
      <c r="J197">
        <v>173326</v>
      </c>
      <c r="K197" t="s">
        <v>509</v>
      </c>
      <c r="L197">
        <v>2</v>
      </c>
      <c r="M197" t="s">
        <v>510</v>
      </c>
    </row>
    <row r="198" spans="1:13" ht="12.75" customHeight="1" x14ac:dyDescent="0.2">
      <c r="A198" t="s">
        <v>49</v>
      </c>
      <c r="B198" t="s">
        <v>219</v>
      </c>
      <c r="C198" s="12" t="s">
        <v>81</v>
      </c>
      <c r="D198" s="13">
        <v>46106</v>
      </c>
      <c r="E198" s="14">
        <v>0.70833333333333304</v>
      </c>
      <c r="F198" s="14">
        <v>0.8125</v>
      </c>
      <c r="G198" s="15">
        <f t="shared" si="3"/>
        <v>0.10416666666666696</v>
      </c>
      <c r="H198" s="22" t="s">
        <v>511</v>
      </c>
      <c r="I198" t="s">
        <v>78</v>
      </c>
      <c r="J198">
        <v>173404</v>
      </c>
      <c r="K198" t="s">
        <v>512</v>
      </c>
      <c r="L198">
        <v>3</v>
      </c>
      <c r="M198" t="s">
        <v>513</v>
      </c>
    </row>
    <row r="199" spans="1:13" ht="12.75" customHeight="1" x14ac:dyDescent="0.2">
      <c r="A199" t="s">
        <v>49</v>
      </c>
      <c r="B199" t="s">
        <v>219</v>
      </c>
      <c r="C199" s="12" t="s">
        <v>108</v>
      </c>
      <c r="D199" s="13">
        <v>46107</v>
      </c>
      <c r="E199" s="14">
        <v>0.70833333333333304</v>
      </c>
      <c r="F199" s="14">
        <v>0.79166666666666696</v>
      </c>
      <c r="G199" s="15">
        <f t="shared" si="3"/>
        <v>8.3333333333333925E-2</v>
      </c>
      <c r="H199" s="22" t="s">
        <v>514</v>
      </c>
      <c r="I199" t="s">
        <v>78</v>
      </c>
      <c r="J199">
        <v>173476</v>
      </c>
      <c r="K199" t="s">
        <v>515</v>
      </c>
      <c r="L199">
        <v>2</v>
      </c>
      <c r="M199" t="s">
        <v>516</v>
      </c>
    </row>
    <row r="200" spans="1:13" ht="12.75" customHeight="1" x14ac:dyDescent="0.2">
      <c r="A200" t="s">
        <v>51</v>
      </c>
      <c r="B200" t="s">
        <v>272</v>
      </c>
      <c r="C200" s="12" t="s">
        <v>81</v>
      </c>
      <c r="D200" s="13">
        <v>46106</v>
      </c>
      <c r="E200" s="14">
        <v>0.70833333333333304</v>
      </c>
      <c r="F200" s="14">
        <v>0.75</v>
      </c>
      <c r="G200" s="15">
        <f t="shared" si="3"/>
        <v>4.1666666666666963E-2</v>
      </c>
      <c r="H200" s="23" t="s">
        <v>517</v>
      </c>
      <c r="I200" t="s">
        <v>78</v>
      </c>
      <c r="J200">
        <v>173422</v>
      </c>
      <c r="K200" t="s">
        <v>518</v>
      </c>
      <c r="L200">
        <v>2</v>
      </c>
      <c r="M200" t="s">
        <v>519</v>
      </c>
    </row>
    <row r="201" spans="1:13" ht="12.75" customHeight="1" x14ac:dyDescent="0.2">
      <c r="A201" t="s">
        <v>51</v>
      </c>
      <c r="B201" t="s">
        <v>520</v>
      </c>
      <c r="C201" s="12" t="s">
        <v>8</v>
      </c>
      <c r="D201" s="13">
        <v>46109</v>
      </c>
      <c r="E201" s="14">
        <v>0.47013888888888899</v>
      </c>
      <c r="F201" s="14">
        <v>0.50138888888888899</v>
      </c>
      <c r="G201" s="15">
        <f t="shared" si="3"/>
        <v>3.125E-2</v>
      </c>
      <c r="H201" s="23" t="s">
        <v>521</v>
      </c>
      <c r="I201" t="s">
        <v>78</v>
      </c>
      <c r="J201">
        <v>173740</v>
      </c>
      <c r="K201" t="s">
        <v>474</v>
      </c>
      <c r="L201">
        <v>3</v>
      </c>
      <c r="M201" t="s">
        <v>522</v>
      </c>
    </row>
    <row r="202" spans="1:13" ht="12.75" customHeight="1" x14ac:dyDescent="0.2">
      <c r="A202" t="s">
        <v>52</v>
      </c>
      <c r="B202" t="s">
        <v>279</v>
      </c>
      <c r="C202" s="12" t="s">
        <v>76</v>
      </c>
      <c r="D202" s="13">
        <v>46105</v>
      </c>
      <c r="E202" s="14">
        <v>0.25416666666666698</v>
      </c>
      <c r="F202" s="14">
        <v>0.35416666666666702</v>
      </c>
      <c r="G202" s="15">
        <f t="shared" si="3"/>
        <v>0.10000000000000003</v>
      </c>
      <c r="H202" s="23" t="s">
        <v>523</v>
      </c>
      <c r="I202" t="s">
        <v>78</v>
      </c>
      <c r="J202">
        <v>173340</v>
      </c>
      <c r="K202" t="s">
        <v>524</v>
      </c>
      <c r="L202">
        <v>2</v>
      </c>
      <c r="M202" t="s">
        <v>525</v>
      </c>
    </row>
    <row r="203" spans="1:13" ht="24.2" customHeight="1" x14ac:dyDescent="0.2">
      <c r="A203" t="s">
        <v>52</v>
      </c>
      <c r="B203" t="s">
        <v>279</v>
      </c>
      <c r="C203" s="12" t="s">
        <v>76</v>
      </c>
      <c r="D203" s="13">
        <v>46105</v>
      </c>
      <c r="E203" s="14">
        <v>0.70833333333333304</v>
      </c>
      <c r="F203" s="14">
        <v>0.86458333333333304</v>
      </c>
      <c r="G203" s="15">
        <f t="shared" si="3"/>
        <v>0.15625</v>
      </c>
      <c r="H203" s="24" t="s">
        <v>526</v>
      </c>
      <c r="I203" t="s">
        <v>78</v>
      </c>
      <c r="J203">
        <v>173340</v>
      </c>
      <c r="K203" t="s">
        <v>527</v>
      </c>
      <c r="L203">
        <v>1</v>
      </c>
      <c r="M203" t="s">
        <v>525</v>
      </c>
    </row>
    <row r="204" spans="1:13" ht="23.25" customHeight="1" x14ac:dyDescent="0.2">
      <c r="A204" t="s">
        <v>52</v>
      </c>
      <c r="B204" t="s">
        <v>279</v>
      </c>
      <c r="C204" s="12" t="s">
        <v>76</v>
      </c>
      <c r="D204" s="13">
        <v>46105</v>
      </c>
      <c r="E204" s="14">
        <v>0.87916666666666698</v>
      </c>
      <c r="F204" s="14">
        <v>0.92986111111111103</v>
      </c>
      <c r="G204" s="15">
        <f t="shared" si="3"/>
        <v>5.0694444444444042E-2</v>
      </c>
      <c r="H204" s="24" t="s">
        <v>528</v>
      </c>
      <c r="I204" t="s">
        <v>73</v>
      </c>
      <c r="J204">
        <v>173340</v>
      </c>
      <c r="K204" t="s">
        <v>529</v>
      </c>
      <c r="L204">
        <v>1</v>
      </c>
      <c r="M204" t="s">
        <v>525</v>
      </c>
    </row>
    <row r="205" spans="1:13" ht="12.75" customHeight="1" x14ac:dyDescent="0.2">
      <c r="A205" t="s">
        <v>52</v>
      </c>
      <c r="B205" t="s">
        <v>279</v>
      </c>
      <c r="C205" s="12" t="s">
        <v>108</v>
      </c>
      <c r="D205" s="13">
        <v>46107</v>
      </c>
      <c r="E205" s="14">
        <v>0.29166666666666702</v>
      </c>
      <c r="F205" s="14">
        <v>0.33333333333333298</v>
      </c>
      <c r="G205" s="15">
        <f t="shared" si="3"/>
        <v>4.1666666666665964E-2</v>
      </c>
      <c r="H205" s="23" t="s">
        <v>530</v>
      </c>
      <c r="I205" t="s">
        <v>78</v>
      </c>
      <c r="J205">
        <v>173484</v>
      </c>
      <c r="K205" t="s">
        <v>524</v>
      </c>
      <c r="L205">
        <v>2</v>
      </c>
      <c r="M205" t="s">
        <v>531</v>
      </c>
    </row>
    <row r="206" spans="1:13" ht="12.75" customHeight="1" x14ac:dyDescent="0.2">
      <c r="A206" t="s">
        <v>52</v>
      </c>
      <c r="B206" t="s">
        <v>279</v>
      </c>
      <c r="C206" s="12" t="s">
        <v>108</v>
      </c>
      <c r="D206" s="13">
        <v>46107</v>
      </c>
      <c r="E206" s="14">
        <v>0.70833333333333304</v>
      </c>
      <c r="F206" s="14">
        <v>0.75416666666666698</v>
      </c>
      <c r="G206" s="15">
        <f t="shared" si="3"/>
        <v>4.5833333333333948E-2</v>
      </c>
      <c r="H206" s="24" t="s">
        <v>532</v>
      </c>
      <c r="I206" t="s">
        <v>78</v>
      </c>
      <c r="J206">
        <v>173484</v>
      </c>
      <c r="K206" t="s">
        <v>533</v>
      </c>
      <c r="L206">
        <v>3</v>
      </c>
      <c r="M206" t="s">
        <v>531</v>
      </c>
    </row>
    <row r="207" spans="1:13" ht="12.75" customHeight="1" x14ac:dyDescent="0.2">
      <c r="A207" t="s">
        <v>52</v>
      </c>
      <c r="B207" t="s">
        <v>279</v>
      </c>
      <c r="C207" s="12" t="s">
        <v>100</v>
      </c>
      <c r="D207" s="13">
        <v>46108</v>
      </c>
      <c r="E207" s="14">
        <v>0.70833333333333304</v>
      </c>
      <c r="F207" s="14">
        <v>0.87361111111111101</v>
      </c>
      <c r="G207" s="15">
        <f t="shared" si="3"/>
        <v>0.16527777777777797</v>
      </c>
      <c r="H207" s="23" t="s">
        <v>534</v>
      </c>
      <c r="I207" t="s">
        <v>78</v>
      </c>
      <c r="J207">
        <v>173561</v>
      </c>
      <c r="K207" t="s">
        <v>535</v>
      </c>
      <c r="L207">
        <v>3</v>
      </c>
      <c r="M207" t="s">
        <v>536</v>
      </c>
    </row>
    <row r="208" spans="1:13" ht="25.5" x14ac:dyDescent="0.2">
      <c r="A208" t="s">
        <v>52</v>
      </c>
      <c r="B208" t="s">
        <v>279</v>
      </c>
      <c r="C208" s="12" t="s">
        <v>8</v>
      </c>
      <c r="D208" s="13">
        <v>46109</v>
      </c>
      <c r="E208" s="14">
        <v>0.358333333333333</v>
      </c>
      <c r="F208" s="14">
        <v>0.49027777777777798</v>
      </c>
      <c r="G208" s="15">
        <f t="shared" si="3"/>
        <v>0.13194444444444497</v>
      </c>
      <c r="H208" s="24" t="s">
        <v>537</v>
      </c>
      <c r="I208" t="s">
        <v>78</v>
      </c>
      <c r="J208">
        <v>173613</v>
      </c>
      <c r="K208" t="s">
        <v>538</v>
      </c>
      <c r="L208">
        <v>1</v>
      </c>
      <c r="M208" t="s">
        <v>539</v>
      </c>
    </row>
    <row r="209" spans="1:13" ht="23.25" customHeight="1" x14ac:dyDescent="0.2">
      <c r="A209" t="s">
        <v>52</v>
      </c>
      <c r="B209" t="s">
        <v>279</v>
      </c>
      <c r="C209" s="12" t="s">
        <v>8</v>
      </c>
      <c r="D209" s="13">
        <v>46109</v>
      </c>
      <c r="E209" s="14">
        <v>0.6</v>
      </c>
      <c r="F209" s="14">
        <v>0.69652777777777797</v>
      </c>
      <c r="G209" s="15">
        <f t="shared" si="3"/>
        <v>9.652777777777799E-2</v>
      </c>
      <c r="H209" s="24" t="s">
        <v>540</v>
      </c>
      <c r="I209" t="s">
        <v>78</v>
      </c>
      <c r="J209">
        <v>173613</v>
      </c>
      <c r="K209" t="s">
        <v>527</v>
      </c>
      <c r="L209">
        <v>1</v>
      </c>
      <c r="M209" t="s">
        <v>539</v>
      </c>
    </row>
    <row r="210" spans="1:13" ht="34.5" customHeight="1" x14ac:dyDescent="0.2">
      <c r="A210" t="s">
        <v>52</v>
      </c>
      <c r="B210" t="s">
        <v>279</v>
      </c>
      <c r="C210" s="12" t="s">
        <v>76</v>
      </c>
      <c r="D210" s="13">
        <v>46112</v>
      </c>
      <c r="E210" s="14">
        <v>0.80138888888888904</v>
      </c>
      <c r="F210" s="14">
        <v>0.85277777777777797</v>
      </c>
      <c r="G210" s="15">
        <f t="shared" si="3"/>
        <v>5.1388888888888928E-2</v>
      </c>
      <c r="H210" s="24" t="s">
        <v>541</v>
      </c>
      <c r="I210" t="s">
        <v>73</v>
      </c>
      <c r="J210">
        <v>173764</v>
      </c>
      <c r="K210" t="s">
        <v>542</v>
      </c>
      <c r="L210">
        <v>1</v>
      </c>
      <c r="M210" t="s">
        <v>543</v>
      </c>
    </row>
    <row r="211" spans="1:13" ht="22.35" customHeight="1" x14ac:dyDescent="0.2">
      <c r="A211" t="s">
        <v>53</v>
      </c>
      <c r="B211" t="s">
        <v>544</v>
      </c>
      <c r="C211" s="12" t="s">
        <v>81</v>
      </c>
      <c r="D211" s="13">
        <v>46106</v>
      </c>
      <c r="E211" s="14">
        <v>0.70833333333333304</v>
      </c>
      <c r="F211" s="14">
        <v>0.77638888888888902</v>
      </c>
      <c r="G211" s="15">
        <f t="shared" si="3"/>
        <v>6.805555555555598E-2</v>
      </c>
      <c r="H211" s="24" t="s">
        <v>545</v>
      </c>
      <c r="I211" t="s">
        <v>78</v>
      </c>
      <c r="J211">
        <v>173419</v>
      </c>
      <c r="K211" t="s">
        <v>546</v>
      </c>
      <c r="L211">
        <v>3</v>
      </c>
      <c r="M211" t="s">
        <v>547</v>
      </c>
    </row>
    <row r="212" spans="1:13" ht="25.5" x14ac:dyDescent="0.2">
      <c r="A212" t="s">
        <v>53</v>
      </c>
      <c r="B212" t="s">
        <v>548</v>
      </c>
      <c r="C212" s="12" t="s">
        <v>100</v>
      </c>
      <c r="D212" s="13">
        <v>46108</v>
      </c>
      <c r="E212" s="14">
        <v>0.70833333333333304</v>
      </c>
      <c r="F212" s="14">
        <v>0.82638888888888895</v>
      </c>
      <c r="G212" s="15">
        <f t="shared" si="3"/>
        <v>0.11805555555555591</v>
      </c>
      <c r="H212" s="24" t="s">
        <v>549</v>
      </c>
      <c r="I212" t="s">
        <v>78</v>
      </c>
      <c r="J212">
        <v>173611</v>
      </c>
      <c r="K212" t="s">
        <v>550</v>
      </c>
      <c r="L212">
        <v>1</v>
      </c>
      <c r="M212" t="s">
        <v>551</v>
      </c>
    </row>
    <row r="213" spans="1:13" ht="23.25" customHeight="1" x14ac:dyDescent="0.2">
      <c r="A213" t="s">
        <v>53</v>
      </c>
      <c r="B213" t="s">
        <v>321</v>
      </c>
      <c r="C213" s="12" t="s">
        <v>8</v>
      </c>
      <c r="D213" s="13">
        <v>46109</v>
      </c>
      <c r="E213" s="14">
        <v>0.48958333333333298</v>
      </c>
      <c r="F213" s="14">
        <v>0.64583333333333304</v>
      </c>
      <c r="G213" s="15">
        <f t="shared" si="3"/>
        <v>0.15625000000000006</v>
      </c>
      <c r="H213" s="24" t="s">
        <v>552</v>
      </c>
      <c r="I213" t="s">
        <v>73</v>
      </c>
      <c r="J213">
        <v>173646</v>
      </c>
      <c r="K213" t="s">
        <v>553</v>
      </c>
      <c r="L213">
        <v>4</v>
      </c>
      <c r="M213" t="s">
        <v>554</v>
      </c>
    </row>
    <row r="214" spans="1:13" ht="38.25" x14ac:dyDescent="0.2">
      <c r="A214" t="s">
        <v>55</v>
      </c>
      <c r="B214" t="s">
        <v>350</v>
      </c>
      <c r="C214" s="12" t="s">
        <v>81</v>
      </c>
      <c r="D214" s="13">
        <v>46106</v>
      </c>
      <c r="E214" s="14">
        <v>0.8125</v>
      </c>
      <c r="F214" s="14">
        <v>0.87916666666666698</v>
      </c>
      <c r="G214" s="15">
        <f t="shared" si="3"/>
        <v>6.6666666666666985E-2</v>
      </c>
      <c r="H214" s="24" t="s">
        <v>555</v>
      </c>
      <c r="I214" t="s">
        <v>78</v>
      </c>
      <c r="J214">
        <v>173417</v>
      </c>
      <c r="K214" t="s">
        <v>556</v>
      </c>
      <c r="L214">
        <v>6</v>
      </c>
      <c r="M214" t="s">
        <v>557</v>
      </c>
    </row>
    <row r="215" spans="1:13" ht="12.75" customHeight="1" x14ac:dyDescent="0.2">
      <c r="A215" t="s">
        <v>55</v>
      </c>
      <c r="B215" t="s">
        <v>355</v>
      </c>
      <c r="C215" s="12" t="s">
        <v>100</v>
      </c>
      <c r="D215" s="13">
        <v>46108</v>
      </c>
      <c r="E215" s="14">
        <v>0.79930555555555605</v>
      </c>
      <c r="F215" s="14">
        <v>0.9</v>
      </c>
      <c r="G215" s="15">
        <f t="shared" si="3"/>
        <v>0.10069444444444398</v>
      </c>
      <c r="H215" s="24" t="s">
        <v>558</v>
      </c>
      <c r="I215" t="s">
        <v>133</v>
      </c>
      <c r="J215">
        <v>173553</v>
      </c>
      <c r="K215" t="s">
        <v>559</v>
      </c>
      <c r="L215">
        <v>1</v>
      </c>
      <c r="M215" t="s">
        <v>560</v>
      </c>
    </row>
    <row r="216" spans="1:13" ht="51" x14ac:dyDescent="0.2">
      <c r="A216" t="s">
        <v>55</v>
      </c>
      <c r="B216" t="s">
        <v>355</v>
      </c>
      <c r="C216" s="12" t="s">
        <v>8</v>
      </c>
      <c r="D216" s="13">
        <v>46109</v>
      </c>
      <c r="E216" s="14">
        <v>0.38263888888888897</v>
      </c>
      <c r="F216" s="14">
        <v>0.500694444444444</v>
      </c>
      <c r="G216" s="15">
        <f t="shared" si="3"/>
        <v>0.11805555555555503</v>
      </c>
      <c r="H216" s="24" t="s">
        <v>561</v>
      </c>
      <c r="I216" t="s">
        <v>78</v>
      </c>
      <c r="J216">
        <v>173656</v>
      </c>
      <c r="K216" t="s">
        <v>562</v>
      </c>
      <c r="L216">
        <v>8</v>
      </c>
      <c r="M216" t="s">
        <v>563</v>
      </c>
    </row>
    <row r="217" spans="1:13" ht="51" x14ac:dyDescent="0.2">
      <c r="A217" t="s">
        <v>55</v>
      </c>
      <c r="B217" t="s">
        <v>355</v>
      </c>
      <c r="C217" s="12" t="s">
        <v>11</v>
      </c>
      <c r="D217" s="13">
        <v>46110</v>
      </c>
      <c r="E217" s="14">
        <v>0.36111111111111099</v>
      </c>
      <c r="F217" s="14">
        <v>0.61041666666666705</v>
      </c>
      <c r="G217" s="15">
        <f t="shared" si="3"/>
        <v>0.24930555555555606</v>
      </c>
      <c r="H217" s="24" t="s">
        <v>564</v>
      </c>
      <c r="I217" t="s">
        <v>78</v>
      </c>
      <c r="J217">
        <v>173657</v>
      </c>
      <c r="K217" t="s">
        <v>565</v>
      </c>
      <c r="L217">
        <v>10</v>
      </c>
      <c r="M217" t="s">
        <v>566</v>
      </c>
    </row>
    <row r="218" spans="1:13" ht="12.75" customHeight="1" x14ac:dyDescent="0.2">
      <c r="A218" t="s">
        <v>55</v>
      </c>
      <c r="B218" t="s">
        <v>355</v>
      </c>
      <c r="C218" s="12" t="s">
        <v>11</v>
      </c>
      <c r="D218" s="13">
        <v>46110</v>
      </c>
      <c r="E218" s="14">
        <v>0.80277777777777803</v>
      </c>
      <c r="F218" s="14">
        <v>0.88541666666666696</v>
      </c>
      <c r="G218" s="15">
        <f t="shared" si="3"/>
        <v>8.2638888888888928E-2</v>
      </c>
      <c r="H218" s="24" t="s">
        <v>558</v>
      </c>
      <c r="I218" t="s">
        <v>133</v>
      </c>
      <c r="J218">
        <v>173657</v>
      </c>
      <c r="K218" t="s">
        <v>567</v>
      </c>
      <c r="L218">
        <v>1</v>
      </c>
      <c r="M218" t="s">
        <v>566</v>
      </c>
    </row>
    <row r="219" spans="1:13" ht="38.25" x14ac:dyDescent="0.2">
      <c r="A219" t="s">
        <v>50</v>
      </c>
      <c r="B219" t="s">
        <v>568</v>
      </c>
      <c r="C219" s="12" t="s">
        <v>71</v>
      </c>
      <c r="D219" s="13">
        <v>46111</v>
      </c>
      <c r="E219" s="14">
        <v>0.75</v>
      </c>
      <c r="F219" s="14">
        <v>0.86805555555555602</v>
      </c>
      <c r="G219" s="15">
        <f t="shared" si="3"/>
        <v>0.11805555555555602</v>
      </c>
      <c r="H219" s="24" t="s">
        <v>569</v>
      </c>
      <c r="I219" t="s">
        <v>73</v>
      </c>
      <c r="J219">
        <v>173735</v>
      </c>
      <c r="K219" t="s">
        <v>570</v>
      </c>
      <c r="L219">
        <v>7</v>
      </c>
      <c r="M219" t="s">
        <v>571</v>
      </c>
    </row>
    <row r="220" spans="1:13" ht="12.75" customHeight="1" x14ac:dyDescent="0.2">
      <c r="A220" t="s">
        <v>50</v>
      </c>
      <c r="B220" t="s">
        <v>568</v>
      </c>
      <c r="C220" s="12" t="s">
        <v>71</v>
      </c>
      <c r="D220" s="13">
        <v>46111</v>
      </c>
      <c r="E220" s="14">
        <v>0.94444444444444398</v>
      </c>
      <c r="F220" s="14">
        <v>0.99305555555555602</v>
      </c>
      <c r="G220" s="15">
        <f t="shared" si="3"/>
        <v>4.8611111111112049E-2</v>
      </c>
      <c r="H220" s="24" t="s">
        <v>572</v>
      </c>
      <c r="I220" t="s">
        <v>78</v>
      </c>
      <c r="J220">
        <v>173735</v>
      </c>
      <c r="K220" t="s">
        <v>573</v>
      </c>
      <c r="L220">
        <v>3</v>
      </c>
      <c r="M220" t="s">
        <v>571</v>
      </c>
    </row>
    <row r="221" spans="1:13" ht="12.75" customHeight="1" x14ac:dyDescent="0.2">
      <c r="A221" t="s">
        <v>50</v>
      </c>
      <c r="B221" t="s">
        <v>574</v>
      </c>
      <c r="C221" s="12" t="s">
        <v>71</v>
      </c>
      <c r="D221" s="13">
        <v>46111</v>
      </c>
      <c r="E221" s="14">
        <v>0.70833333333333304</v>
      </c>
      <c r="F221" s="14">
        <v>0.75</v>
      </c>
      <c r="G221" s="15">
        <f t="shared" si="3"/>
        <v>4.1666666666666963E-2</v>
      </c>
      <c r="H221" s="23" t="s">
        <v>575</v>
      </c>
      <c r="I221" t="s">
        <v>73</v>
      </c>
      <c r="J221">
        <v>173697</v>
      </c>
      <c r="K221" t="s">
        <v>576</v>
      </c>
      <c r="L221">
        <v>2</v>
      </c>
      <c r="M221" t="s">
        <v>577</v>
      </c>
    </row>
    <row r="222" spans="1:13" ht="25.5" x14ac:dyDescent="0.2">
      <c r="A222" t="s">
        <v>50</v>
      </c>
      <c r="B222" t="s">
        <v>568</v>
      </c>
      <c r="C222" s="12" t="s">
        <v>76</v>
      </c>
      <c r="D222" s="13">
        <v>46112</v>
      </c>
      <c r="E222" s="14">
        <v>0.85416666666666696</v>
      </c>
      <c r="F222" s="14">
        <v>0.97916666666666696</v>
      </c>
      <c r="G222" s="15">
        <f t="shared" si="3"/>
        <v>0.125</v>
      </c>
      <c r="H222" s="24" t="s">
        <v>578</v>
      </c>
      <c r="I222" t="s">
        <v>78</v>
      </c>
      <c r="J222">
        <v>173858</v>
      </c>
      <c r="K222" t="s">
        <v>579</v>
      </c>
      <c r="L222">
        <v>6</v>
      </c>
      <c r="M222" t="s">
        <v>580</v>
      </c>
    </row>
    <row r="223" spans="1:13" ht="12.75" customHeight="1" x14ac:dyDescent="0.2">
      <c r="A223" t="s">
        <v>54</v>
      </c>
      <c r="B223" t="s">
        <v>581</v>
      </c>
      <c r="C223" s="12" t="s">
        <v>71</v>
      </c>
      <c r="D223" s="13">
        <v>46104</v>
      </c>
      <c r="E223" s="14">
        <v>0.70833333333333304</v>
      </c>
      <c r="F223" s="14">
        <v>0.77152777777777803</v>
      </c>
      <c r="G223" s="15">
        <f t="shared" si="3"/>
        <v>6.3194444444444997E-2</v>
      </c>
      <c r="H223" s="23" t="s">
        <v>582</v>
      </c>
      <c r="I223" t="s">
        <v>73</v>
      </c>
      <c r="J223">
        <v>173261</v>
      </c>
      <c r="K223" t="s">
        <v>576</v>
      </c>
      <c r="L223">
        <v>2</v>
      </c>
      <c r="M223" t="s">
        <v>583</v>
      </c>
    </row>
    <row r="224" spans="1:13" ht="12.75" customHeight="1" x14ac:dyDescent="0.2">
      <c r="A224" t="s">
        <v>54</v>
      </c>
      <c r="B224" t="s">
        <v>581</v>
      </c>
      <c r="C224" s="12" t="s">
        <v>76</v>
      </c>
      <c r="D224" s="13">
        <v>46105</v>
      </c>
      <c r="E224" s="14">
        <v>0.86388888888888904</v>
      </c>
      <c r="F224" s="14">
        <v>0.89166666666666705</v>
      </c>
      <c r="G224" s="15">
        <f t="shared" si="3"/>
        <v>2.7777777777778012E-2</v>
      </c>
      <c r="H224" s="23" t="s">
        <v>584</v>
      </c>
      <c r="I224" t="s">
        <v>78</v>
      </c>
      <c r="J224">
        <v>173345</v>
      </c>
      <c r="K224" t="s">
        <v>567</v>
      </c>
      <c r="L224">
        <v>1</v>
      </c>
      <c r="M224" t="s">
        <v>585</v>
      </c>
    </row>
    <row r="225" spans="1:13" ht="12.75" customHeight="1" x14ac:dyDescent="0.2">
      <c r="A225" t="s">
        <v>54</v>
      </c>
      <c r="B225" t="s">
        <v>581</v>
      </c>
      <c r="C225" s="12" t="s">
        <v>100</v>
      </c>
      <c r="D225" s="13">
        <v>46108</v>
      </c>
      <c r="E225" s="14">
        <v>0.70833333333333304</v>
      </c>
      <c r="F225" s="14">
        <v>0.82638888888888895</v>
      </c>
      <c r="G225" s="15">
        <f t="shared" si="3"/>
        <v>0.11805555555555591</v>
      </c>
      <c r="H225" s="25" t="s">
        <v>588</v>
      </c>
      <c r="I225" t="s">
        <v>78</v>
      </c>
      <c r="J225">
        <v>173547</v>
      </c>
      <c r="K225" t="s">
        <v>586</v>
      </c>
      <c r="L225">
        <v>2</v>
      </c>
      <c r="M225" t="s">
        <v>587</v>
      </c>
    </row>
  </sheetData>
  <autoFilter ref="A1:M225" xr:uid="{00000000-0009-0000-0000-000001000000}"/>
  <conditionalFormatting sqref="E1:E1048576">
    <cfRule type="expression" dxfId="15" priority="9">
      <formula>AND(HOUR($E1)&lt;17, HOUR($F1)&gt;17)</formula>
    </cfRule>
  </conditionalFormatting>
  <conditionalFormatting sqref="F1:F1048576">
    <cfRule type="expression" dxfId="14" priority="8">
      <formula>AND(HOUR($E1)&lt;8, HOUR($F1)&gt;8)</formula>
    </cfRule>
  </conditionalFormatting>
  <conditionalFormatting sqref="A1:M1048576">
    <cfRule type="expression" dxfId="13" priority="2">
      <formula>($A1&lt;&gt;$A2)</formula>
    </cfRule>
    <cfRule type="expression" dxfId="12" priority="3">
      <formula>($C1="sábado")</formula>
    </cfRule>
    <cfRule type="expression" dxfId="11" priority="4">
      <formula>($C1="domingo")</formula>
    </cfRule>
    <cfRule type="expression" dxfId="8" priority="7">
      <formula>($E1&lt;&gt;"")*( HOUR($E1)&lt;6)</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extLst>
    <ext xmlns:x14="http://schemas.microsoft.com/office/spreadsheetml/2009/9/main" uri="{78C0D931-6437-407d-A8EE-F0AAD7539E65}">
      <x14:conditionalFormattings>
        <x14:conditionalFormatting xmlns:xm="http://schemas.microsoft.com/office/excel/2006/main">
          <x14:cfRule type="expression" priority="5" id="{34F9CE50-E6E6-4591-89CD-2861DBDEF8D1}">
            <xm:f>COUNTIF(Revisar_primero!$B$2:$B$14,$D1)&gt;0</xm:f>
            <x14:dxf>
              <fill>
                <patternFill>
                  <bgColor theme="4" tint="0.79979857783745845"/>
                </patternFill>
              </fill>
            </x14:dxf>
          </x14:cfRule>
          <x14:cfRule type="expression" priority="6" id="{CBD39D8F-CA86-40B6-B383-811E55DFF630}">
            <xm:f>MATCH(1,(Revisar_primero!$A$15:$A$28=$A1)*(Revisar_primero!$B$15:$B$28=$D1),0)</xm:f>
            <x14:dxf>
              <fill>
                <patternFill>
                  <bgColor theme="4" tint="0.79979857783745845"/>
                </patternFill>
              </fill>
            </x14:dxf>
          </x14:cfRule>
          <xm:sqref>A1:M1048576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25</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Revisar_primero</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9</cp:revision>
  <dcterms:created xsi:type="dcterms:W3CDTF">2026-03-29T13:03:07Z</dcterms:created>
  <dcterms:modified xsi:type="dcterms:W3CDTF">2026-04-02T23:02:30Z</dcterms:modified>
  <dc:language>es-EC</dc:language>
</cp:coreProperties>
</file>