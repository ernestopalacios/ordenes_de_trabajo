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Revisar_primero" sheetId="1" state="visible" r:id="rId1"/>
    <sheet name="HORAS_EXTRA" sheetId="2" state="visible" r:id="rId2"/>
    <sheet name="FR" sheetId="3" state="visible" r:id="rId3"/>
    <sheet name="JCR" sheetId="4" state="visible" r:id="rId4"/>
    <sheet name="RS" sheetId="5" state="visible" r:id="rId5"/>
    <sheet name="LL" sheetId="6" state="visible" r:id="rId6"/>
    <sheet name="VZH" sheetId="7" state="visible" r:id="rId7"/>
    <sheet name="GJ" sheetId="8" state="visible" r:id="rId8"/>
    <sheet name="SO" sheetId="9" state="visible" r:id="rId9"/>
    <sheet name="LM" sheetId="10" state="visible" r:id="rId10"/>
    <sheet name="RY" sheetId="11" state="visible" r:id="rId11"/>
    <sheet name="JCH" sheetId="12" state="visible" r:id="rId12"/>
    <sheet name="MC" sheetId="13" state="visible" r:id="rId13"/>
    <sheet name="NL" sheetId="14" state="visible" r:id="rId14"/>
    <sheet name="WC" sheetId="15" state="visible" r:id="rId15"/>
    <sheet name="NR" sheetId="16" state="visible" r:id="rId16"/>
    <sheet name="SB" sheetId="17" state="visible" r:id="rId17"/>
    <sheet name="JLC" sheetId="18" state="visible" r:id="rId18"/>
    <sheet name="AA" sheetId="19" state="visible" r:id="rId19"/>
    <sheet name="GT" sheetId="20" state="visible" r:id="rId20"/>
    <sheet name="AO" sheetId="21" state="visible" r:id="rId21"/>
    <sheet name="GLE" sheetId="22" state="visible" r:id="rId22"/>
    <sheet name="JA" sheetId="23" state="visible" r:id="rId23"/>
    <sheet name="MS" sheetId="24" state="visible" r:id="rId24"/>
    <sheet name="DG" sheetId="25" state="visible" r:id="rId25"/>
    <sheet name="JJ" sheetId="26" state="visible" r:id="rId26"/>
    <sheet name=" JJ" sheetId="27" state="visible" r:id="rId27"/>
    <sheet name="CQ" sheetId="28" state="visible" r:id="rId28"/>
    <sheet name="AC" sheetId="29" state="visible" r:id="rId29"/>
    <sheet name="JL" sheetId="30" state="visible" r:id="rId30"/>
    <sheet name="HM" sheetId="31" state="visible" r:id="rId31"/>
    <sheet name="LV" sheetId="32" state="visible" r:id="rId32"/>
    <sheet name="AS" sheetId="33" state="visible" r:id="rId33"/>
    <sheet name="AD" sheetId="34" state="visible" r:id="rId34"/>
    <sheet name="FA" sheetId="35" state="visible" r:id="rId35"/>
    <sheet name="CLP" sheetId="36" state="visible" r:id="rId36"/>
    <sheet name="GC" sheetId="37" state="visible" r:id="rId37"/>
    <sheet name="FG" sheetId="38" state="visible" r:id="rId38"/>
    <sheet name="MA" sheetId="39" state="visible" r:id="rId39"/>
    <sheet name="PCH" sheetId="40" state="visible" r:id="rId40"/>
    <sheet name="RCL" sheetId="41" state="visible" r:id="rId41"/>
    <sheet name="CB" sheetId="42" state="visible" r:id="rId42"/>
  </sheets>
  <definedNames>
    <definedName name="AREA" hidden="0" function="0" vbProcedure="0">NA()</definedName>
    <definedName name="AREA_2000" hidden="0" function="0" vbProcedure="0">NA()</definedName>
    <definedName name="LISTAMAT" hidden="0" function="0" vbProcedure="0">NA()</definedName>
    <definedName name="Listamateriales" hidden="0" function="0" vbProcedure="0">NA()</definedName>
    <definedName name="_Fill" hidden="0" function="0" vbProcedure="0">NA()</definedName>
    <definedName name="_Key1" hidden="0" function="0" vbProcedure="0">NA()</definedName>
    <definedName name="_Order1" hidden="0" function="0" vbProcedure="0">255</definedName>
    <definedName name="_Sort" hidden="0" function="0" vbProcedure="0">NA()</definedName>
    <definedName name="_xlfn_IFERROR" hidden="0" function="0" vbProcedure="0">#ref!</definedName>
    <definedName name="_xlfn__FV" hidden="0" function="0" vbProcedure="0">#ref!</definedName>
    <definedName name="Imprimir_títulos_IM" localSheetId="1" hidden="0" function="0" vbProcedure="0">NA()</definedName>
    <definedName name="Imprimir_área_IM" localSheetId="1" hidden="0" function="0" vbProcedure="0">NA()</definedName>
    <definedName name="_Regression_Int" localSheetId="1" hidden="0" function="0" vbProcedure="0">1</definedName>
    <definedName name="_xlnm.Print_Area" localSheetId="1">'HORAS_EXTRA'!$A$1:$J$36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dd&quot;,  &quot;dd&quot; de &quot;mmmm&quot; de &quot;yyyy"/>
    <numFmt numFmtId="165" formatCode="dd/mm/yy"/>
    <numFmt numFmtId="166" formatCode="[$-C0A]d/mmm\ yyyy;@"/>
    <numFmt numFmtId="167" formatCode="h:mm;@"/>
    <numFmt numFmtId="168" formatCode="0.000"/>
    <numFmt numFmtId="169" formatCode="0\ %"/>
  </numFmts>
  <fonts count="24">
    <font>
      <name val="Courier New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urier New"/>
      <charset val="134"/>
      <family val="0"/>
      <color rgb="FF000000"/>
      <sz val="1"/>
    </font>
    <font>
      <name val="Courier New"/>
      <charset val="134"/>
      <family val="0"/>
      <i val="1"/>
      <color rgb="FF000000"/>
      <sz val="1"/>
    </font>
    <font>
      <name val="Arial"/>
      <charset val="134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4"/>
    </font>
    <font>
      <name val="Arial"/>
      <charset val="1"/>
      <family val="0"/>
      <sz val="12"/>
    </font>
    <font>
      <name val="Arial"/>
      <charset val="1"/>
      <family val="0"/>
      <sz val="14"/>
    </font>
    <font>
      <name val="Arial"/>
      <charset val="1"/>
      <family val="0"/>
      <color rgb="FFFFFFFF"/>
      <sz val="10"/>
    </font>
    <font>
      <name val="Aptos Display"/>
      <charset val="134"/>
      <family val="0"/>
      <b val="1"/>
      <color rgb="FF000000"/>
      <sz val="12"/>
    </font>
    <font>
      <name val="Aptos Display"/>
      <charset val="134"/>
      <family val="0"/>
      <sz val="12"/>
    </font>
    <font>
      <name val="Aptos Display"/>
      <charset val="134"/>
      <family val="0"/>
      <b val="1"/>
      <sz val="18"/>
    </font>
    <font>
      <name val="Aptos Display"/>
      <charset val="134"/>
      <family val="0"/>
      <b val="1"/>
      <color rgb="FF000000"/>
      <sz val="18"/>
    </font>
    <font>
      <name val="Aptos Display"/>
      <charset val="134"/>
      <family val="0"/>
      <b val="1"/>
      <sz val="12"/>
    </font>
    <font>
      <name val="Aptos Display"/>
      <charset val="134"/>
      <family val="0"/>
      <b val="1"/>
      <sz val="21"/>
    </font>
    <font>
      <name val="Aptos Display"/>
      <charset val="134"/>
      <family val="0"/>
      <color rgb="FF000000"/>
      <sz val="12"/>
    </font>
    <font>
      <name val="Times New Roman"/>
      <charset val="134"/>
      <family val="0"/>
      <b val="1"/>
      <sz val="21"/>
    </font>
    <font>
      <name val="Arial"/>
      <charset val="134"/>
      <family val="0"/>
      <b val="1"/>
      <sz val="10"/>
    </font>
    <font>
      <name val="Aptos Display"/>
      <charset val="134"/>
      <family val="0"/>
      <sz val="10"/>
    </font>
    <font>
      <name val="Aptos Display"/>
      <charset val="134"/>
      <family val="0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8080"/>
        <bgColor rgb="FFFF99CC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666699"/>
        <bgColor rgb="FF808080"/>
      </patternFill>
    </fill>
  </fills>
  <borders count="5">
    <border>
      <left/>
      <right/>
      <top/>
      <bottom/>
      <diagonal/>
    </border>
    <border>
      <left/>
      <right style="hair"/>
      <top/>
      <bottom/>
      <diagonal/>
    </border>
    <border>
      <left/>
      <right style="thin">
        <color rgb="FF0066CC"/>
      </right>
      <top/>
      <bottom/>
      <diagonal/>
    </border>
    <border>
      <left style="thin">
        <color rgb="FF0066CC"/>
      </left>
      <right/>
      <top style="thin">
        <color rgb="FF0066CC"/>
      </top>
      <bottom/>
      <diagonal/>
    </border>
    <border>
      <left style="thin">
        <color rgb="FF0066CC"/>
      </left>
      <right/>
      <top/>
      <bottom/>
      <diagonal/>
    </border>
  </borders>
  <cellStyleXfs count="14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169" fontId="0" fillId="0" borderId="0" applyAlignment="1">
      <alignment horizontal="general" vertical="bottom"/>
    </xf>
    <xf numFmtId="0" fontId="4" fillId="0" borderId="0" applyAlignment="1" applyProtection="1">
      <alignment horizontal="general" vertical="bottom"/>
      <protection locked="0" hidden="0"/>
    </xf>
    <xf numFmtId="0" fontId="4" fillId="0" borderId="0" applyAlignment="1" applyProtection="1">
      <alignment horizontal="general" vertical="bottom"/>
      <protection locked="0" hidden="0"/>
    </xf>
    <xf numFmtId="0" fontId="5" fillId="0" borderId="0" applyAlignment="1" applyProtection="1">
      <alignment horizontal="general" vertical="bottom"/>
      <protection locked="0" hidden="0"/>
    </xf>
    <xf numFmtId="0" fontId="4" fillId="0" borderId="0" applyAlignment="1" applyProtection="1">
      <alignment horizontal="general" vertical="bottom"/>
      <protection locked="0" hidden="0"/>
    </xf>
    <xf numFmtId="0" fontId="4" fillId="0" borderId="0" applyAlignment="1" applyProtection="1">
      <alignment horizontal="general" vertical="bottom"/>
      <protection locked="0" hidden="0"/>
    </xf>
    <xf numFmtId="0" fontId="4" fillId="0" borderId="0" applyAlignment="1" applyProtection="1">
      <alignment horizontal="general" vertical="bottom"/>
      <protection locked="0" hidden="0"/>
    </xf>
    <xf numFmtId="0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</cellStyleXfs>
  <cellXfs count="119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bottom"/>
    </xf>
    <xf numFmtId="165" fontId="7" fillId="3" borderId="0" applyAlignment="1" pivotButton="0" quotePrefix="0" xfId="0">
      <alignment horizontal="general" vertical="bottom"/>
    </xf>
    <xf numFmtId="165" fontId="7" fillId="4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general" vertical="bottom"/>
    </xf>
    <xf numFmtId="165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8" borderId="0" applyAlignment="1" pivotButton="0" quotePrefix="0" xfId="0">
      <alignment horizontal="general" vertical="bottom"/>
    </xf>
    <xf numFmtId="165" fontId="12" fillId="9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right" vertical="center"/>
    </xf>
    <xf numFmtId="2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applyProtection="1" pivotButton="0" quotePrefix="0" xfId="0">
      <alignment horizontal="general" vertical="center"/>
      <protection locked="1" hidden="1"/>
    </xf>
    <xf numFmtId="0" fontId="18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left" vertical="bottom"/>
    </xf>
    <xf numFmtId="0" fontId="6" fillId="10" borderId="0" applyAlignment="1" pivotButton="0" quotePrefix="0" xfId="0">
      <alignment horizontal="general" vertical="bottom"/>
    </xf>
    <xf numFmtId="0" fontId="17" fillId="0" borderId="0" applyAlignment="1" applyProtection="1" pivotButton="0" quotePrefix="0" xfId="0">
      <alignment horizontal="left" vertical="center"/>
      <protection locked="1" hidden="1"/>
    </xf>
    <xf numFmtId="0" fontId="22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right" vertical="center" indent="1"/>
    </xf>
    <xf numFmtId="4" fontId="6" fillId="1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10" borderId="0" applyAlignment="1" pivotButton="0" quotePrefix="0" xfId="19">
      <alignment horizontal="general" vertical="bottom"/>
    </xf>
    <xf numFmtId="0" fontId="17" fillId="11" borderId="0" applyAlignment="1" pivotButton="0" quotePrefix="0" xfId="0">
      <alignment horizontal="center" vertical="bottom"/>
    </xf>
    <xf numFmtId="0" fontId="17" fillId="11" borderId="2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4" fontId="23" fillId="10" borderId="0" applyAlignment="1" pivotButton="0" quotePrefix="0" xfId="0">
      <alignment horizontal="center" vertical="bottom"/>
    </xf>
    <xf numFmtId="0" fontId="23" fillId="10" borderId="0" applyAlignment="1" pivotButton="0" quotePrefix="0" xfId="0">
      <alignment horizontal="center" vertical="bottom"/>
    </xf>
    <xf numFmtId="0" fontId="23" fillId="10" borderId="0" applyAlignment="1" pivotButton="0" quotePrefix="0" xfId="19">
      <alignment horizontal="center" vertical="bottom"/>
    </xf>
    <xf numFmtId="0" fontId="14" fillId="0" borderId="0" applyAlignment="1" pivotButton="0" quotePrefix="0" xfId="0">
      <alignment horizontal="right" vertical="center"/>
    </xf>
    <xf numFmtId="166" fontId="14" fillId="0" borderId="2" applyAlignment="1" pivotButton="0" quotePrefix="0" xfId="0">
      <alignment horizontal="right" vertical="center"/>
    </xf>
    <xf numFmtId="167" fontId="14" fillId="0" borderId="0" applyAlignment="1" pivotButton="0" quotePrefix="0" xfId="0">
      <alignment horizontal="center" vertical="center"/>
    </xf>
    <xf numFmtId="167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19">
      <alignment horizontal="general" vertical="bottom"/>
    </xf>
    <xf numFmtId="0" fontId="6" fillId="1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2" fontId="6" fillId="1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165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bottom"/>
    </xf>
    <xf numFmtId="165" fontId="7" fillId="3" borderId="0" applyAlignment="1" pivotButton="0" quotePrefix="0" xfId="0">
      <alignment horizontal="general" vertical="bottom"/>
    </xf>
    <xf numFmtId="165" fontId="7" fillId="4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general" vertical="bottom"/>
    </xf>
    <xf numFmtId="165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8" borderId="0" applyAlignment="1" pivotButton="0" quotePrefix="0" xfId="0">
      <alignment horizontal="general" vertical="bottom"/>
    </xf>
    <xf numFmtId="165" fontId="12" fillId="9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right" vertical="center"/>
    </xf>
    <xf numFmtId="2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applyProtection="1" pivotButton="0" quotePrefix="0" xfId="0">
      <alignment horizontal="general" vertical="center"/>
      <protection locked="1" hidden="1"/>
    </xf>
    <xf numFmtId="0" fontId="18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left" vertical="bottom"/>
    </xf>
    <xf numFmtId="0" fontId="6" fillId="10" borderId="0" applyAlignment="1" pivotButton="0" quotePrefix="0" xfId="0">
      <alignment horizontal="general" vertical="bottom"/>
    </xf>
    <xf numFmtId="0" fontId="17" fillId="0" borderId="0" applyAlignment="1" applyProtection="1" pivotButton="0" quotePrefix="0" xfId="0">
      <alignment horizontal="left" vertical="center"/>
      <protection locked="1" hidden="1"/>
    </xf>
    <xf numFmtId="0" fontId="22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right" vertical="center" indent="1"/>
    </xf>
    <xf numFmtId="4" fontId="6" fillId="1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10" borderId="0" applyAlignment="1" pivotButton="0" quotePrefix="0" xfId="19">
      <alignment horizontal="general" vertical="bottom"/>
    </xf>
    <xf numFmtId="0" fontId="17" fillId="11" borderId="0" applyAlignment="1" pivotButton="0" quotePrefix="0" xfId="0">
      <alignment horizontal="center" vertical="bottom"/>
    </xf>
    <xf numFmtId="0" fontId="17" fillId="11" borderId="2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4" fontId="23" fillId="10" borderId="0" applyAlignment="1" pivotButton="0" quotePrefix="0" xfId="0">
      <alignment horizontal="center" vertical="bottom"/>
    </xf>
    <xf numFmtId="0" fontId="23" fillId="10" borderId="0" applyAlignment="1" pivotButton="0" quotePrefix="0" xfId="0">
      <alignment horizontal="center" vertical="bottom"/>
    </xf>
    <xf numFmtId="0" fontId="23" fillId="10" borderId="0" applyAlignment="1" pivotButton="0" quotePrefix="0" xfId="19">
      <alignment horizontal="center" vertical="bottom"/>
    </xf>
    <xf numFmtId="166" fontId="14" fillId="0" borderId="2" applyAlignment="1" pivotButton="0" quotePrefix="0" xfId="0">
      <alignment horizontal="right" vertical="center"/>
    </xf>
    <xf numFmtId="167" fontId="14" fillId="0" borderId="0" applyAlignment="1" pivotButton="0" quotePrefix="0" xfId="0">
      <alignment horizontal="center" vertical="center"/>
    </xf>
    <xf numFmtId="167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6" fillId="0" borderId="0" applyAlignment="1" pivotButton="0" quotePrefix="0" xfId="19">
      <alignment horizontal="general" vertical="bottom"/>
    </xf>
    <xf numFmtId="0" fontId="6" fillId="4" borderId="0" applyAlignment="1" pivotButton="0" quotePrefix="0" xfId="0">
      <alignment horizontal="general" vertical="bottom"/>
    </xf>
    <xf numFmtId="2" fontId="6" fillId="1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</cellXfs>
  <cellStyles count="14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F2" xfId="6"/>
    <cellStyle name="F3" xfId="7"/>
    <cellStyle name="F4" xfId="8"/>
    <cellStyle name="F5" xfId="9"/>
    <cellStyle name="F6" xfId="10"/>
    <cellStyle name="F7" xfId="11"/>
    <cellStyle name="F8" xfId="12"/>
    <cellStyle name="Normal 2" xfId="13"/>
  </cellStyles>
  <dxfs count="4">
    <dxf>
      <font>
        <name val="Courier New"/>
        <charset val="1"/>
        <family val="0"/>
        <color rgb="FFFFFFFF"/>
        <sz val="12"/>
      </font>
      <fill>
        <patternFill>
          <bgColor rgb="FFC0C0C0"/>
        </patternFill>
      </fill>
    </dxf>
    <dxf>
      <font>
        <name val="Courier New"/>
        <charset val="134"/>
        <family val="0"/>
        <b val="1"/>
        <sz val="12"/>
      </font>
    </dxf>
    <dxf>
      <font>
        <color rgb="00FFFFFF"/>
      </font>
      <fill>
        <patternFill>
          <bgColor rgb="007030A0"/>
        </patternFill>
      </fill>
    </dxf>
    <dxf>
      <font>
        <b val="1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7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E22" activeCellId="0" sqref="6:36"/>
    </sheetView>
  </sheetViews>
  <sheetFormatPr baseColWidth="8" defaultColWidth="10.91015625" defaultRowHeight="16.5" customHeight="0" zeroHeight="0" outlineLevelRow="0"/>
  <cols>
    <col width="33.55" customWidth="1" style="61" min="1" max="1"/>
    <col width="27.33" customWidth="1" style="62" min="2" max="2"/>
    <col width="22.33" customWidth="1" style="61" min="3" max="3"/>
    <col width="28.77" customWidth="1" style="63" min="4" max="4"/>
    <col width="12.33" customWidth="1" style="63" min="5" max="5"/>
    <col width="14.33" customWidth="1" style="64" min="6" max="6"/>
    <col width="14.56" customWidth="1" style="61" min="7" max="7"/>
    <col width="25.55" customWidth="1" style="63" min="8" max="8"/>
    <col width="12.33" customWidth="1" style="64" min="9" max="9"/>
    <col width="13.66" customWidth="1" style="61" min="10" max="10"/>
  </cols>
  <sheetData>
    <row r="1" ht="26.85" customHeight="1" s="65">
      <c r="A1" s="66" t="inlineStr">
        <is>
          <t>Aplica</t>
        </is>
      </c>
      <c r="B1" s="66" t="inlineStr">
        <is>
          <t>Fecha</t>
        </is>
      </c>
      <c r="C1" s="66" t="inlineStr">
        <is>
          <t>Etiqueta</t>
        </is>
      </c>
      <c r="D1" s="66" t="inlineStr">
        <is>
          <t>TurnoAP</t>
        </is>
      </c>
      <c r="E1" s="66" t="n"/>
      <c r="F1" s="67" t="inlineStr">
        <is>
          <t>Colores (informativo)</t>
        </is>
      </c>
      <c r="H1" s="68" t="inlineStr">
        <is>
          <t>Reglas de colores aplicadas al documento</t>
        </is>
      </c>
      <c r="J1" s="68" t="inlineStr">
        <is>
          <t>Cuentas</t>
        </is>
      </c>
    </row>
    <row r="2" ht="16.5" customHeight="1" s="65">
      <c r="A2" s="69" t="inlineStr">
        <is>
          <t>TODOS</t>
        </is>
      </c>
      <c r="B2" s="62" t="n">
        <v>46023</v>
      </c>
      <c r="C2" s="61" t="inlineStr">
        <is>
          <t>“Día Festivo: Año Nuevo”</t>
        </is>
      </c>
      <c r="D2" s="62" t="n">
        <v>46034</v>
      </c>
      <c r="E2" s="62" t="n"/>
      <c r="F2" s="70" t="n"/>
      <c r="G2" s="61" t="inlineStr">
        <is>
          <t>sábado</t>
        </is>
      </c>
      <c r="J2" s="63" t="n"/>
    </row>
    <row r="3" ht="16.5" customHeight="1" s="65">
      <c r="A3" s="69" t="inlineStr">
        <is>
          <t>TODOS</t>
        </is>
      </c>
      <c r="B3" s="62" t="n">
        <v>46066</v>
      </c>
      <c r="C3" s="61" t="inlineStr">
        <is>
          <t>“Día Festivo: Día del Oriente Ecuatoriano”</t>
        </is>
      </c>
      <c r="D3" s="62" t="n">
        <v>46035</v>
      </c>
      <c r="E3" s="62" t="n"/>
      <c r="F3" s="71" t="n"/>
      <c r="G3" s="61" t="inlineStr">
        <is>
          <t>domingo</t>
        </is>
      </c>
      <c r="J3" s="63" t="inlineStr">
        <is>
          <t xml:space="preserve"> REDES</t>
        </is>
      </c>
    </row>
    <row r="4" ht="16.5" customHeight="1" s="65">
      <c r="A4" s="69" t="inlineStr">
        <is>
          <t>TODOS</t>
        </is>
      </c>
      <c r="B4" s="62" t="n">
        <v>46069</v>
      </c>
      <c r="C4" s="61" t="inlineStr">
        <is>
          <t>“Día Festivo: Carnaval (Lunes)”</t>
        </is>
      </c>
      <c r="D4" s="62" t="n">
        <v>46036</v>
      </c>
      <c r="E4" s="62" t="n"/>
      <c r="F4" s="72" t="n"/>
      <c r="G4" s="61" t="inlineStr">
        <is>
          <t>feriado</t>
        </is>
      </c>
      <c r="J4" s="63" t="inlineStr">
        <is>
          <t xml:space="preserve"> ALUMBRADO</t>
        </is>
      </c>
    </row>
    <row r="5" ht="16.5" customHeight="1" s="65">
      <c r="A5" s="69" t="inlineStr">
        <is>
          <t>TODOS</t>
        </is>
      </c>
      <c r="B5" s="62" t="n">
        <v>46070</v>
      </c>
      <c r="C5" s="61" t="inlineStr">
        <is>
          <t>“Día Festivo: Carnaval (Martes)”</t>
        </is>
      </c>
      <c r="D5" s="62" t="n">
        <v>46037</v>
      </c>
      <c r="E5" s="62" t="n"/>
      <c r="F5" s="73" t="n"/>
      <c r="G5" s="61" t="inlineStr">
        <is>
          <t>madrugada</t>
        </is>
      </c>
      <c r="J5" s="63" t="inlineStr">
        <is>
          <t xml:space="preserve"> ACOMETIDAS</t>
        </is>
      </c>
    </row>
    <row r="6" ht="16.5" customHeight="1" s="65">
      <c r="A6" s="69" t="inlineStr">
        <is>
          <t>TODOS</t>
        </is>
      </c>
      <c r="B6" s="62" t="n">
        <v>46115</v>
      </c>
      <c r="C6" s="61" t="inlineStr">
        <is>
          <t>“Día Festivo: Viernes Santo”</t>
        </is>
      </c>
      <c r="D6" s="62" t="n">
        <v>46038</v>
      </c>
      <c r="E6" s="62" t="n"/>
      <c r="F6" s="74" t="n"/>
      <c r="G6" s="61" t="inlineStr">
        <is>
          <t>cambio horario</t>
        </is>
      </c>
      <c r="H6" s="63" t="inlineStr">
        <is>
          <t>Cuadrilla AP cambio de horario</t>
        </is>
      </c>
      <c r="J6" s="63" t="inlineStr">
        <is>
          <t xml:space="preserve"> MEDIDORES</t>
        </is>
      </c>
    </row>
    <row r="7" ht="16.5" customHeight="1" s="65">
      <c r="A7" s="69" t="inlineStr">
        <is>
          <t>TODOS</t>
        </is>
      </c>
      <c r="B7" s="62" t="n">
        <v>46143</v>
      </c>
      <c r="C7" s="61" t="inlineStr">
        <is>
          <t>“Día Festivo: Día del Trabajo”</t>
        </is>
      </c>
      <c r="D7" s="62" t="n">
        <v>46055</v>
      </c>
      <c r="E7" s="62" t="n"/>
      <c r="F7" s="75" t="n"/>
      <c r="G7" s="61" t="inlineStr">
        <is>
          <t>revisar hora inicio</t>
        </is>
      </c>
      <c r="H7" s="63" t="inlineStr">
        <is>
          <t>debería ser hasta 08:00 am</t>
        </is>
      </c>
      <c r="J7" s="63" t="inlineStr">
        <is>
          <t xml:space="preserve"> informativa</t>
        </is>
      </c>
    </row>
    <row r="8" ht="16.5" customHeight="1" s="65">
      <c r="A8" s="69" t="inlineStr">
        <is>
          <t>TODOS</t>
        </is>
      </c>
      <c r="B8" s="62" t="n">
        <v>46167</v>
      </c>
      <c r="C8" s="61" t="inlineStr">
        <is>
          <t>“Día Festivo: Batalla de Pichincha”</t>
        </is>
      </c>
      <c r="D8" s="62" t="n">
        <v>46056</v>
      </c>
      <c r="E8" s="62" t="n"/>
      <c r="F8" s="75" t="n"/>
      <c r="G8" s="61" t="inlineStr">
        <is>
          <t>revisar hora final</t>
        </is>
      </c>
      <c r="H8" s="63" t="inlineStr">
        <is>
          <t>debería ser desde 17:00 pm</t>
        </is>
      </c>
      <c r="J8" s="63" t="inlineStr">
        <is>
          <t xml:space="preserve"> transporte</t>
        </is>
      </c>
    </row>
    <row r="9" ht="16.5" customHeight="1" s="65">
      <c r="A9" s="69" t="inlineStr">
        <is>
          <t>TODOS</t>
        </is>
      </c>
      <c r="B9" s="62" t="n">
        <v>46244</v>
      </c>
      <c r="C9" s="61" t="inlineStr">
        <is>
          <t xml:space="preserve">“Día Festivo. Primer Grito de Independencia” </t>
        </is>
      </c>
      <c r="D9" s="62" t="n">
        <v>46057</v>
      </c>
      <c r="E9" s="62" t="n"/>
      <c r="F9" s="76" t="inlineStr">
        <is>
          <t>DIVIDIR</t>
        </is>
      </c>
      <c r="G9" s="61" t="inlineStr">
        <is>
          <t xml:space="preserve">Separar MAD </t>
        </is>
      </c>
      <c r="H9" s="63" t="inlineStr">
        <is>
          <t>Dividir en dos --&gt;(06:00)&lt;--</t>
        </is>
      </c>
      <c r="J9" s="63" t="inlineStr">
        <is>
          <t xml:space="preserve"> SUBESTACION</t>
        </is>
      </c>
    </row>
    <row r="10" ht="16.5" customHeight="1" s="65">
      <c r="A10" s="69" t="inlineStr">
        <is>
          <t>TODOS</t>
        </is>
      </c>
      <c r="B10" s="62" t="n">
        <v>46304</v>
      </c>
      <c r="C10" s="61" t="inlineStr">
        <is>
          <t xml:space="preserve">“Día Festivo: Independencia de Guayaquil” </t>
        </is>
      </c>
      <c r="D10" s="62" t="n">
        <v>46058</v>
      </c>
      <c r="E10" s="62" t="n"/>
      <c r="J10" s="63" t="inlineStr">
        <is>
          <t xml:space="preserve"> SUBTRANSMISION</t>
        </is>
      </c>
    </row>
    <row r="11" ht="16.5" customHeight="1" s="65">
      <c r="A11" s="69" t="inlineStr">
        <is>
          <t>TODOS</t>
        </is>
      </c>
      <c r="B11" s="62" t="n">
        <v>46328</v>
      </c>
      <c r="C11" s="61" t="inlineStr">
        <is>
          <t>“Día Festivo: Santos Difuntos”</t>
        </is>
      </c>
      <c r="D11" s="62" t="n">
        <v>46076</v>
      </c>
      <c r="E11" s="62" t="n"/>
      <c r="J11" s="63" t="inlineStr">
        <is>
          <t xml:space="preserve"> Servicios_Ocasional</t>
        </is>
      </c>
    </row>
    <row r="12" ht="16.5" customHeight="1" s="65">
      <c r="A12" s="69" t="inlineStr">
        <is>
          <t>TODOS</t>
        </is>
      </c>
      <c r="B12" s="62" t="n">
        <v>46329</v>
      </c>
      <c r="C12" s="61" t="inlineStr">
        <is>
          <t>“Día Festivo: Independencia de Cuenca”</t>
        </is>
      </c>
      <c r="D12" s="62" t="n">
        <v>46118</v>
      </c>
      <c r="E12" s="62" t="n"/>
      <c r="J12" s="63" t="inlineStr">
        <is>
          <t xml:space="preserve"> PLANILL</t>
        </is>
      </c>
    </row>
    <row r="13" ht="16.5" customHeight="1" s="65">
      <c r="A13" s="69" t="inlineStr">
        <is>
          <t>TODOS</t>
        </is>
      </c>
      <c r="B13" s="62" t="n">
        <v>46335</v>
      </c>
      <c r="C13" s="61" t="inlineStr">
        <is>
          <t>“Día Festivo: Provincializacion”</t>
        </is>
      </c>
      <c r="D13" s="62" t="n"/>
      <c r="E13" s="62" t="n"/>
      <c r="J13" s="63" t="inlineStr">
        <is>
          <t xml:space="preserve"> Nuevos_Servici</t>
        </is>
      </c>
    </row>
    <row r="14" ht="16.5" customHeight="1" s="65">
      <c r="A14" s="69" t="inlineStr">
        <is>
          <t>TODOS</t>
        </is>
      </c>
      <c r="B14" s="62" t="n">
        <v>46381</v>
      </c>
      <c r="C14" s="61" t="inlineStr">
        <is>
          <t>“Día Festivo: Navidad”</t>
        </is>
      </c>
      <c r="D14" s="62" t="n"/>
      <c r="E14" s="62" t="n"/>
      <c r="J14" s="63" t="inlineStr">
        <is>
          <t xml:space="preserve"> se_labora</t>
        </is>
      </c>
    </row>
    <row r="15" ht="16.5" customHeight="1" s="65">
      <c r="A15" s="69" t="inlineStr">
        <is>
          <t>Zamora Z1 (Cuadrilla. Nro. 6)</t>
        </is>
      </c>
      <c r="B15" s="62" t="n">
        <v>46300</v>
      </c>
      <c r="C15" s="61" t="inlineStr">
        <is>
          <t>“Dia Festivo: Cantonizacion”</t>
        </is>
      </c>
      <c r="D15" s="62" t="n"/>
      <c r="E15" s="62" t="n"/>
      <c r="J15" s="63" t="inlineStr">
        <is>
          <t xml:space="preserve"> lunch</t>
        </is>
      </c>
    </row>
    <row r="16" ht="16.5" customHeight="1" s="65">
      <c r="A16" s="69" t="inlineStr">
        <is>
          <t>Zamora Z1 (Cuadrilla. AP Nro. 4)</t>
        </is>
      </c>
      <c r="B16" s="62" t="n">
        <v>46300</v>
      </c>
      <c r="C16" s="61" t="inlineStr">
        <is>
          <t>“Dia Festivo: Cantonizacion”</t>
        </is>
      </c>
      <c r="D16" s="62" t="n"/>
      <c r="E16" s="62" t="n"/>
      <c r="J16" s="63" t="inlineStr">
        <is>
          <t xml:space="preserve"> ?</t>
        </is>
      </c>
    </row>
    <row r="17" ht="16.5" customHeight="1" s="65">
      <c r="A17" s="69" t="inlineStr">
        <is>
          <t>Zamora (Agencia)</t>
        </is>
      </c>
      <c r="B17" s="62" t="n">
        <v>46300</v>
      </c>
      <c r="C17" s="61" t="inlineStr">
        <is>
          <t>“Dia Festivo: Cantonizacion”</t>
        </is>
      </c>
      <c r="D17" s="62" t="n"/>
      <c r="E17" s="62" t="n"/>
    </row>
    <row r="18" ht="16.5" customHeight="1" s="65">
      <c r="A18" s="69" t="inlineStr">
        <is>
          <t>Jefatura Zonal Zamora</t>
        </is>
      </c>
      <c r="B18" s="62" t="n">
        <v>46300</v>
      </c>
      <c r="C18" s="61" t="inlineStr">
        <is>
          <t>“Dia Festivo: Cantonizacion”</t>
        </is>
      </c>
      <c r="D18" s="62" t="n"/>
      <c r="E18" s="62" t="n"/>
    </row>
    <row r="19" ht="16.5" customHeight="1" s="65">
      <c r="A19" s="69" t="inlineStr">
        <is>
          <t>Yacuambi Z1 (Cuadrilla. Nro. 8)</t>
        </is>
      </c>
      <c r="B19" s="62" t="n">
        <v>46031</v>
      </c>
      <c r="C19" s="61" t="inlineStr">
        <is>
          <t>“Dia Festivo: Cantonizacion”</t>
        </is>
      </c>
      <c r="D19" s="62" t="n"/>
      <c r="E19" s="62" t="n"/>
    </row>
    <row r="20" ht="16.5" customHeight="1" s="65">
      <c r="A20" s="69" t="inlineStr">
        <is>
          <t>Yantzaza Z1 (Cuadrilla. Nro. 5)</t>
        </is>
      </c>
      <c r="B20" s="62" t="n">
        <v>46080</v>
      </c>
      <c r="C20" s="61" t="inlineStr">
        <is>
          <t>“Dia Festivo: Cantonizacion”</t>
        </is>
      </c>
      <c r="D20" s="62" t="n"/>
      <c r="E20" s="62" t="n"/>
    </row>
    <row r="21" ht="16.5" customHeight="1" s="65">
      <c r="A21" s="69" t="inlineStr">
        <is>
          <t>Líneas Energizadas (Cuadrilla  Nro.6)</t>
        </is>
      </c>
      <c r="B21" s="62" t="n">
        <v>46080</v>
      </c>
      <c r="C21" s="61" t="inlineStr">
        <is>
          <t>“Dia Festivo: Cantonizacion”</t>
        </is>
      </c>
      <c r="D21" s="62" t="n"/>
      <c r="E21" s="62" t="n"/>
    </row>
    <row r="22" ht="16.5" customHeight="1" s="65">
      <c r="A22" s="69" t="inlineStr">
        <is>
          <t>Yantzaza (Agencia)</t>
        </is>
      </c>
      <c r="B22" s="62" t="n">
        <v>46080</v>
      </c>
      <c r="C22" s="61" t="inlineStr">
        <is>
          <t>“Dia Festivo: Cantonizacion”</t>
        </is>
      </c>
      <c r="D22" s="62" t="n"/>
      <c r="E22" s="62" t="n"/>
    </row>
    <row r="23" ht="16.5" customHeight="1" s="65">
      <c r="A23" s="69" t="inlineStr">
        <is>
          <t>Paquisha Z1 (Cuadrilla Nro. 10)</t>
        </is>
      </c>
      <c r="B23" s="62" t="n">
        <v>46319</v>
      </c>
      <c r="C23" s="61" t="inlineStr">
        <is>
          <t>“Dia Festivo: Cantonizacion”</t>
        </is>
      </c>
      <c r="D23" s="62" t="n"/>
      <c r="E23" s="62" t="n"/>
    </row>
    <row r="24" ht="16.5" customHeight="1" s="65">
      <c r="A24" s="69" t="inlineStr">
        <is>
          <t>Guayzimi Z1 (Cuadrilla. Nro. 7)</t>
        </is>
      </c>
      <c r="B24" s="62" t="n">
        <v>46353</v>
      </c>
      <c r="C24" s="61" t="inlineStr">
        <is>
          <t>“Dia Festivo: Cantonizacion”</t>
        </is>
      </c>
      <c r="D24" s="62" t="n"/>
      <c r="E24" s="62" t="n"/>
    </row>
    <row r="25" ht="16.5" customHeight="1" s="65">
      <c r="A25" s="69" t="inlineStr">
        <is>
          <t>El Pangui Z1 (Cuadrilla. Nro. 4)</t>
        </is>
      </c>
      <c r="B25" s="62" t="n">
        <v>46065</v>
      </c>
      <c r="C25" s="61" t="inlineStr">
        <is>
          <t>“Dia Festivo: Cantonizacion”</t>
        </is>
      </c>
      <c r="D25" s="62" t="n"/>
      <c r="E25" s="62" t="n"/>
    </row>
    <row r="26" ht="16.5" customHeight="1" s="65">
      <c r="A26" s="69" t="inlineStr">
        <is>
          <t>El Pangui (Agencia)</t>
        </is>
      </c>
      <c r="B26" s="62" t="n">
        <v>46065</v>
      </c>
      <c r="C26" s="61" t="inlineStr">
        <is>
          <t>“Dia Festivo: Cantonizacion”</t>
        </is>
      </c>
      <c r="D26" s="62" t="n"/>
      <c r="E26" s="62" t="n"/>
    </row>
    <row r="27" ht="16.5" customHeight="1" s="65">
      <c r="A27" s="69" t="inlineStr">
        <is>
          <t>Gualaquiza Z1 (Cuadrilla. Nro. 3)</t>
        </is>
      </c>
      <c r="B27" s="62" t="n">
        <v>46251</v>
      </c>
      <c r="C27" s="61" t="inlineStr">
        <is>
          <t>“Dia Festivo: Cantonizacion”</t>
        </is>
      </c>
      <c r="D27" s="62" t="n"/>
      <c r="E27" s="62" t="n"/>
    </row>
    <row r="28" ht="16.5" customHeight="1" s="65">
      <c r="A28" s="69" t="inlineStr">
        <is>
          <t>Gualaquiza (Agencia)</t>
        </is>
      </c>
      <c r="B28" s="62" t="n">
        <v>46251</v>
      </c>
      <c r="C28" s="61" t="inlineStr">
        <is>
          <t>“Dia Festivo: Cantonizacion”</t>
        </is>
      </c>
      <c r="D28" s="62" t="n"/>
      <c r="E28" s="62" t="n"/>
    </row>
    <row r="29" ht="16.5" customHeight="1" s="65">
      <c r="D29" s="62" t="n"/>
      <c r="E29" s="62" t="n"/>
    </row>
    <row r="30" ht="16.5" customHeight="1" s="65">
      <c r="D30" s="62" t="n"/>
      <c r="E30" s="62" t="n"/>
    </row>
    <row r="31" ht="16.5" customHeight="1" s="65">
      <c r="D31" s="62" t="n"/>
      <c r="E31" s="62" t="n"/>
    </row>
    <row r="32" ht="16.5" customHeight="1" s="65">
      <c r="D32" s="62" t="n"/>
      <c r="E32" s="62" t="n"/>
    </row>
    <row r="33" ht="16.5" customHeight="1" s="65">
      <c r="D33" s="62" t="n"/>
      <c r="E33" s="62" t="n"/>
    </row>
    <row r="34" ht="16.5" customHeight="1" s="65">
      <c r="D34" s="62" t="n"/>
      <c r="E34" s="62" t="n"/>
    </row>
    <row r="35" ht="16.5" customHeight="1" s="65">
      <c r="D35" s="62" t="n"/>
      <c r="E35" s="62" t="n"/>
    </row>
    <row r="36" ht="16.5" customHeight="1" s="65">
      <c r="D36" s="62" t="n"/>
      <c r="E36" s="62" t="n"/>
    </row>
    <row r="37" ht="16.5" customHeight="1" s="65">
      <c r="D37" s="62" t="n"/>
      <c r="E37" s="6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showFormulas="0" showGridLines="0" showRowColHeaders="1" showZeros="1" rightToLeft="0" tabSelected="1" showOutlineSymbols="1" defaultGridColor="1" view="pageBreakPreview" topLeftCell="A1" colorId="64" zoomScale="100" zoomScaleNormal="70" zoomScalePageLayoutView="100" workbookViewId="0">
      <selection pane="topLeft" activeCell="A36" activeCellId="0" sqref="6:36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/>
      <c r="D6" s="110" t="n"/>
      <c r="E6" s="109" t="n"/>
      <c r="F6" s="110" t="n"/>
      <c r="G6" s="109" t="n"/>
      <c r="H6" s="110" t="n"/>
      <c r="I6" s="109" t="n">
        <v>0</v>
      </c>
      <c r="J6" s="111" t="n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0.8034722222222223</v>
      </c>
      <c r="D7" s="110" t="n">
        <v>0.8652777777777778</v>
      </c>
      <c r="E7" s="109" t="n"/>
      <c r="F7" s="110" t="n"/>
      <c r="G7" s="109" t="n"/>
      <c r="H7" s="110" t="n"/>
      <c r="I7" s="109" t="n">
        <v>0.06180555555555556</v>
      </c>
      <c r="J7" s="112" t="inlineStr">
        <is>
          <t>OT # 173960. Guayusal, reivision y limpieza RBV rehabilitacion de trafo # 23459.</t>
        </is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0.3701388888888889</v>
      </c>
      <c r="D8" s="110" t="n">
        <v>0.5520833333333334</v>
      </c>
      <c r="E8" s="109" t="n">
        <v>0.7090277777777778</v>
      </c>
      <c r="F8" s="110" t="n">
        <v>0.7951388888888888</v>
      </c>
      <c r="G8" s="109" t="n"/>
      <c r="H8" s="110" t="n"/>
      <c r="I8" s="109" t="n">
        <v>0.2680555555555555</v>
      </c>
      <c r="J8" s="112" t="inlineStr">
        <is>
          <t>OT # 174080. FESTIVO. Naichap, restitución M# 194238 por 18-258039. Aguacate, restitución M# 194324 por 18-258040.</t>
        </is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0.6777777777777778</v>
      </c>
      <c r="D9" s="110" t="n">
        <v>0.7666666666666667</v>
      </c>
      <c r="E9" s="109" t="n"/>
      <c r="F9" s="110" t="n"/>
      <c r="G9" s="109" t="n"/>
      <c r="H9" s="110" t="n"/>
      <c r="I9" s="109" t="n">
        <v>0.08888888888888889</v>
      </c>
      <c r="J9" s="112" t="inlineStr">
        <is>
          <t>OT # 174083. Guayusal, Est 291765 cambio tirafusible 25A-T</t>
        </is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0.3666666666666666</v>
      </c>
      <c r="D10" s="110" t="n">
        <v>0.4506944444444445</v>
      </c>
      <c r="E10" s="109" t="n"/>
      <c r="F10" s="110" t="n"/>
      <c r="G10" s="109" t="n"/>
      <c r="H10" s="110" t="n"/>
      <c r="I10" s="109" t="n">
        <v>0.08402777777777778</v>
      </c>
      <c r="J10" s="112" t="inlineStr">
        <is>
          <t>OT # 174084. Chumpias, Est 028535 cambio tirafusible 25A-T</t>
        </is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0.7986111111111112</v>
      </c>
      <c r="D11" s="110" t="n">
        <v>0.8854166666666666</v>
      </c>
      <c r="E11" s="109" t="n"/>
      <c r="F11" s="110" t="n"/>
      <c r="G11" s="109" t="n"/>
      <c r="H11" s="110" t="n"/>
      <c r="I11" s="109" t="n">
        <v>0.08680555555555555</v>
      </c>
      <c r="J11" s="112" t="inlineStr">
        <is>
          <t>OT # 174310. La Pradera, se arregla acometida M# 240908, se rehabilita trafo # 20916</t>
        </is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0.75</v>
      </c>
      <c r="D12" s="110" t="n">
        <v>0.8472222222222222</v>
      </c>
      <c r="E12" s="109" t="n"/>
      <c r="F12" s="110" t="n"/>
      <c r="G12" s="109" t="n"/>
      <c r="H12" s="110" t="n"/>
      <c r="I12" s="109" t="n">
        <v>0.09722222222222222</v>
      </c>
      <c r="J12" s="112" t="inlineStr">
        <is>
          <t>OT # 174313. Shiramentza, Est 22357 cambi0 tirafusible de 1.3A-SR</t>
        </is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/>
      <c r="D13" s="110" t="n"/>
      <c r="E13" s="109" t="n"/>
      <c r="F13" s="110" t="n"/>
      <c r="G13" s="109" t="n"/>
      <c r="H13" s="110" t="n"/>
      <c r="I13" s="109" t="n">
        <v>0</v>
      </c>
      <c r="J13" s="112" t="n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/>
      <c r="D14" s="110" t="n"/>
      <c r="E14" s="109" t="n"/>
      <c r="F14" s="110" t="n"/>
      <c r="G14" s="109" t="n"/>
      <c r="H14" s="110" t="n"/>
      <c r="I14" s="109" t="n">
        <v>0</v>
      </c>
      <c r="J14" s="112" t="n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0.7270833333333333</v>
      </c>
      <c r="D15" s="110" t="n">
        <v>0.8173611111111111</v>
      </c>
      <c r="E15" s="109" t="n"/>
      <c r="F15" s="110" t="n"/>
      <c r="G15" s="109" t="n"/>
      <c r="H15" s="110" t="n"/>
      <c r="I15" s="109" t="n">
        <v>0.09027777777777778</v>
      </c>
      <c r="J15" s="112" t="inlineStr">
        <is>
          <t>OT # 174486.Tutus, Est 91980 cambio de tirafusible 12A-T</t>
        </is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/>
      <c r="D16" s="110" t="n"/>
      <c r="E16" s="109" t="n"/>
      <c r="F16" s="110" t="n"/>
      <c r="G16" s="109" t="n"/>
      <c r="H16" s="110" t="n"/>
      <c r="I16" s="109" t="n">
        <v>0</v>
      </c>
      <c r="J16" s="112" t="n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/>
      <c r="D17" s="110" t="n"/>
      <c r="E17" s="109" t="n"/>
      <c r="F17" s="110" t="n"/>
      <c r="G17" s="109" t="n"/>
      <c r="H17" s="110" t="n"/>
      <c r="I17" s="109" t="n">
        <v>0</v>
      </c>
      <c r="J17" s="112" t="n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/>
      <c r="D18" s="110" t="n"/>
      <c r="E18" s="109" t="n"/>
      <c r="F18" s="110" t="n"/>
      <c r="G18" s="109" t="n"/>
      <c r="H18" s="110" t="n"/>
      <c r="I18" s="109">
        <f>SUM(C18:H18)</f>
        <v/>
      </c>
      <c r="J18" s="112" t="n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/>
      <c r="D19" s="110" t="n"/>
      <c r="E19" s="109" t="n"/>
      <c r="F19" s="110" t="n"/>
      <c r="G19" s="109" t="n"/>
      <c r="H19" s="110" t="n"/>
      <c r="I19" s="109">
        <f>SUM(C19:H19)</f>
        <v/>
      </c>
      <c r="J19" s="112" t="n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/>
      <c r="D20" s="110" t="n"/>
      <c r="E20" s="109" t="n"/>
      <c r="F20" s="110" t="n"/>
      <c r="G20" s="109" t="n"/>
      <c r="H20" s="110" t="n"/>
      <c r="I20" s="109">
        <f>SUM(C20:H20)</f>
        <v/>
      </c>
      <c r="J20" s="112" t="n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/>
      <c r="D21" s="110" t="n"/>
      <c r="E21" s="109" t="n"/>
      <c r="F21" s="110" t="n"/>
      <c r="G21" s="109" t="n"/>
      <c r="H21" s="110" t="n"/>
      <c r="I21" s="109">
        <f>SUM(C21:H21)</f>
        <v/>
      </c>
      <c r="J21" s="112" t="n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/>
      <c r="D22" s="110" t="n"/>
      <c r="E22" s="109" t="n"/>
      <c r="F22" s="110" t="n"/>
      <c r="G22" s="109" t="n"/>
      <c r="H22" s="110" t="n"/>
      <c r="I22" s="109">
        <f>SUM(C22:H22)</f>
        <v/>
      </c>
      <c r="J22" s="112" t="n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/>
      <c r="D23" s="110" t="n"/>
      <c r="E23" s="109" t="n"/>
      <c r="F23" s="110" t="n"/>
      <c r="G23" s="109" t="n"/>
      <c r="H23" s="110" t="n"/>
      <c r="I23" s="109">
        <f>SUM(C23:H23)</f>
        <v/>
      </c>
      <c r="J23" s="112" t="n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/>
      <c r="D24" s="110" t="n"/>
      <c r="E24" s="109" t="n"/>
      <c r="F24" s="110" t="n"/>
      <c r="G24" s="109" t="n"/>
      <c r="H24" s="110" t="n"/>
      <c r="I24" s="109">
        <f>SUM(C24:H24)</f>
        <v/>
      </c>
      <c r="J24" s="112" t="n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/>
      <c r="D25" s="110" t="n"/>
      <c r="E25" s="109" t="n"/>
      <c r="F25" s="110" t="n"/>
      <c r="G25" s="109" t="n"/>
      <c r="H25" s="110" t="n"/>
      <c r="I25" s="109">
        <f>SUM(C25:H25)</f>
        <v/>
      </c>
      <c r="J25" s="112" t="n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/>
      <c r="D26" s="110" t="n"/>
      <c r="E26" s="109" t="n"/>
      <c r="F26" s="110" t="n"/>
      <c r="G26" s="109" t="n"/>
      <c r="H26" s="110" t="n"/>
      <c r="I26" s="109">
        <f>SUM(C26:H26)</f>
        <v/>
      </c>
      <c r="J26" s="112" t="n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/>
      <c r="D27" s="110" t="n"/>
      <c r="E27" s="109" t="n"/>
      <c r="F27" s="110" t="n"/>
      <c r="G27" s="109" t="n"/>
      <c r="H27" s="110" t="n"/>
      <c r="I27" s="109">
        <f>SUM(C27:H27)</f>
        <v/>
      </c>
      <c r="J27" s="112" t="n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/>
      <c r="D28" s="110" t="n"/>
      <c r="E28" s="109" t="n"/>
      <c r="F28" s="110" t="n"/>
      <c r="G28" s="109" t="n"/>
      <c r="H28" s="110" t="n"/>
      <c r="I28" s="109">
        <f>SUM(C28:H28)</f>
        <v/>
      </c>
      <c r="J28" s="112" t="n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/>
      <c r="D29" s="110" t="n"/>
      <c r="E29" s="109" t="n"/>
      <c r="F29" s="110" t="n"/>
      <c r="G29" s="109" t="n"/>
      <c r="H29" s="110" t="n"/>
      <c r="I29" s="109">
        <f>SUM(C29:H29)</f>
        <v/>
      </c>
      <c r="J29" s="112" t="n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/>
      <c r="D30" s="110" t="n"/>
      <c r="E30" s="109" t="n"/>
      <c r="F30" s="110" t="n"/>
      <c r="G30" s="109" t="n"/>
      <c r="H30" s="110" t="n"/>
      <c r="I30" s="109">
        <f>SUM(C30:H30)</f>
        <v/>
      </c>
      <c r="J30" s="112" t="n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/>
      <c r="D31" s="110" t="n"/>
      <c r="E31" s="109" t="n"/>
      <c r="F31" s="110" t="n"/>
      <c r="G31" s="109" t="n"/>
      <c r="H31" s="110" t="n"/>
      <c r="I31" s="109">
        <f>SUM(C31:H31)</f>
        <v/>
      </c>
      <c r="J31" s="112" t="n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/>
      <c r="D32" s="110" t="n"/>
      <c r="E32" s="109" t="n"/>
      <c r="F32" s="110" t="n"/>
      <c r="G32" s="109" t="n"/>
      <c r="H32" s="110" t="n"/>
      <c r="I32" s="109">
        <f>SUM(C32:H32)</f>
        <v/>
      </c>
      <c r="J32" s="112" t="n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/>
      <c r="D33" s="110" t="n"/>
      <c r="E33" s="109" t="n"/>
      <c r="F33" s="110" t="n"/>
      <c r="G33" s="109" t="n"/>
      <c r="H33" s="110" t="n"/>
      <c r="I33" s="109">
        <f>SUM(C33:H33)</f>
        <v/>
      </c>
      <c r="J33" s="112" t="n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/>
      <c r="D34" s="110" t="n"/>
      <c r="E34" s="109" t="n"/>
      <c r="F34" s="110" t="n"/>
      <c r="G34" s="109" t="n"/>
      <c r="H34" s="110" t="n"/>
      <c r="I34" s="109">
        <f>SUM(C34:H34)</f>
        <v/>
      </c>
      <c r="J34" s="112" t="n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/>
      <c r="D35" s="110" t="n"/>
      <c r="E35" s="109" t="n"/>
      <c r="F35" s="110" t="n"/>
      <c r="G35" s="109" t="n"/>
      <c r="H35" s="110" t="n"/>
      <c r="I35" s="109">
        <f>SUM(C35:H35)</f>
        <v/>
      </c>
      <c r="J35" s="112" t="n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rank="0" priority="2" equalAverage="0" aboveAverage="0" dxfId="0" text="" percent="0" bottom="0">
      <formula>OR(PROPER(TEXT($B6,"dddd"))=PROPER(TEXT("04/04/2026", "dddd")),PROPER(TEXT($B6,"dddd"))=PROPER(TEXT("05/04/2026", "dddd")),ISNUMBER(FIND("FESTIVO",$J6)))</formula>
    </cfRule>
  </conditionalFormatting>
  <conditionalFormatting sqref="A6:I36">
    <cfRule type="expression" rank="0" priority="3" equalAverage="0" aboveAverage="0" dxfId="1" text="" percent="0" bottom="0">
      <formula>ISNUMBER(FIND("FESTIVO",$J6))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  <headerFooter differentOddEven="0" differentFirst="0">
    <oddHeader>&amp;C&amp;"Aptos,Normal"&amp;12 GERENCIA DE OPERACIÓN Y MANTENIMIENTO_x000a_SUPERINTENDENCIA DE OPERACIÓN Y MANTENIMIENTO ZONA 1_x000a_Reporte Horas Extraordinarias 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0.9381944444444444</v>
      </c>
      <c r="D6" s="110" t="n">
        <v>0.98125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173886. La Península, se aísla transformadores privados en mal estado, Est 70356, cambio de fusible de 8A-T, se normaliza el servicio al trafo # 16926 de 25KVA.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0.3840277777777778</v>
      </c>
      <c r="D8" s="110" t="n">
        <v>0.5368055555555555</v>
      </c>
      <c r="E8" s="109" t="n">
        <v>0.6513888888888889</v>
      </c>
      <c r="F8" s="110" t="n">
        <v>0.7534722222222222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174090. DIA FESTIVO “Viernes Santo”. Calle Diego de Vaca, en transformador 13903 se encuentra pararrayo en mal estado, se aisla y reestablece servicio. El Maní, Est 28669 RBV arrancada por conector en mal estado, se empalma y regula, se cambia conectores en bajante del trafo # 24441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0.7868055555555555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175190. San Marcos, Med # 18-219157 se encuentra normal, falla interna.Jamboe Bajo, Med # 249208 acometida arrancada por vehículo, se empalma.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0.9381944444444444</v>
      </c>
      <c r="D6" s="110" t="n">
        <v>0.98125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173886. La Península, se aísla transformadores privados en mal estado, Est 70356, cambio de fusible de 8A-T, se normaliza el servicio al trafo # 16926 de 25KVA.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0.3840277777777778</v>
      </c>
      <c r="D8" s="110" t="n">
        <v>0.5368055555555555</v>
      </c>
      <c r="E8" s="109" t="n">
        <v>0.6513888888888889</v>
      </c>
      <c r="F8" s="110" t="n">
        <v>0.7534722222222222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174090. DIA FESTIVO “Viernes Santo”. Calle Diego de Vaca, en transformador 13903 se encuentra pararrayo en mal estado, se aisla y reestablece servicio. El Maní, Est 28669 RBV arrancada por conector en mal estado, se empalma y regula, se cambia conectores en bajante del trafo # 24441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0.8611111111111112</v>
      </c>
      <c r="D9" s="110" t="n">
        <v>0.9034722222222222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174606. San José Alto, se arregla punto caliente de la RBV, y acometida del medidor 18-250523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0.8611111111111112</v>
      </c>
      <c r="D9" s="110" t="n">
        <v>0.9034722222222222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174606. San José Alto, se arregla punto caliente de la RBV, y acometida del medidor 18-250523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0.5875</v>
      </c>
      <c r="D24" s="110" t="n">
        <v>0.6611111111111111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175178. Soñaderos, Est 61916 se cambia tirafusible 25A-T, no se encuentra novedad; posible causa: descargas atmosféricas.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0.7868055555555555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175190. San Marcos, Med # 18-219157 se encuentra normal, falla interna.Jamboe Bajo, Med # 249208 acometida arrancada por vehículo, se empalma.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>0.8472222222222222</v>
      </c>
      <c r="F13" s="110" t="n">
        <v>0.9409722222222222</v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SUM((D13-C13)*1.5*24,(F13-E13)*1.5*24)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0.3402777777777778</v>
      </c>
      <c r="D16" s="110" t="n">
        <v>0.5694444444444444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174649. Namacuntza, se arregla acometida arrancada Med # 1000378694. mismo sector, arreglo de acometida arrancada maquinaria Med # 207282.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0.5423611111111111</v>
      </c>
      <c r="D17" s="110" t="n">
        <v>0.6902777777777778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174705. Barrio Pio Jaramillo, se cambia pararrayo dañado Trafo 19806. Puente Azul, se arregla acometida arrancada Med # 18-207820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0.7868055555555555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175190. San Marcos, Med # 18-219157 se encuentra normal, falla interna.Jamboe Bajo, Med # 249208 acometida arrancada por vehículo, se empalma.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0.7083333333333334</v>
      </c>
      <c r="D12" s="110" t="n">
        <v>0.7819444444444444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174216. Timbara – Bellavista, Med # 276547 conexiones internas recalentadas, se aisla y normaliza el servicio eléctrico</t>
        </is>
      </c>
      <c r="K12">
        <f>SUM((D12-C12)*1.5*24)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0.8472222222222222</v>
      </c>
      <c r="D13" s="110" t="n">
        <v>0.9409722222222222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 xml:space="preserve">OT # 174212. Namakuntza, se rehabilita transformador 6420 causa desconocida. 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0.3402777777777778</v>
      </c>
      <c r="D16" s="110" t="n">
        <v>0.5694444444444444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174649. Namacuntza, se arregla acometida arrancada Med # 1000378694. mismo sector, arreglo de acometida arrancada maquinaria Med # 207282.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0.5423611111111111</v>
      </c>
      <c r="D17" s="110" t="n">
        <v>0.6902777777777778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174705. Barrio Pio Jaramillo, se cambia pararrayo dañado Trafo 19806. Puente Azul, se arregla acometida arrancada Med # 18-207820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0.7743055555555556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174577. En Kurintza se retira 3 medidores para suspensión definitiva Nro. 18-229733 (1653) 18-229734 (967) y 18-229735 (938) solicitado por la Sra. Maribel Tentests Traslado a Yacuambi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0.7645833333333333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175122. La Chacra se reubica y Restituye dos medidores de la Est 217884. Urbanización Gálvez, se instala S/O desde Est 36581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0.7743055555555556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175166. Kurintza, se instala N/S 18-264157 desde la Est 272136.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0.7083333333333334</v>
      </c>
      <c r="D12" s="110" t="n">
        <v>0.7819444444444444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174216. Timbara – Bellavista, Med # 276547 conexiones internas recalentadas, se aisla y normaliza el servicio eléctrico</t>
        </is>
      </c>
      <c r="K12">
        <f>SUM((D12-C12)*1.5*24)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0.7743055555555556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174577. En Kurintza se retira 3 medidores para suspensión definitiva Nro. 18-229733 (1653) 18-229734 (967) y 18-229735 (938) solicitado por la Sra. Maribel Tentests Traslado a Yacuambi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0.5875</v>
      </c>
      <c r="D24" s="110" t="n">
        <v>0.6611111111111111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175178. Soñaderos, Est 61916 se cambia tirafusible 25A-T, no se encuentra novedad; posible causa: descargas atmosféricas.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0.7645833333333333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175122. La Chacra se reubica y Restituye dos medidores de la Est 217884. Urbanización Gálvez, se instala S/O desde Est 36581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0.7743055555555556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175166. Kurintza, se instala N/S 18-264157 desde la Est 272136.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0.7916666666666666</v>
      </c>
      <c r="D11" s="110" t="n">
        <v>0.9166666666666666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174010. Arreglo de luminarias en cambio de horario</t>
        </is>
      </c>
      <c r="K11">
        <f>SUM((D11-C11)*0.25*24)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0.7916666666666666</v>
      </c>
      <c r="D12" s="110" t="n">
        <v>0.9166666666666666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174101. Arreglo de luminarias en cambio de horario</t>
        </is>
      </c>
      <c r="K12">
        <f>SUM((D12-C12)*0.25*24)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0.7916666666666666</v>
      </c>
      <c r="D13" s="110" t="n">
        <v>0.9166666666666666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174367. Arreglo de luminarias en cambio de horario</t>
        </is>
      </c>
      <c r="K13">
        <f>SUM((D13-C13)*0.25*24)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0.7916666666666666</v>
      </c>
      <c r="D14" s="110" t="n">
        <v>0.9166666666666666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174436. Arreglo de luminarias en cambio de horario</t>
        </is>
      </c>
      <c r="K14">
        <f>SUM((D14-C14)*0.25*24)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0.7916666666666666</v>
      </c>
      <c r="D15" s="110" t="n">
        <v>0.9166666666666666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174518. Arreglo de luminarias en cambio de horario</t>
        </is>
      </c>
      <c r="K15">
        <f>SUM((D15-C15)*0.25*24)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0.7923611111111111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174937. Yantzaza – Chimbutza, aplome de Est 262666 y 262671 (AP Los Encuentros)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0.7916666666666666</v>
      </c>
      <c r="D11" s="110" t="n">
        <v>0.9166666666666666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174010. Arreglo de luminarias en cambio de horario</t>
        </is>
      </c>
      <c r="K11">
        <f>SUM((D11-C11)*0.25*24)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0.7916666666666666</v>
      </c>
      <c r="D12" s="110" t="n">
        <v>0.9166666666666666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174101. Arreglo de luminarias en cambio de horario</t>
        </is>
      </c>
      <c r="K12">
        <f>SUM((D12-C12)*0.25*24)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0.7916666666666666</v>
      </c>
      <c r="D13" s="110" t="n">
        <v>0.9166666666666666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174367. Arreglo de luminarias en cambio de horario</t>
        </is>
      </c>
      <c r="K13">
        <f>SUM((D13-C13)*0.25*24)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0.7916666666666666</v>
      </c>
      <c r="D14" s="110" t="n">
        <v>0.9166666666666666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174436. Arreglo de luminarias en cambio de horario</t>
        </is>
      </c>
      <c r="K14">
        <f>SUM((D14-C14)*0.25*24)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0.7916666666666666</v>
      </c>
      <c r="D15" s="110" t="n">
        <v>0.9166666666666666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174518. Arreglo de luminarias en cambio de horario</t>
        </is>
      </c>
      <c r="K15">
        <f>SUM((D15-C15)*0.25*24)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0.7923611111111111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174937. Yantzaza – Chimbutza, aplome de Est 262666 y 262671 (AP Los Encuentros)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0.7916666666666666</v>
      </c>
      <c r="D11" s="110" t="n">
        <v>0.9166666666666666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174010. Arreglo de luminarias en cambio de horario</t>
        </is>
      </c>
      <c r="K11">
        <f>SUM((D11-C11)*0.25*24)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0.7916666666666666</v>
      </c>
      <c r="D12" s="110" t="n">
        <v>0.9166666666666666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174101. Arreglo de luminarias en cambio de horario</t>
        </is>
      </c>
      <c r="K12">
        <f>SUM((D12-C12)*0.25*24)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0.7916666666666666</v>
      </c>
      <c r="D13" s="110" t="n">
        <v>0.9166666666666666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174367. Arreglo de luminarias en cambio de horario</t>
        </is>
      </c>
      <c r="K13">
        <f>SUM((D13-C13)*0.25*24)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0.7916666666666666</v>
      </c>
      <c r="D14" s="110" t="n">
        <v>0.9166666666666666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174436. Arreglo de luminarias en cambio de horario</t>
        </is>
      </c>
      <c r="K14">
        <f>SUM((D14-C14)*0.25*24)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0.7916666666666666</v>
      </c>
      <c r="D15" s="110" t="n">
        <v>0.9166666666666666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174518. Arreglo de luminarias en cambio de horario</t>
        </is>
      </c>
      <c r="K15">
        <f>SUM((D15-C15)*0.25*24)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0.7923611111111111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174937. Yantzaza – Chimbutza, aplome de Est 262666 y 262671 (AP Los Encuentros)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0.7916666666666666</v>
      </c>
      <c r="D11" s="110" t="n">
        <v>0.9166666666666666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174010. Arreglo de luminarias en cambio de horario</t>
        </is>
      </c>
      <c r="K11">
        <f>SUM((D11-C11)*0.25*24)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0.7916666666666666</v>
      </c>
      <c r="D12" s="110" t="n">
        <v>0.9166666666666666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174101. Arreglo de luminarias en cambio de horario</t>
        </is>
      </c>
      <c r="K12">
        <f>SUM((D12-C12)*0.25*24)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0.7916666666666666</v>
      </c>
      <c r="D13" s="110" t="n">
        <v>0.9166666666666666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174367. Arreglo de luminarias en cambio de horario</t>
        </is>
      </c>
      <c r="K13">
        <f>SUM((D13-C13)*0.25*24)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0.7916666666666666</v>
      </c>
      <c r="D14" s="110" t="n">
        <v>0.9166666666666666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174436. Arreglo de luminarias en cambio de horario</t>
        </is>
      </c>
      <c r="K14">
        <f>SUM((D14-C14)*0.25*24)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0.7916666666666666</v>
      </c>
      <c r="D15" s="110" t="n">
        <v>0.9166666666666666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174518. Arreglo de luminarias en cambio de horario</t>
        </is>
      </c>
      <c r="K15">
        <f>SUM((D15-C15)*0.25*24)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0.7923611111111111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174937. Yantzaza – Chimbutza, aplome de Est 262666 y 262671 (AP Los Encuentros)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0.7083333333333334</v>
      </c>
      <c r="D6" s="110" t="n">
        <v>0.90625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0.8263888888888888</v>
      </c>
      <c r="D9" s="110" t="n">
        <v>0.9583333333333334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174123. Guadalupe, Est 179563 se rehabilita transformador 9859; Causa: vegetación, tala de arboles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0.375</v>
      </c>
      <c r="D10" s="110" t="n">
        <v>0.5694444444444444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174157. San Ramón, acometida arrancada del Med 258811; Causa: vegetación, tala de arboles, se empalma 10m y se restablece el servicio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0.2569444444444444</v>
      </c>
      <c r="D13" s="110" t="n">
        <v>0.3333333333333333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174319. La Unión, se colabora en corte de arbol con tirfor y motosierra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0.875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174650. Chivatos, Est 160448 se asegura con cuerdas y tala árboles, epalma y monta lineas, se rehabilita Trafo 17150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0.8409722222222222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174851. Ortega Alto, Est 176047 desbroce de vegetación, se libera, empalma y monta RBV rehbilitación Trafo 10563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0.4513888888888889</v>
      </c>
      <c r="D24" s="110" t="n">
        <v>0.5881944444444445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175069. Tamboloma, Est 218243 se cambia conectores pernoendidos recalentados del Trafo # 23401 se restablece el servicio.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0.7083333333333334</v>
      </c>
      <c r="D6" s="110" t="n">
        <v>0.90625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0.8263888888888888</v>
      </c>
      <c r="D9" s="110" t="n">
        <v>0.9583333333333334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174123. Guadalupe, Est 179563 se rehabilita transformador 9859; Causa: vegetación, tala de arboles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0.375</v>
      </c>
      <c r="D10" s="110" t="n">
        <v>0.5694444444444444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174157. San Ramón, acometida arrancada del Med 258811; Causa: vegetación, tala de arboles, se empalma 10m y se restablece el servicio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0.2569444444444444</v>
      </c>
      <c r="D13" s="110" t="n">
        <v>0.3333333333333333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174319. La Unión, se colabora en corte de arbol con tirfor y motosierra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0.8333333333333334</v>
      </c>
      <c r="D14" s="110" t="n">
        <v>0.9340277777777778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174528. Jembuentza, acometida del Med 1241739 arrancada por deslizamiento de tierra, se desmonta y repone 20mts, se normaliza el servicio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0.8020833333333334</v>
      </c>
      <c r="D15" s="110" t="n">
        <v>0.8993055555555556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 xml:space="preserve">OT # 174530. Cantón Yacuambi, recorrido y levantemiento de información de luminarias en mal estado. 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0.875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174650. Chivatos, Est 160448 se asegura con cuerdas y tala árboles, epalma y monta lineas, se rehabilita Trafo 17150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0.8409722222222222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174851. Ortega Alto, Est 176047 desbroce de vegetación, se libera, empalma y monta RBV rehbilitación Trafo 10563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0.4513888888888889</v>
      </c>
      <c r="D24" s="110" t="n">
        <v>0.5881944444444445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175069. Tamboloma, Est 218243 se cambia conectores pernoendidos recalentados del Trafo # 23401 se restablece el servicio.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0.7083333333333334</v>
      </c>
      <c r="D6" s="110" t="n">
        <v>0.90625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0.2569444444444444</v>
      </c>
      <c r="D13" s="110" t="n">
        <v>0.3333333333333333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174319. La Unión, se colabora en corte de arbol con tirfor y motosierra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0.8333333333333334</v>
      </c>
      <c r="D14" s="110" t="n">
        <v>0.9340277777777778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174528. Jembuentza, acometida del Med 1241739 arrancada por deslizamiento de tierra, se desmonta y repone 20mts, se normaliza el servicio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0.8020833333333334</v>
      </c>
      <c r="D15" s="110" t="n">
        <v>0.8993055555555556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 xml:space="preserve">OT # 174530. Cantón Yacuambi, recorrido y levantemiento de información de luminarias en mal estado. 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0.875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174650. Chivatos, Est 160448 se asegura con cuerdas y tala árboles, epalma y monta lineas, se rehabilita Trafo 17150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0.8409722222222222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174851. Ortega Alto, Est 176047 desbroce de vegetación, se libera, empalma y monta RBV rehbilitación Trafo 10563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0.28125</v>
      </c>
      <c r="D15" s="110" t="n">
        <v>0.3333333333333333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174472. En Yantzaza se realiza plan de maniobras en coordinación con Centro de Control, segun WR..1103028506. cierre de seccionadores tipo barra en estructura: 211933, para enmallar AP Yantzaza III con Paquisha En estructura: 255182 apertura de seccionadores tipo barra para separar AP Yantzaza III con Paquisha, or cubrir carga por trabajo en S/E Bomboiza Traslado desde Yantzaza hasta Muchime En Muchime en reguladores de voltaje en coordinación con Centro de Control, se posesiona en Manual y se coloca el TAP en Neutral a los Reguladores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>0.25</v>
      </c>
      <c r="D21" s="110" t="n">
        <v>0.3333333333333333</v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inlineStr">
        <is>
          <t xml:space="preserve">OT # 174867. Chimbutza, maniobras en coordinación con CC; Fall del AP Los Encuentros, se encuentra un deslizamiento de tierra de gran magnitud, Est 289767 colapsada. </t>
        </is>
      </c>
      <c r="K21">
        <f>SUM((D21-C21)*1.5*24)</f>
        <v/>
      </c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0.8125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174940. Loja – Yantzaza, sector Chimbutza se colabora con trabajos de aplomada de estructura y normalizar tipología del AP Los Encuentros.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0.4375</v>
      </c>
      <c r="D23" s="110" t="n">
        <v>0.5416666666666666</v>
      </c>
      <c r="E23" s="109" t="n">
        <v>0.5833333333333334</v>
      </c>
      <c r="F23" s="110" t="n">
        <v>0.8472222222222222</v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175032. El Recreo, cambio de breaker de caja moldeada en mal estado Med # 290277. Guayabal, Est 35094, se rehabilita transformador 14001; Causa: líneas arrancadas.</t>
        </is>
      </c>
      <c r="K23">
        <f>SUM((D23-C23)*2.0*24,(F23-E23)*2.0*24)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0.28125</v>
      </c>
      <c r="D24" s="110" t="n">
        <v>0.5486111111111112</v>
      </c>
      <c r="E24" s="109" t="n">
        <v>0.6965277777777777</v>
      </c>
      <c r="F24" s="110" t="n">
        <v>0.7916666666666666</v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175048. Yantzaza,  Est 27383 impactada sobre vehículo liviano, por emergencia el cliente realiza el cambio de estructura de manera particular, se colabora en arreglo de medidores. Montalvo, Est 223650, se retira vegetación y cambi fusible de 0,7A-SR del Trafo # 22068.</t>
        </is>
      </c>
      <c r="K24">
        <f>SUM((D24-C24)*2.0*24,(F24-E24)*2.0*24)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0.7847222222222222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175082. Ungumiatza, Izaje de estructura de 11R para restituir estructura en mal estado, empalme montado y regulado de LMV, se energiza y retorna a Yantzaza.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0.28125</v>
      </c>
      <c r="D15" s="110" t="n">
        <v>0.3333333333333333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174472. En Yantzaza se realiza plan de maniobras en coordinación con Centro de Control, segun WR..1103028506. cierre de seccionadores tipo barra en estructura: 211933, para enmallar AP Yantzaza III con Paquisha En estructura: 255182 apertura de seccionadores tipo barra para separar AP Yantzaza III con Paquisha, or cubrir carga por trabajo en S/E Bomboiza Traslado desde Yantzaza hasta Muchime En Muchime en reguladores de voltaje en coordinación con Centro de Control, se posesiona en Manual y se coloca el TAP en Neutral a los Reguladores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0.7715277777777778</v>
      </c>
      <c r="E18" s="109" t="n">
        <v>0.8215277777777777</v>
      </c>
      <c r="F18" s="110" t="n">
        <v>0.9520833333333333</v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174646. San Pablo, Est 215853, se repone tirafusible de 0,7A-SR Trafo # OID11425. Orquídeas, Est 93705, Med # 18-249530, breaker en mal estado, se habilita una fase.</t>
        </is>
      </c>
      <c r="K18">
        <f>SUM((D18-C18)*1.5*24,(F18-E18)*1.5*24)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0.8375</v>
      </c>
      <c r="D19" s="110" t="n">
        <v>0.8791666666666667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174727. Vista Hermosa, Trafo 1725 kVA, se rehabilita; Causa: sobrecarga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>0.25</v>
      </c>
      <c r="D21" s="110" t="n">
        <v>0.3333333333333333</v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inlineStr">
        <is>
          <t xml:space="preserve">OT # 174867. Chimbutza, maniobras en coordinación con CC; Fall del AP Los Encuentros, se encuentra un deslizamiento de tierra de gran magnitud, Est 289767 colapsada. </t>
        </is>
      </c>
      <c r="K21">
        <f>SUM((D21-C21)*1.5*24)</f>
        <v/>
      </c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0.8125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174948. Chimbutza. aplomado de estructura 262666, cambio de 2 penos pin, enderezada de cruzatas, regulado de los tensores; maniobras en coordinación con CC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0.4375</v>
      </c>
      <c r="D23" s="110" t="n">
        <v>0.5416666666666666</v>
      </c>
      <c r="E23" s="109" t="n">
        <v>0.5833333333333334</v>
      </c>
      <c r="F23" s="110" t="n">
        <v>0.8472222222222222</v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175032. El Recreo, cambio de breaker de caja moldeada en mal estado Med # 290277. Guayabal, Est 35094, se rehabilita transformador 14001; Causa: líneas arrancadas.</t>
        </is>
      </c>
      <c r="K23">
        <f>SUM((D23-C23)*2.0*24,(F23-E23)*2.0*24)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0.28125</v>
      </c>
      <c r="D24" s="110" t="n">
        <v>0.5486111111111112</v>
      </c>
      <c r="E24" s="109" t="n">
        <v>0.6965277777777777</v>
      </c>
      <c r="F24" s="110" t="n">
        <v>0.7916666666666666</v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175048. Yantzaza,  Est 27383 impactada sobre vehículo liviano, por emergencia el cliente realiza el cambio de estructura de manera particular, se colabora en arreglo de medidores. Montalvo, Est 223650, se retira vegetación y cambi fusible de 0,7A-SR del Trafo # 22068.</t>
        </is>
      </c>
      <c r="K24">
        <f>SUM((D24-C24)*2.0*24,(F24-E24)*2.0*24)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0.7847222222222222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175082. Ungumiatza, Izaje de estructura de 11R para restituir estructura en mal estado, empalme montado y regulado de LMV, se energiza y retorna a Yantzaza.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0.7597222222222222</v>
      </c>
      <c r="D15" s="110" t="n">
        <v>0.8236111111111111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174482. La Centza, Est 181929, Medidor 240856 salida del breaker en mal estado, se cambia la salida (110 V)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0.3854166666666667</v>
      </c>
      <c r="D17" s="110" t="n">
        <v>0.4763888888888889</v>
      </c>
      <c r="E17" s="109" t="n">
        <v>0.5895833333333333</v>
      </c>
      <c r="F17" s="110" t="n">
        <v>0.7326388888888888</v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174572. El Salado, Est 31927, se rehabilita Trafo # 13324 de 3 KVA; Causa: sobrecarga. Ungumiatza, Est 30619 se repone 1 tirafusible de 12 A-T; Causa: desconocida</t>
        </is>
      </c>
      <c r="K17">
        <f>SUM((D17-C17)*2.0*24,(F17-E17)*2.0*24)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0.7715277777777778</v>
      </c>
      <c r="E18" s="109" t="n">
        <v>0.8215277777777777</v>
      </c>
      <c r="F18" s="110" t="n">
        <v>0.9520833333333333</v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174646. San Pablo, Est 215853, se repone tirafusible de 0,7A-SR Trafo # OID11425. Orquídeas, Est 93705, Med # 18-249530, breaker en mal estado, se habilita una fase.</t>
        </is>
      </c>
      <c r="K18">
        <f>SUM((D18-C18)*1.5*24,(F18-E18)*1.5*24)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0.8125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174948. Chimbutza. aplomado de estructura 262666, cambio de 2 penos pin, enderezada de cruzatas, regulado de los tensores; maniobras en coordinación con CC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0.7597222222222222</v>
      </c>
      <c r="D15" s="110" t="n">
        <v>0.8236111111111111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174482. La Centza, Est 181929, Medidor 240856 salida del breaker en mal estado, se cambia la salida (110 V)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0.3854166666666667</v>
      </c>
      <c r="D17" s="110" t="n">
        <v>0.4763888888888889</v>
      </c>
      <c r="E17" s="109" t="n">
        <v>0.5895833333333333</v>
      </c>
      <c r="F17" s="110" t="n">
        <v>0.7326388888888888</v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174572. El Salado, Est 31927, se rehabilita Trafo # 13324 de 3 KVA; Causa: sobrecarga. Ungumiatza, Est 30619 se repone 1 tirafusible de 12 A-T; Causa: desconocida</t>
        </is>
      </c>
      <c r="K17">
        <f>SUM((D17-C17)*2.0*24,(F17-E17)*2.0*24)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0.7847222222222222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175082. Ungumiatza, Izaje de estructura de 11R para restituir estructura en mal estado, empalme montado y regulado de LMV, se energiza y retorna a Yantzaza.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0.5868055555555556</v>
      </c>
      <c r="D16" s="110" t="n">
        <v>0.7861111111111111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174595. San Antonio, Med # 18-255976, se ajusta conexiones, se cambia breaker. San Miguel, Med # 18-237378 se revisa y en la Est 215787 se retira vegetación y reemplaza fusible de 6A-T. El Paraíso, difícil acceso, por por margen de quebrada, acometida arrancada por caída de árbol, se repone. Retorno, Agencia El Pangui.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0.5868055555555556</v>
      </c>
      <c r="D17" s="110" t="n">
        <v>0.7916666666666666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0.8125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174948. Chimbutza. aplomado de estructura 262666, cambio de 2 penos pin, enderezada de cruzatas, regulado de los tensores; maniobras en coordinación con CC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0.7847222222222222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175082. Ungumiatza, Izaje de estructura de 11R para restituir estructura en mal estado, empalme montado y regulado de LMV, se energiza y retorna a Yantzaza.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0.2708333333333333</v>
      </c>
      <c r="D6" s="110" t="n">
        <v>0.3333333333333333</v>
      </c>
      <c r="E6" s="109" t="n">
        <v>0.7083333333333334</v>
      </c>
      <c r="F6" s="110" t="n">
        <v>0.7708333333333334</v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173844. Se Coordina trabajos con jefe inmediato y centro de control, se realiza maniobras de mallado interno del Reconectador Las Peñas con Nueva Tarqui y Neutralizada de Reguladores Gualaquiza.</t>
        </is>
      </c>
      <c r="K6">
        <f>SUM((D6-C6)*1.5*24,(F6-E6)*1.5*24)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0.7083333333333334</v>
      </c>
      <c r="D11" s="110" t="n">
        <v>0.7708333333333334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174118. San Carlos de las Minas – Yantzaza. estructura 235766 se realiza inspección para instalación de un reconectador monofásico.</t>
        </is>
      </c>
      <c r="K11">
        <f>SUM((D11-C11)*1.5*24)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0.28125</v>
      </c>
      <c r="D20" s="110" t="n">
        <v>0.3333333333333333</v>
      </c>
      <c r="E20" s="109" t="n">
        <v>0.7083333333333334</v>
      </c>
      <c r="F20" s="110" t="n">
        <v>0.8125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174761. Yantzaza- Chuchumbleza. Chuchumbleza: Se coordina con centro de control se deshabilita recierre del Reconectador Santiago Paty y Recta El Pangui, se realiza maniobras de transferencia de carga.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0.75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175038. Chacumbleza: estructura 70397 - 193880 se cierra y abre puentes provisionales y se retira crucetas y linea así normalizando el sistema trabajos conjuntamente con el grupo de Edwin Poma. Laboran: LA, CB, RM, CO, SR de 08:00 a 18:00. Se pernota en el Pangui.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0.4319444444444445</v>
      </c>
      <c r="D9" s="110" t="n">
        <v>0.4756944444444444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174048. Natenza, Est 32476 se revisa Med # 18-213414 se cambia el breaker en mal estado quedando normal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0.6381944444444444</v>
      </c>
      <c r="D10" s="110" t="n">
        <v>0.6881944444444444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174127. Cuje, se revisa las derivaciones en MV en la estructura 29135 y 289546 y se encuentran normal, no es posible contactar con la persona que reporta el reclamo.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0.7083333333333334</v>
      </c>
      <c r="D14" s="110" t="n">
        <v>0.8125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174423. Santa Elena, Est 34357 Trafo 14444 bloqueado, se revisa y se encuentra cortocircuito interno en el Med # 270991, se aísla la falla y se reconecta el transformador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0.25</v>
      </c>
      <c r="D15" s="110" t="n">
        <v>0.3333333333333333</v>
      </c>
      <c r="E15" s="109" t="n">
        <v>0.7083333333333334</v>
      </c>
      <c r="F15" s="110" t="n">
        <v>0.75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174471. Guaysimi, se recoge a los compañeros de la cuadrilla de Guaysimi, Traslado a El Miasi atención de daños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0.2916666666666667</v>
      </c>
      <c r="D20" s="110" t="n">
        <v>0.3333333333333333</v>
      </c>
      <c r="E20" s="109" t="n">
        <v>0.7083333333333334</v>
      </c>
      <c r="F20" s="110" t="n">
        <v>0.7916666666666666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174770. Traslado a Mariposa – Alto Nangaritza, atención de daños LMV arrancada. 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0.3375</v>
      </c>
      <c r="D23" s="110" t="n">
        <v>0.4951388888888889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174999. Conguime, Est 34615 se arregla LMV arrancada por maquinaria, quedando normal el servicio eléctrico. Paquisha, Est 29691 Trafo 11499 se encuentra puentes del Med # 18-209151 en mal estado, se reconecta el breaker del Trafo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0.74375</v>
      </c>
      <c r="D24" s="110" t="n">
        <v>0.7881944444444444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175039. San Antonio de Natenza, Est 63047 Trafo 24469 se reconecta normal; Causa: desconocida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0.4319444444444445</v>
      </c>
      <c r="D9" s="110" t="n">
        <v>0.4756944444444444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174048. Natenza, Est 32476 se revisa Med # 18-213414 se cambia el breaker en mal estado quedando normal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0.6381944444444444</v>
      </c>
      <c r="D10" s="110" t="n">
        <v>0.6881944444444444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174127. Cuje, se revisa las derivaciones en MV en la estructura 29135 y 289546 y se encuentran normal, no es posible contactar con la persona que reporta el reclamo.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0.7083333333333334</v>
      </c>
      <c r="D14" s="110" t="n">
        <v>0.8125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174423. Santa Elena, Est 34357 Trafo 14444 bloqueado, se revisa y se encuentra cortocircuito interno en el Med # 270991, se aísla la falla y se reconecta el transformador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0.25</v>
      </c>
      <c r="D15" s="110" t="n">
        <v>0.3333333333333333</v>
      </c>
      <c r="E15" s="109" t="n">
        <v>0.7083333333333334</v>
      </c>
      <c r="F15" s="110" t="n">
        <v>0.75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174471. Guaysimi, se recoge a los compañeros de la cuadrilla de Guaysimi, Traslado a El Miasi atención de daños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0.2916666666666667</v>
      </c>
      <c r="D20" s="110" t="n">
        <v>0.3333333333333333</v>
      </c>
      <c r="E20" s="109" t="n">
        <v>0.7083333333333334</v>
      </c>
      <c r="F20" s="110" t="n">
        <v>0.7916666666666666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174770. Traslado a Mariposa – Alto Nangaritza, atención de daños LMV arrancada. 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0.3375</v>
      </c>
      <c r="D23" s="110" t="n">
        <v>0.4951388888888889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174999. Conguime, Est 34615 se arregla LMV arrancada por maquinaria, quedando normal el servicio eléctrico. Paquisha, Est 29691 Trafo 11499 se encuentra puentes del Med # 18-209151 en mal estado, se reconecta el breaker del Trafo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0.74375</v>
      </c>
      <c r="D24" s="110" t="n">
        <v>0.7881944444444444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175039. San Antonio de Natenza, Est 63047 Trafo 24469 se reconecta normal; Causa: desconocida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0.7083333333333334</v>
      </c>
      <c r="D14" s="110" t="n">
        <v>0.8125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174423. Santa Elena, Est 34357 Trafo 14444 bloqueado, se revisa y se encuentra cortocircuito interno en el Med # 270991, se aísla la falla y se reconecta el transformador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0.25</v>
      </c>
      <c r="D15" s="110" t="n">
        <v>0.3333333333333333</v>
      </c>
      <c r="E15" s="109" t="n">
        <v>0.7083333333333334</v>
      </c>
      <c r="F15" s="110" t="n">
        <v>0.75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174471. Guaysimi, se recoge a los compañeros de la cuadrilla de Guaysimi, Traslado a El Miasi atención de daños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0.55625</v>
      </c>
      <c r="D16" s="110" t="n">
        <v>0.7097222222222223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174548. Yantzaza, Est 273881, se encuentra caja de distribución de RBV en malas condiciones, se cambia fase de acometida. San Francisco, Est 244982, acometida del Med # 18-226698 se cambia 5m, se rehabilita trafo # 13622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0.5861111111111111</v>
      </c>
      <c r="D17" s="110" t="n">
        <v>0.6826388888888889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174581. San Luis, Est 270680 , se rehabilita transformador 24432; Causa: Sobrecarga. Zumbi, Med # 18-215893, se encuentra puentes y conector en malas condiciones, se corrige en cable preensamblado.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0.2916666666666667</v>
      </c>
      <c r="D20" s="110" t="n">
        <v>0.3333333333333333</v>
      </c>
      <c r="E20" s="109" t="n">
        <v>0.7083333333333334</v>
      </c>
      <c r="F20" s="110" t="n">
        <v>0.7916666666666666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174770. Traslado a Mariposa – Alto Nangaritza, atención de daños LMV arrancada. 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0.7083333333333334</v>
      </c>
      <c r="D14" s="110" t="n">
        <v>0.8125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174423. Santa Elena, Est 34357 Trafo 14444 bloqueado, se revisa y se encuentra cortocircuito interno en el Med # 270991, se aísla la falla y se reconecta el transformador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0.25</v>
      </c>
      <c r="D15" s="110" t="n">
        <v>0.3333333333333333</v>
      </c>
      <c r="E15" s="109" t="n">
        <v>0.7083333333333334</v>
      </c>
      <c r="F15" s="110" t="n">
        <v>0.75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174471. Guaysimi, se recoge a los compañeros de la cuadrilla de Guaysimi, Traslado a El Miasi atención de daños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0.55625</v>
      </c>
      <c r="D16" s="110" t="n">
        <v>0.7097222222222223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174548. Yantzaza, Est 273881, se encuentra caja de distribución de RBV en malas condiciones, se cambia fase de acometida. San Francisco, Est 244982, acometida del Med # 18-226698 se cambia 5m, se rehabilita trafo # 13622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0.5861111111111111</v>
      </c>
      <c r="D17" s="110" t="n">
        <v>0.6826388888888889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174581. San Luis, Est 270680 , se rehabilita transformador 24432; Causa: Sobrecarga. Zumbi, Med # 18-215893, se encuentra puentes y conector en malas condiciones, se corrige en cable preensamblado.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0.2916666666666667</v>
      </c>
      <c r="D20" s="110" t="n">
        <v>0.3333333333333333</v>
      </c>
      <c r="E20" s="109" t="n">
        <v>0.7083333333333334</v>
      </c>
      <c r="F20" s="110" t="n">
        <v>0.7916666666666666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174770. Traslado a Mariposa – Alto Nangaritza, atención de daños LMV arrancada. 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0.2708333333333333</v>
      </c>
      <c r="D14" s="110" t="n">
        <v>0.3333333333333333</v>
      </c>
      <c r="E14" s="109" t="n">
        <v>0.7083333333333334</v>
      </c>
      <c r="F14" s="110" t="n">
        <v>0.7541666666666667</v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174393. Guayzimi – Yawi, se revisa y encuentra la Est 71535 quebrada por caída de un árbol, se coordina apoyo con Cuadrilla Paquisha</t>
        </is>
      </c>
      <c r="K14">
        <f>SUM((D14-C14)*1.5*24,(F14-E14)*1.5*24)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0.2847222222222222</v>
      </c>
      <c r="D15" s="110" t="n">
        <v>0.3333333333333333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174473. Yawi, cambio de Est 71535 quebrado por caída de un árbol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0.2930555555555556</v>
      </c>
      <c r="D20" s="110" t="n">
        <v>0.3333333333333333</v>
      </c>
      <c r="E20" s="109" t="n">
        <v>0.7083333333333334</v>
      </c>
      <c r="F20" s="110" t="n">
        <v>0.8020833333333334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174771. Mariposa, con apoyo de Cuadrilla Paquisha en bote por Río Nangaritza, LMV arrancada por caída de árbol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0.3243055555555556</v>
      </c>
      <c r="D24" s="110" t="n">
        <v>0.4854166666666667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175050. Guayzimi, Est 33062 seccionalizador abierto, se recorre LMV,  se energiza por secciones y no se encuentra novedad; Causa: desconocida. Guayzimi, Est 33010 acometida arrancada Med # 1000361578 por vehículo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0.2708333333333333</v>
      </c>
      <c r="D14" s="110" t="n">
        <v>0.3333333333333333</v>
      </c>
      <c r="E14" s="109" t="n">
        <v>0.7083333333333334</v>
      </c>
      <c r="F14" s="110" t="n">
        <v>0.7541666666666667</v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174393. Guayzimi – Yawi, se revisa y encuentra la Est 71535 quebrada por caída de un árbol, se coordina apoyo con Cuadrilla Paquisha</t>
        </is>
      </c>
      <c r="K14">
        <f>SUM((D14-C14)*1.5*24,(F14-E14)*1.5*24)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0.2847222222222222</v>
      </c>
      <c r="D15" s="110" t="n">
        <v>0.3333333333333333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174473. Yawi, cambio de Est 71535 quebrado por caída de un árbol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0.2930555555555556</v>
      </c>
      <c r="D20" s="110" t="n">
        <v>0.3333333333333333</v>
      </c>
      <c r="E20" s="109" t="n">
        <v>0.7083333333333334</v>
      </c>
      <c r="F20" s="110" t="n">
        <v>0.8020833333333334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174771. Mariposa, con apoyo de Cuadrilla Paquisha en bote por Río Nangaritza, LMV arrancada por caída de árbol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0.2708333333333333</v>
      </c>
      <c r="D14" s="110" t="n">
        <v>0.3333333333333333</v>
      </c>
      <c r="E14" s="109" t="n">
        <v>0.7083333333333334</v>
      </c>
      <c r="F14" s="110" t="n">
        <v>0.7541666666666667</v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174393. Guayzimi – Yawi, se revisa y encuentra la Est 71535 quebrada por caída de un árbol, se coordina apoyo con Cuadrilla Paquisha</t>
        </is>
      </c>
      <c r="K14">
        <f>SUM((D14-C14)*1.5*24,(F14-E14)*1.5*24)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0.2847222222222222</v>
      </c>
      <c r="D15" s="110" t="n">
        <v>0.3333333333333333</v>
      </c>
      <c r="E15" s="109" t="n">
        <v>0.7083333333333334</v>
      </c>
      <c r="F15" s="110" t="n">
        <v>0.8729166666666667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174473. Yawi, cambio de Est 71535 quebrado por caída de un árbol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0.3243055555555556</v>
      </c>
      <c r="D24" s="110" t="n">
        <v>0.4854166666666667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175050. Guayzimi, Est 33062 seccionalizador abierto, se recorre LMV,  se energiza por secciones y no se encuentra novedad; Causa: desconocida. Guayzimi, Est 33010 acometida arrancada Med # 1000361578 por vehículo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0.2868055555555555</v>
      </c>
      <c r="D6" s="110" t="n">
        <v>0.3333333333333333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173908. San Miguel, Est 208978 se apoya a Cuadrilla Gualaquiza en cambio de estructura colapsada por choque de vehículo.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0.8152777777777778</v>
      </c>
      <c r="D7" s="110" t="n">
        <v>0.8354166666666667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173951. El Pangui, Est 227941 se rehabilita el trafo # 23783; Causa: desconocida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0.4784722222222222</v>
      </c>
      <c r="D8" s="110" t="n">
        <v>0.5104166666666666</v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174014. DIA FESTIVO “Viernes Santo”. Barrio 8 de Diciembre, Est 71319 se repone 1 tirafusible de 1,3A-SR para el trao 18194; Causa: ave</t>
        </is>
      </c>
      <c r="K8">
        <f>SUM((D8-C8)*2.0*24)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0.3069444444444445</v>
      </c>
      <c r="D10" s="110" t="n">
        <v>0.4986111111111111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174070. Soldado Rivera, sector lejano a pie hasta Est 127591, se revisa y no se encuentra novedad, se repone tirafusible de 1A-SR; Causa: descargas atmosféricas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0.7923611111111111</v>
      </c>
      <c r="D18" s="110" t="n">
        <v>0.8847222222222222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 xml:space="preserve">OT # 174626. cantón El Pangui, recorrido y anota luminarias en mal estado. 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0.6083333333333333</v>
      </c>
      <c r="D23" s="110" t="n">
        <v>0.7798611111111111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trfafo 12478 de 5 KVA se encuentra en mal estado.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0.3805555555555555</v>
      </c>
      <c r="D24" s="110" t="n">
        <v>0.5027777777777778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175025. La Argelia, Est 127460, se repone tirafusible de 6 A-T; Causa: descargas Atmosféricas. Retorno a El Pangui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0.2868055555555555</v>
      </c>
      <c r="D6" s="110" t="n">
        <v>0.3333333333333333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173908. San Miguel, Est 208978 se apoya a Cuadrilla Gualaquiza en cambio de estructura colapsada por choque de vehículo.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0.2868055555555555</v>
      </c>
      <c r="D6" s="110" t="n">
        <v>0.3333333333333333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173908. San Miguel, Est 208978 se apoya a Cuadrilla Gualaquiza en cambio de estructura colapsada por choque de vehículo.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0.8152777777777778</v>
      </c>
      <c r="D7" s="110" t="n">
        <v>0.8354166666666667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173951. El Pangui, Est 227941 se rehabilita el trafo # 23783; Causa: desconocida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0.4784722222222222</v>
      </c>
      <c r="D8" s="110" t="n">
        <v>0.5104166666666666</v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174014. DIA FESTIVO “Viernes Santo”. Barrio 8 de Diciembre, Est 71319 se repone 1 tirafusible de 1,3A-SR para el trao 18194; Causa: ave</t>
        </is>
      </c>
      <c r="K8">
        <f>SUM((D8-C8)*2.0*24)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0.3069444444444445</v>
      </c>
      <c r="D10" s="110" t="n">
        <v>0.4986111111111111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174070. Soldado Rivera, sector lejano a pie hasta Est 127591, se revisa y no se encuentra novedad, se repone tirafusible de 1A-SR; Causa: descargas atmosféricas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0.7638888888888888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174710. El Pangui, calle 24 de Mayo, acometida arrancada Med # 18-255815, se empalma y normaliza el servicio.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0.7597222222222222</v>
      </c>
      <c r="D26" s="110" t="n">
        <v>0.8395833333333333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175158. El Quimi, se arregla RBV arrancada por volquete entre los postes 195181 y 282295, se rehabilita Trafo # 16802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0.5868055555555556</v>
      </c>
      <c r="D16" s="110" t="n">
        <v>0.7861111111111111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174595. San Antonio, Med # 18-255976, se ajusta conexiones, se cambia breaker. San Miguel, Med # 18-237378 se revisa y en la Est 215787 se retira vegetación y reemplaza fusible de 6A-T. El Paraíso, difícil acceso, por por margen de quebrada, acometida arrancada por caída de árbol, se repone. Retorno, Agencia El Pangui.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0.5868055555555556</v>
      </c>
      <c r="D17" s="110" t="n">
        <v>0.7916666666666666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0.7923611111111111</v>
      </c>
      <c r="D18" s="110" t="n">
        <v>0.8847222222222222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 xml:space="preserve">OT # 174626. cantón El Pangui, recorrido y anota luminarias en mal estado. 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0.7638888888888888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174710. El Pangui, calle 24 de Mayo, acometida arrancada Med # 18-255815, se empalma y normaliza el servicio.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0.6083333333333333</v>
      </c>
      <c r="D23" s="110" t="n">
        <v>0.7798611111111111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trfafo 12478 de 5 KVA se encuentra en mal estado.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0.3805555555555555</v>
      </c>
      <c r="D24" s="110" t="n">
        <v>0.5027777777777778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175025. La Argelia, Est 127460, se repone tirafusible de 6 A-T; Causa: descargas Atmosféricas. Retorno a El Pangui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0.7597222222222222</v>
      </c>
      <c r="D26" s="110" t="n">
        <v>0.8395833333333333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175158. El Quimi, se arregla RBV arrancada por volquete entre los postes 195181 y 282295, se rehabilita Trafo # 16802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0.7986111111111112</v>
      </c>
      <c r="D11" s="110" t="n">
        <v>0.8854166666666666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174310. La Pradera, se arregla acometida del Med # 240908, se rehabilita trafo 20916, retorno a Gualaquiza</t>
        </is>
      </c>
      <c r="K11">
        <f>SUM((D11-C11)*1.5*24)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0.75</v>
      </c>
      <c r="D12" s="110" t="n">
        <v>0.8472222222222222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174313. Shiramentza, se revisa RBV, no se encuentra novedad, se cambia tirafusible de 1,3A-SR en Est 237230 tarfo # 22357</t>
        </is>
      </c>
      <c r="K12">
        <f>SUM((D12-C12)*1.5*24)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0.7270833333333333</v>
      </c>
      <c r="D15" s="110" t="n">
        <v>0.8173611111111111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174486. Tutus, reposición de tirafusible 6A-T Est 91980; Causa: desconocida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0.3472222222222222</v>
      </c>
      <c r="D16" s="110" t="n">
        <v>0.5430555555555555</v>
      </c>
      <c r="E16" s="109" t="n">
        <v>0.5854166666666667</v>
      </c>
      <c r="F16" s="110" t="n">
        <v>0.6944444444444444</v>
      </c>
      <c r="G16" s="109" t="n">
        <v>0.8944444444444445</v>
      </c>
      <c r="H16" s="110" t="n">
        <v>0.9375</v>
      </c>
      <c r="I16" s="109">
        <f>SUM(D16-C16, F16-E16, H16-G16)</f>
        <v/>
      </c>
      <c r="J16" s="112" t="inlineStr">
        <is>
          <t>OT # 174555. Guabi Alto, se recupera medidor por caída de tubo, Med # 1223232, se  rehabilita trafo 21485, en la Est 1266959 de 6A-T. Buenos Aires, se repone tirafusible de 6A-T en Est 266482; Causa: desconocida</t>
        </is>
      </c>
      <c r="K16">
        <f>SUM((D16-C16)*2.0*24,(F16-E16)*2.0*24,(H16-G16)*2.0*24)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0.4020833333333333</v>
      </c>
      <c r="D17" s="110" t="n">
        <v>0.4861111111111111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174743. Nueva Zaruma, Est 127829 cambio tirafusible 8A-T; Causa: desconocida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0.84375</v>
      </c>
      <c r="D18" s="110" t="n">
        <v>0.9180555555555555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174616. Sevilla, por disposicion del Ing. Quezada, mediciones de voltaje en transformador 10622. Marginal Churuyacu, árbol seco caido sobre la RBV estructura 61863-62765, se corta arbol, se regula lineas. Barrio La Union, se repone tirafusible de 6A-T en Est 40595. Barrio Amistad, Est 303711 se rehabilita transformador 14582 de 30 kva (3ø); Causa: sobrecarga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0.79375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174708. La Libertad, retiro de árbol sobre LMV, reposición tirafusible de  1,3A-SR Est 161135. Retorno a Gualaquiza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0.8034722222222223</v>
      </c>
      <c r="D7" s="110" t="n">
        <v>0.8652777777777778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173960. Guayusal, reivision y limpieza RBV Est 219763, rehabilitación transf 23459 de 10kva, estructura 255869; Causa: vegetación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0.3701388888888889</v>
      </c>
      <c r="D8" s="110" t="n">
        <v>0.5520833333333334</v>
      </c>
      <c r="E8" s="109" t="n">
        <v>0.7090277777777778</v>
      </c>
      <c r="F8" s="110" t="n">
        <v>0.7951388888888888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174080. DIA FESTIVO “Viernes Santo” Naichap, Est 037299, revision y restitucion medidor 194238 por 18-258039 borneras quemadas. Aguacate, Est 127921, revision y restitucion medidor 194324 por 18-258040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0.6777777777777778</v>
      </c>
      <c r="D9" s="110" t="n">
        <v>0.7666666666666667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174083. Guayusal, revision LMV estructuras 291765 a 128632, sin encontrar novedad, en la Est 291765 cambio tirafusible 25A-T; Causa: descargas atmosfericas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0.3666666666666666</v>
      </c>
      <c r="D10" s="110" t="n">
        <v>0.4506944444444445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174084. Chumpias, revision LMV estructuras 028535 a 065848, sin encontrar novedad, Est 028535 cambio tirafusible 25A-T; Causa: descargas atmosfericas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0.7986111111111112</v>
      </c>
      <c r="D11" s="110" t="n">
        <v>0.8854166666666666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174310. La Pradera, se arregla acometida del Med # 240908, se rehabilita trafo 20916, retorno a Gualaquiza</t>
        </is>
      </c>
      <c r="K11">
        <f>SUM((D11-C11)*1.5*24)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0.75</v>
      </c>
      <c r="D12" s="110" t="n">
        <v>0.8472222222222222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174313. Shiramentza, se revisa RBV, no se encuentra novedad, se cambia tirafusible de 1,3A-SR en Est 237230 tarfo # 22357</t>
        </is>
      </c>
      <c r="K12">
        <f>SUM((D12-C12)*1.5*24)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0.7270833333333333</v>
      </c>
      <c r="D15" s="110" t="n">
        <v>0.8173611111111111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174486. Tutus, reposición de tirafusible 6A-T Est 91980; Causa: desconocida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0.3472222222222222</v>
      </c>
      <c r="D16" s="110" t="n">
        <v>0.5430555555555555</v>
      </c>
      <c r="E16" s="109" t="n">
        <v>0.5854166666666667</v>
      </c>
      <c r="F16" s="110" t="n">
        <v>0.6944444444444444</v>
      </c>
      <c r="G16" s="109" t="n">
        <v>0.8944444444444445</v>
      </c>
      <c r="H16" s="110" t="n">
        <v>0.9375</v>
      </c>
      <c r="I16" s="109">
        <f>SUM(D16-C16, F16-E16, H16-G16)</f>
        <v/>
      </c>
      <c r="J16" s="112" t="inlineStr">
        <is>
          <t>OT # 174555. Guabi Alto, se recupera medidor por caída de tubo, Med # 1223232, se  rehabilita trafo 21485, en la Est 1266959 de 6A-T. Buenos Aires, se repone tirafusible de 6A-T en Est 266482; Causa: desconocida</t>
        </is>
      </c>
      <c r="K16">
        <f>SUM((D16-C16)*2.0*24,(F16-E16)*2.0*24,(H16-G16)*2.0*24)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0.4020833333333333</v>
      </c>
      <c r="D17" s="110" t="n">
        <v>0.4861111111111111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174743. Nueva Zaruma, Est 127829 cambio tirafusible 8A-T; Causa: desconocida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0.84375</v>
      </c>
      <c r="D18" s="110" t="n">
        <v>0.9180555555555555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174616. Sevilla, por disposicion del Ing. Quezada, mediciones de voltaje en transformador 10622. Marginal Churuyacu, árbol seco caido sobre la RBV estructura 61863-62765, se corta arbol, se regula lineas. Barrio La Union, se repone tirafusible de 6A-T en Est 40595. Barrio Amistad, Est 303711 se rehabilita transformador 14582 de 30 kva (3ø); Causa: sobrecarga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0.79375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174708. La Libertad, retiro de árbol sobre LMV, reposición tirafusible de  1,3A-SR Est 161135. Retorno a Gualaquiza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0.7548611111111111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174783. Yuma, Est 210213 se acometida arrancada por incendio forestal. 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>0.7548611111111111</v>
      </c>
      <c r="D21" s="110" t="n">
        <v>0.7951388888888888</v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inlineStr">
        <is>
          <t>OT # 174872. Gualaquiza, Parque Central, Est 40441 y 40442 se revisa RBV, se rehabilita breaker conectando normal el servicio; CAUSA sobrecarga.</t>
        </is>
      </c>
      <c r="K21">
        <f>SUM((D21-C21)*1.5*24)</f>
        <v/>
      </c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0.7777777777777778</v>
      </c>
      <c r="D22" s="110" t="n">
        <v>0.8611111111111112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174936. Parroquia Mercedes Molina, registro de luminarias apagadas en el sector Sevilla- Tambo Viejo- Relleno Sanitario.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0.4055555555555556</v>
      </c>
      <c r="D23" s="110" t="n">
        <v>0.6166666666666667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175066. San Francisco, Est 224794 se revisa LMV y se repone tirafusible de 12A-T; Causa: descargas. Yawi, se revisa LMV, se repone fusible Est 128175 de 2,1 A-SR ; Causa: vegetacion.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0.5902777777777778</v>
      </c>
      <c r="D24" s="110" t="n">
        <v>0.65625</v>
      </c>
      <c r="E24" s="109" t="n">
        <v>0.7763888888888889</v>
      </c>
      <c r="F24" s="110" t="n">
        <v>0.85625</v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175070. Yumaza, Med 251293 Est 62790 se encuentra sulfato en puente de la RBV, se arrergla conexiones.</t>
        </is>
      </c>
      <c r="K24">
        <f>SUM((D24-C24)*2.0*24,(F24-E24)*2.0*24)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0.79375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174708. La Libertad, retiro de árbol sobre LMV, reposición tirafusible de  1,3A-SR Est 161135. Retorno a Gualaquiza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0.7548611111111111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174783. Yuma, Est 210213 se acometida arrancada por incendio forestal. 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>0.7548611111111111</v>
      </c>
      <c r="D21" s="110" t="n">
        <v>0.7951388888888888</v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inlineStr">
        <is>
          <t>OT # 174872. Gualaquiza, Parque Central, Est 40441 y 40442 se revisa RBV, se rehabilita breaker conectando normal el servicio; CAUSA sobrecarga.</t>
        </is>
      </c>
      <c r="K21">
        <f>SUM((D21-C21)*1.5*24)</f>
        <v/>
      </c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0.7777777777777778</v>
      </c>
      <c r="D22" s="110" t="n">
        <v>0.8611111111111112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174936. Parroquia Mercedes Molina, registro de luminarias apagadas en el sector Sevilla- Tambo Viejo- Relleno Sanitario.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0.4055555555555556</v>
      </c>
      <c r="D23" s="110" t="n">
        <v>0.6166666666666667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175066. San Francisco, Est 224794 se revisa LMV y se repone tirafusible de 12A-T; Causa: descargas. Yawi, se revisa LMV, se repone fusible Est 128175 de 2,1 A-SR ; Causa: vegetacion.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0.5902777777777778</v>
      </c>
      <c r="D24" s="110" t="n">
        <v>0.65625</v>
      </c>
      <c r="E24" s="109" t="n">
        <v>0.7763888888888889</v>
      </c>
      <c r="F24" s="110" t="n">
        <v>0.85625</v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175070. Yumaza, Med 251293 Est 62790 se encuentra sulfato en puente de la RBV, se arrergla conexiones.</t>
        </is>
      </c>
      <c r="K24">
        <f>SUM((D24-C24)*2.0*24,(F24-E24)*2.0*24)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0.71875</v>
      </c>
      <c r="D7" s="110" t="n">
        <v>0.8229166666666666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174002. Ungumiatza, Est 30626, se encuentra RBV arramcada; Causa vegetación, se aisla para energizar Trafo 7080, quedan 2 viviendas sin servicio.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0.3333333333333333</v>
      </c>
      <c r="D8" s="110" t="n">
        <v>0.5416666666666666</v>
      </c>
      <c r="E8" s="109" t="n">
        <v>0.5833333333333334</v>
      </c>
      <c r="F8" s="110" t="n">
        <v>0.7611111111111111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174030. DÍA FESTIVO. “Viernes Santo”. Yantzaza – Zamora, se abastece de combustible (2-112). Jesús del Gran Poder, RBV rota, se empalma y regula, se rehabilita Trafo 24273. Traslado hasta Los Encuentros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0.34375</v>
      </c>
      <c r="D9" s="110" t="n">
        <v>0.5145833333333333</v>
      </c>
      <c r="E9" s="109" t="n">
        <v>0.6048611111111111</v>
      </c>
      <c r="F9" s="110" t="n">
        <v>0.6465277777777778</v>
      </c>
      <c r="G9" s="109" t="n">
        <v>0.6840277777777778</v>
      </c>
      <c r="H9" s="110" t="n">
        <v>0.7673611111111112</v>
      </c>
      <c r="I9" s="109">
        <f>SUM(D9-C9, F9-E9, H9-G9)</f>
        <v/>
      </c>
      <c r="J9" s="112" t="inlineStr">
        <is>
          <t>OT # 174054. Ungumiatza, postes 30626 y 30627 desbroce de vegetación, se empalma la RBV; se rehabilita trafo 7080. Barrio Guayabal, breaker sulfatados Med # 18-214982 y se normaliza el servicio</t>
        </is>
      </c>
      <c r="K9">
        <f>SUM((D9-C9)*2.0*24,(F9-E9)*2.0*24,(H9-G9)*2.0*24)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0.3888888888888889</v>
      </c>
      <c r="D10" s="110" t="n">
        <v>0.5416666666666666</v>
      </c>
      <c r="E10" s="109" t="n">
        <v>0.5833333333333334</v>
      </c>
      <c r="F10" s="110" t="n">
        <v>0.7013888888888888</v>
      </c>
      <c r="G10" s="109" t="n">
        <v>0.7986111111111112</v>
      </c>
      <c r="H10" s="110" t="n">
        <v>0.9027777777777778</v>
      </c>
      <c r="I10" s="109">
        <f>SUM(D10-C10, F10-E10, H10-G10)</f>
        <v/>
      </c>
      <c r="J10" s="112" t="inlineStr">
        <is>
          <t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      </is>
      </c>
      <c r="K10">
        <f>SUM((D10-C10)*2.0*24,(F10-E10)*2.0*24,(H10-G10)*2.0*24)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0.8375</v>
      </c>
      <c r="D19" s="110" t="n">
        <v>0.8791666666666667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174727. Vista Hermosa, Trafo 1725 kVA, se rehabilita; Causa: sobrecarga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0.71875</v>
      </c>
      <c r="D7" s="110" t="n">
        <v>0.8229166666666666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174002. Ungumiatza, Est 30626, se encuentra RBV arramcada; Causa vegetación, se aisla para energizar Trafo 7080, quedan 2 viviendas sin servicio.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0.3333333333333333</v>
      </c>
      <c r="D8" s="110" t="n">
        <v>0.5416666666666666</v>
      </c>
      <c r="E8" s="109" t="n">
        <v>0.5833333333333334</v>
      </c>
      <c r="F8" s="110" t="n">
        <v>0.7611111111111111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174030. DÍA FESTIVO. “Viernes Santo”. Yantzaza – Zamora, se abastece de combustible (2-112). Jesús del Gran Poder, RBV rota, se empalma y regula, se rehabilita Trafo 24273. Traslado hasta Los Encuentros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0.34375</v>
      </c>
      <c r="D9" s="110" t="n">
        <v>0.5145833333333333</v>
      </c>
      <c r="E9" s="109" t="n">
        <v>0.6048611111111111</v>
      </c>
      <c r="F9" s="110" t="n">
        <v>0.6465277777777778</v>
      </c>
      <c r="G9" s="109" t="n">
        <v>0.6840277777777778</v>
      </c>
      <c r="H9" s="110" t="n">
        <v>0.7673611111111112</v>
      </c>
      <c r="I9" s="109">
        <f>SUM(D9-C9, F9-E9, H9-G9)</f>
        <v/>
      </c>
      <c r="J9" s="112" t="inlineStr">
        <is>
          <t>OT # 174054. Ungumiatza, postes 30626 y 30627 desbroce de vegetación, se empalma la RBV; se rehabilita trafo 7080. Barrio Guayabal, breaker sulfatados Med # 18-214982 y se normaliza el servicio</t>
        </is>
      </c>
      <c r="K9">
        <f>SUM((D9-C9)*2.0*24,(F9-E9)*2.0*24,(H9-G9)*2.0*24)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0.3888888888888889</v>
      </c>
      <c r="D10" s="110" t="n">
        <v>0.5416666666666666</v>
      </c>
      <c r="E10" s="109" t="n">
        <v>0.5833333333333334</v>
      </c>
      <c r="F10" s="110" t="n">
        <v>0.7013888888888888</v>
      </c>
      <c r="G10" s="109" t="n">
        <v>0.7986111111111112</v>
      </c>
      <c r="H10" s="110" t="n">
        <v>0.9027777777777778</v>
      </c>
      <c r="I10" s="109">
        <f>SUM(D10-C10, F10-E10, H10-G10)</f>
        <v/>
      </c>
      <c r="J10" s="112" t="inlineStr">
        <is>
          <t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      </is>
      </c>
      <c r="K10">
        <f>SUM((D10-C10)*2.0*24,(F10-E10)*2.0*24,(H10-G10)*2.0*24)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0.8034722222222223</v>
      </c>
      <c r="D7" s="110" t="n">
        <v>0.8652777777777778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173960. Guayusal, reivision y limpieza RBV Est 219763, rehabilitación transf 23459 de 10kva, estructura 255869; Causa: vegetación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0.3701388888888889</v>
      </c>
      <c r="D8" s="110" t="n">
        <v>0.5520833333333334</v>
      </c>
      <c r="E8" s="109" t="n">
        <v>0.7090277777777778</v>
      </c>
      <c r="F8" s="110" t="n">
        <v>0.7951388888888888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174080. DIA FESTIVO “Viernes Santo” Naichap, Est 037299, revision y restitucion medidor 194238 por 18-258039 borneras quemadas. Aguacate, Est 127921, revision y restitucion medidor 194324 por 18-258040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0.6777777777777778</v>
      </c>
      <c r="D9" s="110" t="n">
        <v>0.7666666666666667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174083. Guayusal, revision LMV estructuras 291765 a 128632, sin encontrar novedad, en la Est 291765 cambio tirafusible 25A-T; Causa: descargas atmosfericas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0.3666666666666666</v>
      </c>
      <c r="D10" s="110" t="n">
        <v>0.4506944444444445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174084. Chumpias, revision LMV estructuras 028535 a 065848, sin encontrar novedad, Est 028535 cambio tirafusible 25A-T; Causa: descargas atmosfericas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Planificación</dc:creator>
  <dc:language>es-EC</dc:language>
  <dcterms:created xsi:type="dcterms:W3CDTF">1999-03-18T09:31:00Z</dcterms:created>
  <dcterms:modified xsi:type="dcterms:W3CDTF">2026-04-26T21:33:16Z</dcterms:modified>
  <cp:lastModifiedBy>Ernesto Palacios</cp:lastModifiedBy>
  <cp:revision>7</cp:revision>
  <cp:lastPrinted>2026-04-23T11:19:00Z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1033-11.1.0.11723</vt:lpwstr>
  </property>
</Properties>
</file>