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Revisar_primero" sheetId="1" state="visible" r:id="rId1"/>
    <sheet name="result" sheetId="2" state="visible" r:id="rId2"/>
  </sheets>
  <definedNames>
    <definedName name="_xlnm._FilterDatabase" localSheetId="1" hidden="1">'result'!$A$1:$M$173</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dd&quot;,  &quot;dd&quot; de &quot;mmmm&quot; de &quot;yyyy"/>
    <numFmt numFmtId="165" formatCode="dd/mm/yy"/>
    <numFmt numFmtId="166" formatCode="dd/mmm\ yyyy"/>
    <numFmt numFmtId="167" formatCode="hh:mm"/>
    <numFmt numFmtId="168" formatCode="[$-F400]h:mm:ss\ AM/PM"/>
  </numFmts>
  <fonts count="7">
    <font>
      <name val="Arial"/>
      <charset val="1"/>
      <family val="2"/>
      <sz val="10"/>
    </font>
    <font>
      <name val="Arial"/>
      <family val="0"/>
      <sz val="10"/>
    </font>
    <font>
      <name val="Arial"/>
      <family val="0"/>
      <sz val="10"/>
    </font>
    <font>
      <name val="Arial"/>
      <family val="0"/>
      <sz val="10"/>
    </font>
    <font>
      <name val="Arial"/>
      <charset val="1"/>
      <family val="2"/>
      <b val="1"/>
      <sz val="10"/>
    </font>
    <font>
      <name val="Arial"/>
      <charset val="1"/>
      <family val="2"/>
      <b val="1"/>
      <sz val="14"/>
    </font>
    <font>
      <name val="Arial"/>
      <charset val="1"/>
      <family val="0"/>
      <color rgb="FF000000"/>
      <sz val="10"/>
    </font>
  </fonts>
  <fills count="9">
    <fill>
      <patternFill/>
    </fill>
    <fill>
      <patternFill patternType="gray125"/>
    </fill>
    <fill>
      <patternFill patternType="solid">
        <fgColor rgb="FFB4C7DC"/>
        <bgColor rgb="FFCCCCFF"/>
      </patternFill>
    </fill>
    <fill>
      <patternFill patternType="solid">
        <fgColor theme="8" tint="0.7999000000000001"/>
        <bgColor rgb="FFFFFFFF"/>
      </patternFill>
    </fill>
    <fill>
      <patternFill patternType="solid">
        <fgColor theme="8" tint="0.5999"/>
        <bgColor rgb="FFFFD546"/>
      </patternFill>
    </fill>
    <fill>
      <patternFill patternType="solid">
        <fgColor theme="4" tint="0.7999000000000001"/>
        <bgColor rgb="FFCCFFFF"/>
      </patternFill>
    </fill>
    <fill>
      <patternFill patternType="solid">
        <fgColor theme="5" tint="0.7999000000000001"/>
        <bgColor rgb="FFCCFFFF"/>
      </patternFill>
    </fill>
    <fill>
      <patternFill patternType="solid">
        <fgColor theme="9" tint="0.7999000000000001"/>
        <bgColor rgb="FFFFF1C1"/>
      </patternFill>
    </fill>
    <fill>
      <patternFill patternType="solid">
        <fgColor theme="9" tint="0.5999"/>
        <bgColor rgb="FFFF808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0" fillId="0" borderId="0" applyAlignment="1" pivotButton="0" quotePrefix="0" xfId="0">
      <alignment horizontal="general" vertical="bottom"/>
    </xf>
    <xf numFmtId="164" fontId="0" fillId="0" borderId="0" applyAlignment="1" pivotButton="0" quotePrefix="0" xfId="0">
      <alignment horizontal="general" vertical="bottom"/>
    </xf>
    <xf numFmtId="0" fontId="4" fillId="0" borderId="0" applyAlignment="1" pivotButton="0" quotePrefix="0" xfId="0">
      <alignment horizontal="left" vertical="bottom" indent="1"/>
    </xf>
    <xf numFmtId="165" fontId="0" fillId="0" borderId="0" applyAlignment="1" pivotButton="0" quotePrefix="0" xfId="0">
      <alignment horizontal="general" vertical="bottom"/>
    </xf>
    <xf numFmtId="0" fontId="5" fillId="0" borderId="0" applyAlignment="1" pivotButton="0" quotePrefix="0" xfId="0">
      <alignment horizontal="center" vertical="center"/>
    </xf>
    <xf numFmtId="0" fontId="4" fillId="2" borderId="0" applyAlignment="1" pivotButton="0" quotePrefix="0" xfId="0">
      <alignment horizontal="left" vertical="bottom" indent="1"/>
    </xf>
    <xf numFmtId="165" fontId="0" fillId="3" borderId="0" applyAlignment="1" pivotButton="0" quotePrefix="0" xfId="0">
      <alignment horizontal="general" vertical="bottom"/>
    </xf>
    <xf numFmtId="165" fontId="0" fillId="4" borderId="0" applyAlignment="1" pivotButton="0" quotePrefix="0" xfId="0">
      <alignment horizontal="general" vertical="bottom"/>
    </xf>
    <xf numFmtId="165" fontId="0" fillId="5" borderId="0" applyAlignment="1" pivotButton="0" quotePrefix="0" xfId="0">
      <alignment horizontal="general" vertical="bottom"/>
    </xf>
    <xf numFmtId="165" fontId="0" fillId="6" borderId="0" applyAlignment="1" pivotButton="0" quotePrefix="0" xfId="0">
      <alignment horizontal="general" vertical="bottom"/>
    </xf>
    <xf numFmtId="165" fontId="0" fillId="7" borderId="0" applyAlignment="1" pivotButton="0" quotePrefix="0" xfId="0">
      <alignment horizontal="general" vertical="bottom"/>
    </xf>
    <xf numFmtId="165" fontId="0" fillId="8" borderId="0" applyAlignment="1" pivotButton="0" quotePrefix="0" xfId="0">
      <alignment horizontal="general" vertical="bottom"/>
    </xf>
    <xf numFmtId="0" fontId="0" fillId="0" borderId="0" applyAlignment="1" pivotButton="0" quotePrefix="0" xfId="0">
      <alignment horizontal="right" vertical="bottom"/>
    </xf>
    <xf numFmtId="166" fontId="0" fillId="0" borderId="0" applyAlignment="1" pivotButton="0" quotePrefix="0" xfId="0">
      <alignment horizontal="center" vertical="bottom"/>
    </xf>
    <xf numFmtId="167" fontId="0" fillId="0" borderId="0" applyAlignment="1" pivotButton="0" quotePrefix="0" xfId="0">
      <alignment horizontal="center" vertical="bottom"/>
    </xf>
    <xf numFmtId="168" fontId="4" fillId="0" borderId="0" applyAlignment="1" pivotButton="0" quotePrefix="0" xfId="0">
      <alignment horizontal="center" vertical="bottom"/>
    </xf>
    <xf numFmtId="0" fontId="4" fillId="0" borderId="0" applyAlignment="1" pivotButton="0" quotePrefix="0" xfId="0">
      <alignment horizontal="general" vertical="bottom"/>
    </xf>
    <xf numFmtId="0" fontId="4" fillId="0" borderId="0" applyAlignment="1" pivotButton="0" quotePrefix="0" xfId="0">
      <alignment horizontal="right" vertical="bottom" indent="1"/>
    </xf>
    <xf numFmtId="166" fontId="4" fillId="0" borderId="0" applyAlignment="1" pivotButton="0" quotePrefix="0" xfId="0">
      <alignment horizontal="center" vertical="bottom"/>
    </xf>
    <xf numFmtId="167" fontId="4" fillId="0" borderId="0" applyAlignment="1" pivotButton="0" quotePrefix="0" xfId="0">
      <alignment horizontal="center" vertical="bottom"/>
    </xf>
    <xf numFmtId="168" fontId="4" fillId="0" borderId="0" applyAlignment="1" pivotButton="0" quotePrefix="0" xfId="0">
      <alignment horizontal="left" vertical="bottom" inden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general" vertical="bottom" wrapText="1"/>
    </xf>
    <xf numFmtId="4" fontId="4" fillId="0" borderId="0" applyAlignment="1" pivotButton="0" quotePrefix="0" xfId="0">
      <alignment horizontal="center" vertical="bottom"/>
    </xf>
    <xf numFmtId="0" fontId="0" fillId="0" borderId="0" applyAlignment="1" pivotButton="0" quotePrefix="0" xfId="0">
      <alignment horizontal="general" vertical="bottom"/>
    </xf>
    <xf numFmtId="164" fontId="0" fillId="0" borderId="0" applyAlignment="1" pivotButton="0" quotePrefix="0" xfId="0">
      <alignment horizontal="general" vertical="bottom"/>
    </xf>
    <xf numFmtId="0" fontId="4" fillId="0" borderId="0" applyAlignment="1" pivotButton="0" quotePrefix="0" xfId="0">
      <alignment horizontal="left" vertical="bottom" indent="1"/>
    </xf>
    <xf numFmtId="165" fontId="0" fillId="0" borderId="0" applyAlignment="1" pivotButton="0" quotePrefix="0" xfId="0">
      <alignment horizontal="general" vertical="bottom"/>
    </xf>
    <xf numFmtId="0" fontId="0" fillId="0" borderId="0" pivotButton="0" quotePrefix="0" xfId="0"/>
    <xf numFmtId="0" fontId="5" fillId="0" borderId="0" applyAlignment="1" pivotButton="0" quotePrefix="0" xfId="0">
      <alignment horizontal="center" vertical="center"/>
    </xf>
    <xf numFmtId="0" fontId="4" fillId="2" borderId="0" applyAlignment="1" pivotButton="0" quotePrefix="0" xfId="0">
      <alignment horizontal="left" vertical="bottom" indent="1"/>
    </xf>
    <xf numFmtId="165" fontId="0" fillId="3" borderId="0" applyAlignment="1" pivotButton="0" quotePrefix="0" xfId="0">
      <alignment horizontal="general" vertical="bottom"/>
    </xf>
    <xf numFmtId="165" fontId="0" fillId="4" borderId="0" applyAlignment="1" pivotButton="0" quotePrefix="0" xfId="0">
      <alignment horizontal="general" vertical="bottom"/>
    </xf>
    <xf numFmtId="165" fontId="0" fillId="5" borderId="0" applyAlignment="1" pivotButton="0" quotePrefix="0" xfId="0">
      <alignment horizontal="general" vertical="bottom"/>
    </xf>
    <xf numFmtId="165" fontId="0" fillId="6" borderId="0" applyAlignment="1" pivotButton="0" quotePrefix="0" xfId="0">
      <alignment horizontal="general" vertical="bottom"/>
    </xf>
    <xf numFmtId="165" fontId="0" fillId="7" borderId="0" applyAlignment="1" pivotButton="0" quotePrefix="0" xfId="0">
      <alignment horizontal="general" vertical="bottom"/>
    </xf>
    <xf numFmtId="165" fontId="0" fillId="8" borderId="0" applyAlignment="1" pivotButton="0" quotePrefix="0" xfId="0">
      <alignment horizontal="general" vertical="bottom"/>
    </xf>
    <xf numFmtId="0" fontId="0" fillId="0" borderId="0" applyAlignment="1" pivotButton="0" quotePrefix="0" xfId="0">
      <alignment horizontal="right" vertical="bottom"/>
    </xf>
    <xf numFmtId="166" fontId="0" fillId="0" borderId="0" applyAlignment="1" pivotButton="0" quotePrefix="0" xfId="0">
      <alignment horizontal="center" vertical="bottom"/>
    </xf>
    <xf numFmtId="167" fontId="0" fillId="0" borderId="0" applyAlignment="1" pivotButton="0" quotePrefix="0" xfId="0">
      <alignment horizontal="center" vertical="bottom"/>
    </xf>
    <xf numFmtId="168" fontId="4" fillId="0" borderId="0" applyAlignment="1" pivotButton="0" quotePrefix="0" xfId="0">
      <alignment horizontal="center" vertical="bottom"/>
    </xf>
    <xf numFmtId="0" fontId="4" fillId="0" borderId="0" applyAlignment="1" pivotButton="0" quotePrefix="0" xfId="0">
      <alignment horizontal="general" vertical="bottom"/>
    </xf>
    <xf numFmtId="0" fontId="4" fillId="0" borderId="0" applyAlignment="1" pivotButton="0" quotePrefix="0" xfId="0">
      <alignment horizontal="right" vertical="bottom" indent="1"/>
    </xf>
    <xf numFmtId="166" fontId="4" fillId="0" borderId="0" applyAlignment="1" pivotButton="0" quotePrefix="0" xfId="0">
      <alignment horizontal="center" vertical="bottom"/>
    </xf>
    <xf numFmtId="167" fontId="4" fillId="0" borderId="0" applyAlignment="1" pivotButton="0" quotePrefix="0" xfId="0">
      <alignment horizontal="center" vertical="bottom"/>
    </xf>
    <xf numFmtId="168" fontId="4" fillId="0" borderId="0" applyAlignment="1" pivotButton="0" quotePrefix="0" xfId="0">
      <alignment horizontal="left" vertical="bottom" indent="1"/>
    </xf>
    <xf numFmtId="0" fontId="6" fillId="0" borderId="0" applyAlignment="1" pivotButton="0" quotePrefix="0" xfId="0">
      <alignment horizontal="general" vertical="bottom"/>
    </xf>
    <xf numFmtId="0" fontId="6" fillId="0" borderId="0" applyAlignment="1" pivotButton="0" quotePrefix="0" xfId="0">
      <alignment horizontal="general" vertical="bottom" wrapText="1"/>
    </xf>
    <xf numFmtId="4" fontId="4" fillId="0" borderId="0"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BBE6FE"/>
          <bgColor rgb="FF000000"/>
        </patternFill>
      </fill>
    </dxf>
    <dxf>
      <fill>
        <patternFill patternType="solid">
          <fgColor rgb="FFFFD546"/>
          <bgColor rgb="FF000000"/>
        </patternFill>
      </fill>
    </dxf>
    <dxf>
      <fill>
        <patternFill patternType="solid">
          <fgColor rgb="FFFFF1C1"/>
          <bgColor rgb="FF000000"/>
        </patternFill>
      </fill>
    </dxf>
    <dxf>
      <fill>
        <patternFill patternType="solid">
          <bgColor rgb="FF000000"/>
        </patternFill>
      </fill>
    </dxf>
    <dxf>
      <fill>
        <patternFill patternType="solid">
          <fgColor rgb="FFF8CFCE"/>
          <bgColor rgb="FF000000"/>
        </patternFill>
      </fill>
    </dxf>
    <dxf>
      <fill>
        <patternFill patternType="solid">
          <fgColor rgb="FF000000"/>
          <bgColor rgb="FF000000"/>
        </patternFill>
      </fill>
    </dxf>
    <dxf>
      <border>
        <left/>
        <right/>
        <top/>
        <bottom style="thin"/>
        <diagonal/>
      </border>
    </dxf>
    <dxf>
      <fill>
        <patternFill>
          <bgColor theme="8" tint="0.7999000000000001"/>
        </patternFill>
      </fill>
    </dxf>
    <dxf>
      <fill>
        <patternFill>
          <bgColor theme="8" tint="0.3999"/>
        </patternFill>
      </fill>
    </dxf>
    <dxf>
      <fill>
        <patternFill>
          <bgColor theme="4" tint="0.7999000000000001"/>
        </patternFill>
      </fill>
    </dxf>
    <dxf>
      <fill>
        <patternFill>
          <bgColor theme="4" tint="0.7999000000000001"/>
        </patternFill>
      </fill>
    </dxf>
    <dxf>
      <fill>
        <patternFill>
          <bgColor theme="5" tint="0.7999000000000001"/>
        </patternFill>
      </fill>
    </dxf>
    <dxf>
      <fill>
        <patternFill>
          <bgColor theme="9" tint="0.5999"/>
        </patternFill>
      </fill>
    </dxf>
    <dxf>
      <fill>
        <patternFill>
          <bgColor theme="9" tint="0.799900000000000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1C1"/>
      <rgbColor rgb="FFBBE6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4FEBB"/>
      <rgbColor rgb="FFFFE383"/>
      <rgbColor rgb="FF99CCFF"/>
      <rgbColor rgb="FFF19F9E"/>
      <rgbColor rgb="FFCC99FF"/>
      <rgbColor rgb="FFF8CFCE"/>
      <rgbColor rgb="FF3366FF"/>
      <rgbColor rgb="FF33CCCC"/>
      <rgbColor rgb="FF99CC00"/>
      <rgbColor rgb="FFFFD546"/>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28"/>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19" activeCellId="0" sqref="D19"/>
    </sheetView>
  </sheetViews>
  <sheetFormatPr baseColWidth="8" defaultColWidth="11.5703125" defaultRowHeight="12.75" customHeight="0" zeroHeight="0" outlineLevelRow="0"/>
  <cols>
    <col width="43.14" customWidth="1" style="26" min="1" max="1"/>
    <col width="35.14" customWidth="1" style="27" min="2" max="2"/>
    <col width="23" customWidth="1" style="26" min="3" max="3"/>
    <col width="29.71" customWidth="1" style="28" min="4" max="4"/>
    <col width="15.85" customWidth="1" style="29" min="5" max="5"/>
    <col width="18.71" customWidth="1" style="26" min="6" max="6"/>
    <col width="32.86" customWidth="1" style="28" min="7" max="7"/>
    <col width="15.85" customWidth="1" style="29" min="8" max="8"/>
    <col width="17.57" customWidth="1" style="26" min="9" max="9"/>
  </cols>
  <sheetData>
    <row r="1" ht="31.5" customHeight="1" s="30">
      <c r="A1" s="31" t="inlineStr">
        <is>
          <t>Aplica</t>
        </is>
      </c>
      <c r="B1" s="31" t="inlineStr">
        <is>
          <t>Fecha</t>
        </is>
      </c>
      <c r="C1" s="31" t="inlineStr">
        <is>
          <t>Etiqueta</t>
        </is>
      </c>
      <c r="D1" s="31" t="inlineStr">
        <is>
          <t>Cuentas</t>
        </is>
      </c>
      <c r="E1" s="31" t="inlineStr">
        <is>
          <t>Colores</t>
        </is>
      </c>
      <c r="G1" s="31" t="inlineStr">
        <is>
          <t>Reglas de colores aplicadas al documento</t>
        </is>
      </c>
    </row>
    <row r="2" ht="12.75" customHeight="1" s="30">
      <c r="A2" s="32" t="inlineStr">
        <is>
          <t>TODOS</t>
        </is>
      </c>
      <c r="B2" s="27" t="n">
        <v>46023</v>
      </c>
      <c r="C2" s="26" t="inlineStr">
        <is>
          <t>“Año Nuevo”</t>
        </is>
      </c>
      <c r="E2" s="33" t="n"/>
      <c r="F2" s="26" t="inlineStr">
        <is>
          <t>sábado</t>
        </is>
      </c>
    </row>
    <row r="3" ht="12.75" customHeight="1" s="30">
      <c r="A3" s="32" t="inlineStr">
        <is>
          <t>TODOS</t>
        </is>
      </c>
      <c r="B3" s="27" t="n">
        <v>46066</v>
      </c>
      <c r="C3" s="26" t="inlineStr">
        <is>
          <t>“Oriente”</t>
        </is>
      </c>
      <c r="D3" s="28" t="inlineStr">
        <is>
          <t xml:space="preserve"> REDES</t>
        </is>
      </c>
      <c r="E3" s="34" t="n"/>
      <c r="F3" s="26" t="inlineStr">
        <is>
          <t>domingo</t>
        </is>
      </c>
    </row>
    <row r="4" ht="12.75" customHeight="1" s="30">
      <c r="A4" s="32" t="inlineStr">
        <is>
          <t>TODOS</t>
        </is>
      </c>
      <c r="B4" s="27" t="n">
        <v>46069</v>
      </c>
      <c r="C4" s="26" t="inlineStr">
        <is>
          <t>“Carnaval L”</t>
        </is>
      </c>
      <c r="D4" s="28" t="inlineStr">
        <is>
          <t xml:space="preserve"> ALUMBRADO</t>
        </is>
      </c>
      <c r="E4" s="35" t="n"/>
      <c r="F4" s="26" t="inlineStr">
        <is>
          <t>feriado</t>
        </is>
      </c>
    </row>
    <row r="5" ht="12.75" customHeight="1" s="30">
      <c r="A5" s="32" t="inlineStr">
        <is>
          <t>TODOS</t>
        </is>
      </c>
      <c r="B5" s="27" t="n">
        <v>46070</v>
      </c>
      <c r="C5" s="26" t="inlineStr">
        <is>
          <t>“Carnaval M”</t>
        </is>
      </c>
      <c r="D5" s="28" t="inlineStr">
        <is>
          <t xml:space="preserve"> ACOMETIDAS</t>
        </is>
      </c>
      <c r="E5" s="36" t="n"/>
      <c r="F5" s="26" t="inlineStr">
        <is>
          <t>madrugada</t>
        </is>
      </c>
    </row>
    <row r="6" ht="12.75" customHeight="1" s="30">
      <c r="A6" s="32" t="inlineStr">
        <is>
          <t>TODOS</t>
        </is>
      </c>
      <c r="B6" s="27" t="n">
        <v>46115</v>
      </c>
      <c r="C6" s="26" t="inlineStr">
        <is>
          <t>“Viernes Santo”</t>
        </is>
      </c>
      <c r="D6" s="28" t="inlineStr">
        <is>
          <t xml:space="preserve"> MEDIDORES</t>
        </is>
      </c>
      <c r="E6" s="37" t="n"/>
      <c r="F6" s="26" t="inlineStr">
        <is>
          <t>revisar hora inicio</t>
        </is>
      </c>
      <c r="G6" s="28" t="inlineStr">
        <is>
          <t>debería ser hasta 08:00 am</t>
        </is>
      </c>
    </row>
    <row r="7" ht="12.75" customHeight="1" s="30">
      <c r="A7" s="32" t="inlineStr">
        <is>
          <t>TODOS</t>
        </is>
      </c>
      <c r="B7" s="27" t="n">
        <v>46143</v>
      </c>
      <c r="C7" s="26" t="inlineStr">
        <is>
          <t>“Trabajo”</t>
        </is>
      </c>
      <c r="D7" s="28" t="inlineStr">
        <is>
          <t xml:space="preserve"> informativa</t>
        </is>
      </c>
      <c r="E7" s="38" t="n"/>
      <c r="F7" s="26" t="inlineStr">
        <is>
          <t>revisar hora final</t>
        </is>
      </c>
      <c r="G7" s="28" t="inlineStr">
        <is>
          <t>debería ser desde 17:00 pm</t>
        </is>
      </c>
    </row>
    <row r="8" ht="12.75" customHeight="1" s="30">
      <c r="A8" s="32" t="inlineStr">
        <is>
          <t>TODOS</t>
        </is>
      </c>
      <c r="B8" s="27" t="n">
        <v>46167</v>
      </c>
      <c r="C8" s="26" t="inlineStr">
        <is>
          <t>“Pichincha”</t>
        </is>
      </c>
      <c r="D8" s="28" t="inlineStr">
        <is>
          <t xml:space="preserve"> transporte</t>
        </is>
      </c>
    </row>
    <row r="9" ht="12.75" customHeight="1" s="30">
      <c r="A9" s="32" t="inlineStr">
        <is>
          <t>TODOS</t>
        </is>
      </c>
      <c r="B9" s="27" t="n">
        <v>46244</v>
      </c>
      <c r="C9" s="26" t="inlineStr">
        <is>
          <t xml:space="preserve">“Independencia” </t>
        </is>
      </c>
      <c r="D9" s="28" t="inlineStr">
        <is>
          <t xml:space="preserve"> SUBESTACION</t>
        </is>
      </c>
    </row>
    <row r="10" ht="12.75" customHeight="1" s="30">
      <c r="A10" s="32" t="inlineStr">
        <is>
          <t>TODOS</t>
        </is>
      </c>
      <c r="B10" s="27" t="n">
        <v>46304</v>
      </c>
      <c r="C10" s="26" t="inlineStr">
        <is>
          <t xml:space="preserve">“Guayaquil” </t>
        </is>
      </c>
      <c r="D10" s="28" t="inlineStr">
        <is>
          <t xml:space="preserve"> SUBTRANSMISION</t>
        </is>
      </c>
    </row>
    <row r="11" ht="12.75" customHeight="1" s="30">
      <c r="A11" s="32" t="inlineStr">
        <is>
          <t>TODOS</t>
        </is>
      </c>
      <c r="B11" s="27" t="n">
        <v>46328</v>
      </c>
      <c r="C11" s="26" t="inlineStr">
        <is>
          <t>“Difuntos”</t>
        </is>
      </c>
      <c r="D11" s="28" t="inlineStr">
        <is>
          <t xml:space="preserve"> Servicios_Ocasional</t>
        </is>
      </c>
    </row>
    <row r="12" ht="12.75" customHeight="1" s="30">
      <c r="A12" s="32" t="inlineStr">
        <is>
          <t>TODOS</t>
        </is>
      </c>
      <c r="B12" s="27" t="n">
        <v>46329</v>
      </c>
      <c r="C12" s="26" t="inlineStr">
        <is>
          <t>“Cuenca”</t>
        </is>
      </c>
      <c r="D12" s="28" t="inlineStr">
        <is>
          <t xml:space="preserve"> PLANILL</t>
        </is>
      </c>
    </row>
    <row r="13" ht="12.75" customHeight="1" s="30">
      <c r="A13" s="32" t="inlineStr">
        <is>
          <t>TODOS</t>
        </is>
      </c>
      <c r="B13" s="27" t="n">
        <v>46335</v>
      </c>
      <c r="C13" s="26" t="inlineStr">
        <is>
          <t>“Provincializacion”</t>
        </is>
      </c>
      <c r="D13" s="28" t="inlineStr">
        <is>
          <t xml:space="preserve"> Nuevos_Servici</t>
        </is>
      </c>
    </row>
    <row r="14" ht="12.75" customHeight="1" s="30">
      <c r="A14" s="32" t="inlineStr">
        <is>
          <t>TODOS</t>
        </is>
      </c>
      <c r="B14" s="27" t="n">
        <v>46381</v>
      </c>
      <c r="C14" s="26" t="inlineStr">
        <is>
          <t>“Navidad”</t>
        </is>
      </c>
      <c r="D14" s="28" t="inlineStr">
        <is>
          <t xml:space="preserve"> se_labora</t>
        </is>
      </c>
    </row>
    <row r="15" ht="12.75" customHeight="1" s="30">
      <c r="A15" s="32" t="inlineStr">
        <is>
          <t>Zamora Z1 (Cuadrilla. Nro. 6)</t>
        </is>
      </c>
      <c r="B15" s="27" t="n">
        <v>46300</v>
      </c>
      <c r="C15" s="26" t="inlineStr">
        <is>
          <t>“Cantonizacion”</t>
        </is>
      </c>
      <c r="D15" s="28" t="inlineStr">
        <is>
          <t xml:space="preserve"> lunch</t>
        </is>
      </c>
    </row>
    <row r="16" ht="12.75" customHeight="1" s="30">
      <c r="A16" s="32" t="inlineStr">
        <is>
          <t>Zamora Z1 (Cuadrilla. AP Nro. 4)</t>
        </is>
      </c>
      <c r="B16" s="27" t="n">
        <v>46300</v>
      </c>
      <c r="C16" s="26" t="inlineStr">
        <is>
          <t>“Cantonizacion”</t>
        </is>
      </c>
      <c r="D16" s="28" t="inlineStr">
        <is>
          <t xml:space="preserve"> ?</t>
        </is>
      </c>
    </row>
    <row r="17" ht="12.75" customHeight="1" s="30">
      <c r="A17" s="32" t="inlineStr">
        <is>
          <t>Zamora (Agencia)</t>
        </is>
      </c>
      <c r="B17" s="27" t="n">
        <v>46300</v>
      </c>
      <c r="C17" s="26" t="inlineStr">
        <is>
          <t>“Cantonizacion”</t>
        </is>
      </c>
    </row>
    <row r="18" ht="12.75" customHeight="1" s="30">
      <c r="A18" s="32" t="inlineStr">
        <is>
          <t>Jefatura Zonal Zamora</t>
        </is>
      </c>
      <c r="B18" s="27" t="n">
        <v>46300</v>
      </c>
      <c r="C18" s="26" t="inlineStr">
        <is>
          <t>“Cantonizacion”</t>
        </is>
      </c>
    </row>
    <row r="19" ht="12.75" customHeight="1" s="30">
      <c r="A19" s="32" t="inlineStr">
        <is>
          <t>Yacuambi Z1 (Cuadrilla. Nro. 8)</t>
        </is>
      </c>
      <c r="B19" s="27" t="n">
        <v>46031</v>
      </c>
      <c r="C19" s="26" t="inlineStr">
        <is>
          <t>“Cantonizacion”</t>
        </is>
      </c>
    </row>
    <row r="20" ht="12.75" customHeight="1" s="30">
      <c r="A20" s="32" t="inlineStr">
        <is>
          <t>Yantzaza Z1 (Cuadrilla. Nro. 5)</t>
        </is>
      </c>
      <c r="B20" s="27" t="n">
        <v>46080</v>
      </c>
      <c r="C20" s="26" t="inlineStr">
        <is>
          <t>“Cantonizacion”</t>
        </is>
      </c>
    </row>
    <row r="21" ht="12.75" customHeight="1" s="30">
      <c r="A21" s="32" t="inlineStr">
        <is>
          <t>Líneas Energizadas (Cuadrilla  Nro.6)</t>
        </is>
      </c>
      <c r="B21" s="27" t="n">
        <v>46080</v>
      </c>
      <c r="C21" s="26" t="inlineStr">
        <is>
          <t>“Cantonizacion”</t>
        </is>
      </c>
    </row>
    <row r="22" ht="12.75" customHeight="1" s="30">
      <c r="A22" s="32" t="inlineStr">
        <is>
          <t>Yantzaza (Agencia)</t>
        </is>
      </c>
      <c r="B22" s="27" t="n">
        <v>46080</v>
      </c>
      <c r="C22" s="26" t="inlineStr">
        <is>
          <t>“Cantonizacion”</t>
        </is>
      </c>
    </row>
    <row r="23" ht="12.75" customHeight="1" s="30">
      <c r="A23" s="32" t="inlineStr">
        <is>
          <t>Paquisha Z1 (Cuadrilla Nro. 10)</t>
        </is>
      </c>
      <c r="B23" s="27" t="n">
        <v>46319</v>
      </c>
      <c r="C23" s="26" t="inlineStr">
        <is>
          <t>“Cantonizacion”</t>
        </is>
      </c>
    </row>
    <row r="24" ht="12.75" customHeight="1" s="30">
      <c r="A24" s="32" t="inlineStr">
        <is>
          <t>Guayzimi Z1 (Cuadrilla. Nro. 7)</t>
        </is>
      </c>
      <c r="B24" s="27" t="n">
        <v>46353</v>
      </c>
      <c r="C24" s="26" t="inlineStr">
        <is>
          <t>“Cantonizacion”</t>
        </is>
      </c>
    </row>
    <row r="25" ht="12.75" customHeight="1" s="30">
      <c r="A25" s="32" t="inlineStr">
        <is>
          <t>El Pangui Z1 (Cuadrilla. Nro. 4)</t>
        </is>
      </c>
      <c r="B25" s="27" t="n">
        <v>46065</v>
      </c>
      <c r="C25" s="26" t="inlineStr">
        <is>
          <t>“Cantonizacion”</t>
        </is>
      </c>
    </row>
    <row r="26" ht="12.75" customHeight="1" s="30">
      <c r="A26" s="32" t="inlineStr">
        <is>
          <t>El Pangui (Agencia)</t>
        </is>
      </c>
      <c r="B26" s="27" t="n">
        <v>46065</v>
      </c>
      <c r="C26" s="26" t="inlineStr">
        <is>
          <t>“Cantonizacion”</t>
        </is>
      </c>
    </row>
    <row r="27" ht="12.75" customHeight="1" s="30">
      <c r="A27" s="32" t="inlineStr">
        <is>
          <t>Gualaquiza Z1 (Cuadrilla. Nro. 3)</t>
        </is>
      </c>
      <c r="B27" s="27" t="n">
        <v>46251</v>
      </c>
      <c r="C27" s="26" t="inlineStr">
        <is>
          <t>“Cantonización”</t>
        </is>
      </c>
    </row>
    <row r="28" ht="12.75" customHeight="1" s="30">
      <c r="A28" s="32" t="inlineStr">
        <is>
          <t>Gualaquiza (Agencia)</t>
        </is>
      </c>
      <c r="B28" s="27" t="n">
        <v>46251</v>
      </c>
      <c r="C28" s="26" t="inlineStr">
        <is>
          <t>“Cantonización”</t>
        </is>
      </c>
    </row>
  </sheetData>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2.xml><?xml version="1.0" encoding="utf-8"?>
<worksheet xmlns="http://schemas.openxmlformats.org/spreadsheetml/2006/main">
  <sheetPr filterMode="1">
    <outlinePr summaryBelow="1" summaryRight="1"/>
    <pageSetUpPr fitToPage="0"/>
  </sheetPr>
  <dimension ref="A1:M175"/>
  <sheetViews>
    <sheetView showFormulas="0" showGridLines="1" showRowColHeaders="1" showZeros="1" rightToLeft="0" tabSelected="1" showOutlineSymbols="1" defaultGridColor="1" view="normal" topLeftCell="G1" colorId="64" zoomScale="80" zoomScaleNormal="80" zoomScalePageLayoutView="100" workbookViewId="0">
      <selection pane="topLeft" activeCell="H4" activeCellId="0" sqref="H4"/>
    </sheetView>
  </sheetViews>
  <sheetFormatPr baseColWidth="8" defaultColWidth="11.5703125" defaultRowHeight="12.75" customHeight="0" zeroHeight="0" outlineLevelRow="0"/>
  <cols>
    <col width="31.57" customWidth="1" style="26" min="1" max="1"/>
    <col width="39.71" customWidth="1" style="26" min="2" max="2"/>
    <col width="14.42" customWidth="1" style="39" min="3" max="3"/>
    <col width="16.57" customWidth="1" style="40" min="4" max="4"/>
    <col width="14.57" customWidth="1" style="41" min="5" max="5"/>
    <col width="13.42" customWidth="1" style="41" min="6" max="6"/>
    <col width="19.71" customWidth="1" style="42" min="7" max="7"/>
    <col width="170.29" customWidth="1" style="43" min="8" max="8"/>
    <col width="38" customWidth="1" style="26" min="9" max="9"/>
    <col width="7.42" customWidth="1" style="26" min="10" max="10"/>
    <col width="10.14" customWidth="1" style="26" min="11" max="12"/>
    <col width="55.86" customWidth="1" style="26" min="13" max="13"/>
  </cols>
  <sheetData>
    <row r="1" ht="12.75" customHeight="1" s="30">
      <c r="A1" s="28" t="inlineStr">
        <is>
          <t>Cuadrilla</t>
        </is>
      </c>
      <c r="B1" s="28" t="inlineStr">
        <is>
          <t>Responsable</t>
        </is>
      </c>
      <c r="C1" s="44" t="inlineStr">
        <is>
          <t>Dia</t>
        </is>
      </c>
      <c r="D1" s="45" t="inlineStr">
        <is>
          <t>Fecha</t>
        </is>
      </c>
      <c r="E1" s="46" t="inlineStr">
        <is>
          <t>InicioEvento</t>
        </is>
      </c>
      <c r="F1" s="46" t="inlineStr">
        <is>
          <t>FinEvento</t>
        </is>
      </c>
      <c r="G1" s="47" t="inlineStr">
        <is>
          <t>Duracion</t>
        </is>
      </c>
      <c r="H1" s="28" t="inlineStr">
        <is>
          <t>Evento</t>
        </is>
      </c>
      <c r="I1" s="28" t="inlineStr">
        <is>
          <t>Cuenta</t>
        </is>
      </c>
      <c r="J1" s="28" t="inlineStr">
        <is>
          <t>id_ot</t>
        </is>
      </c>
      <c r="K1" s="28" t="inlineStr">
        <is>
          <t>Items</t>
        </is>
      </c>
      <c r="L1" s="28" t="inlineStr">
        <is>
          <t>Num_Filas</t>
        </is>
      </c>
      <c r="M1" s="28" t="inlineStr">
        <is>
          <t>Archivo</t>
        </is>
      </c>
    </row>
    <row r="2" ht="12.75" customHeight="1" s="30">
      <c r="A2" s="26" t="inlineStr">
        <is>
          <t>Jefatura Zonal Zamora</t>
        </is>
      </c>
      <c r="B2" s="26" t="inlineStr">
        <is>
          <t>PALACIOS MERINO ERNESTO VLADIMIR</t>
        </is>
      </c>
      <c r="C2" s="39" t="inlineStr">
        <is>
          <t>viernes</t>
        </is>
      </c>
      <c r="D2" s="40" t="n">
        <v>46108</v>
      </c>
      <c r="E2" s="41" t="n">
        <v>0.2708333333333333</v>
      </c>
      <c r="F2" s="41" t="n">
        <v>0.3472222222222222</v>
      </c>
      <c r="G2" s="42">
        <f>F2-E2</f>
        <v/>
      </c>
      <c r="H2" s="48" t="inlineStr">
        <is>
          <t>Traslado de Zamora hasta El Pangui</t>
        </is>
      </c>
      <c r="I2" s="26" t="inlineStr">
        <is>
          <t>?</t>
        </is>
      </c>
      <c r="J2" s="26" t="n">
        <v>173820</v>
      </c>
      <c r="K2" t="inlineStr">
        <is>
          <t>1</t>
        </is>
      </c>
      <c r="L2" s="26" t="n">
        <v>1</v>
      </c>
      <c r="M2" s="26" t="inlineStr">
        <is>
          <t>OT [00] 00_Jefe Zonal 2026-03-27 (004) EP.pdf</t>
        </is>
      </c>
    </row>
    <row r="3" ht="12.75" customHeight="1" s="30">
      <c r="A3" s="26" t="inlineStr">
        <is>
          <t>Jefatura Zonal Zamora</t>
        </is>
      </c>
      <c r="B3" s="26" t="inlineStr">
        <is>
          <t>PALACIOS MERINO ERNESTO VLADIMIR</t>
        </is>
      </c>
      <c r="C3" s="39" t="inlineStr">
        <is>
          <t>viernes</t>
        </is>
      </c>
      <c r="D3" s="40" t="n">
        <v>46108</v>
      </c>
      <c r="E3" s="41" t="n">
        <v>0.6458333333333334</v>
      </c>
      <c r="F3" s="41" t="n">
        <v>0.7708333333333334</v>
      </c>
      <c r="G3" s="42">
        <f>F3-E3</f>
        <v/>
      </c>
      <c r="H3" s="26" t="inlineStr">
        <is>
          <t>Retorno desde Gualaquiza hasta Zamora</t>
        </is>
      </c>
      <c r="I3" s="26" t="inlineStr">
        <is>
          <t>?</t>
        </is>
      </c>
      <c r="J3" s="26" t="n">
        <v>173820</v>
      </c>
      <c r="K3" t="inlineStr">
        <is>
          <t>8</t>
        </is>
      </c>
      <c r="L3" s="26" t="n">
        <v>1</v>
      </c>
      <c r="M3" s="26" t="inlineStr">
        <is>
          <t>OT [00] 00_Jefe Zonal 2026-03-27 (004) EP.pdf</t>
        </is>
      </c>
    </row>
    <row r="4" ht="12.75" customHeight="1" s="30">
      <c r="A4" s="26" t="inlineStr">
        <is>
          <t>Jefatura Zonal Zamora</t>
        </is>
      </c>
      <c r="B4" s="26" t="inlineStr">
        <is>
          <t>PALACIOS MERINO ERNESTO VLADIMIR</t>
        </is>
      </c>
      <c r="C4" s="39" t="inlineStr">
        <is>
          <t>lunes</t>
        </is>
      </c>
      <c r="D4" s="40" t="n">
        <v>46111</v>
      </c>
      <c r="E4" s="41" t="n">
        <v>0.2708333333333333</v>
      </c>
      <c r="F4" s="41" t="n">
        <v>0.3333333333333333</v>
      </c>
      <c r="G4" s="42">
        <f>F4-E4</f>
        <v/>
      </c>
      <c r="H4" s="48" t="inlineStr">
        <is>
          <t>Desde Zamora hasta Loja, talleres de la EERSSA</t>
        </is>
      </c>
      <c r="I4" s="26" t="inlineStr">
        <is>
          <t>?</t>
        </is>
      </c>
      <c r="J4" s="26" t="n">
        <v>173821</v>
      </c>
      <c r="K4" t="inlineStr">
        <is>
          <t>1</t>
        </is>
      </c>
      <c r="L4" s="26" t="n">
        <v>1</v>
      </c>
      <c r="M4" s="26" t="inlineStr">
        <is>
          <t>OT [00] 00_Jefe Zonal 2026-03-30 (004) EP.pdf</t>
        </is>
      </c>
    </row>
    <row r="5" ht="12.75" customHeight="1" s="30">
      <c r="A5" s="26" t="inlineStr">
        <is>
          <t>Jefatura Zonal Zamora</t>
        </is>
      </c>
      <c r="B5" s="26" t="inlineStr">
        <is>
          <t>PALACIOS MERINO ERNESTO VLADIMIR</t>
        </is>
      </c>
      <c r="C5" s="39" t="inlineStr">
        <is>
          <t>lunes</t>
        </is>
      </c>
      <c r="D5" s="40" t="n">
        <v>46111</v>
      </c>
      <c r="E5" s="41" t="n">
        <v>0.7083333333333334</v>
      </c>
      <c r="F5" s="41" t="n">
        <v>0.7708333333333334</v>
      </c>
      <c r="G5" s="42">
        <f>F5-E5</f>
        <v/>
      </c>
      <c r="H5" s="48" t="inlineStr">
        <is>
          <t>Retorno a Zamora</t>
        </is>
      </c>
      <c r="I5" s="26" t="inlineStr">
        <is>
          <t>?</t>
        </is>
      </c>
      <c r="J5" s="26" t="n">
        <v>173821</v>
      </c>
      <c r="K5" t="inlineStr">
        <is>
          <t>9</t>
        </is>
      </c>
      <c r="L5" s="26" t="n">
        <v>1</v>
      </c>
      <c r="M5" s="26" t="inlineStr">
        <is>
          <t>OT [00] 00_Jefe Zonal 2026-03-30 (004) EP.pdf</t>
        </is>
      </c>
    </row>
    <row r="6" ht="34.5" customHeight="1" s="30">
      <c r="A6" s="26" t="inlineStr">
        <is>
          <t>Zamora Z1 (Cuadrilla. Nro. 6)</t>
        </is>
      </c>
      <c r="B6" s="26" t="inlineStr">
        <is>
          <t>RIOS RIOS FRANCISCO FERNANDO</t>
        </is>
      </c>
      <c r="C6" s="39" t="inlineStr">
        <is>
          <t>lunes</t>
        </is>
      </c>
      <c r="D6" s="40" t="n">
        <v>46104</v>
      </c>
      <c r="E6" s="41" t="n">
        <v>0.7291666666666666</v>
      </c>
      <c r="F6" s="41" t="n">
        <v>0.9076388888888889</v>
      </c>
      <c r="G6" s="42">
        <f>F6-E6</f>
        <v/>
      </c>
      <c r="H6" s="49" t="inlineStr">
        <is>
          <t>San Francisco, se revisa y arregla acometida arrancada del medidor 18-242363 (Lect: 1890) ocasionado por caída de árbol, queda pendiente el cambio de tubo del medidor. Nos trasladamos desde San Francisco al barrio El Lucero El Lucero, entre las estructura. 27892 y 36906 se arregla 2 líneas de la red de BT arrancadas a causa de fuertes vientos. En la estructura. 27892 se reconecta transformador SICAP: 8397 de 5KVA Nos trasladamos desde El Lucero a la agencia EERSSA Zamora</t>
        </is>
      </c>
      <c r="I6" s="26" t="inlineStr">
        <is>
          <t>ACOMETIDAS, REDES</t>
        </is>
      </c>
      <c r="J6" s="26" t="n">
        <v>173271</v>
      </c>
      <c r="K6" t="inlineStr">
        <is>
          <t>15, 16, 17, 18</t>
        </is>
      </c>
      <c r="L6" s="26" t="n">
        <v>4</v>
      </c>
      <c r="M6" s="26" t="inlineStr">
        <is>
          <t>OT [01] Cuadrilla Zamora 2026-03-23 (006) FR.pdf</t>
        </is>
      </c>
    </row>
    <row r="7" ht="23.85" customHeight="1" s="30">
      <c r="A7" s="26" t="inlineStr">
        <is>
          <t>Zamora Z1 (Cuadrilla. Nro. 6)</t>
        </is>
      </c>
      <c r="B7" s="26" t="inlineStr">
        <is>
          <t>RIOS RIOS FRANCISCO FERNANDO</t>
        </is>
      </c>
      <c r="C7" s="39" t="inlineStr">
        <is>
          <t>martes</t>
        </is>
      </c>
      <c r="D7" s="40" t="n">
        <v>46105</v>
      </c>
      <c r="E7" s="41" t="n">
        <v>0.7395833333333334</v>
      </c>
      <c r="F7" s="41" t="n">
        <v>0.9451388888888889</v>
      </c>
      <c r="G7" s="42">
        <f>F7-E7</f>
        <v/>
      </c>
      <c r="H7" s="49" t="inlineStr">
        <is>
          <t>Desde Namirez Alto, nos trasladamos hacia la Agencia Zamora. DAÑOS REPORTADOS POR Centro de Control Nos trasladamos desde la agencia EERSSA Zamora a Namirez Namirez, se revisa y arregla conexiones recalentadas en empalmes a la salidas del medidor 241868 (Lect: 7055) y ajusta conexiones Nos trasladamos desde Nanirez a San Carlos de las Minas San Carlos, se revisa y cambia en la estructura. 28444 tirafusible quemado de 6 Amp. tipo T. estructura. 28414 se cambia tirafusible quemado de 10 Amp. tipo T CAUSA: Rama en contacto con la LMT por fuerte viento. Nos trasladamos desde San Carlos de las Minas a Guadalupe Guadalupe, en la Misión Franciscana se revisa falla donde en la estructura. 179563 se arregla conexiones recalentadas en bushing de BT del transformador SICAP: ilegible de 10KVA Nos trasladamos desde Guadalupe a la agencia EERSSA Zamora</t>
        </is>
      </c>
      <c r="I7" s="26" t="inlineStr">
        <is>
          <t>REDES, MEDIDORES</t>
        </is>
      </c>
      <c r="J7" s="26" t="n">
        <v>173348</v>
      </c>
      <c r="K7" t="inlineStr">
        <is>
          <t>10, 13, 14, 15, 16, 17, 18, 19</t>
        </is>
      </c>
      <c r="L7" s="26" t="n">
        <v>8</v>
      </c>
      <c r="M7" s="26" t="inlineStr">
        <is>
          <t>OT [01] Cuadrilla Zamora 2026-03-24 (006) FR.pdf</t>
        </is>
      </c>
    </row>
    <row r="8" ht="31.5" customHeight="1" s="30">
      <c r="A8" s="26" t="inlineStr">
        <is>
          <t>Zamora Z1 (Cuadrilla. Nro. 6)</t>
        </is>
      </c>
      <c r="B8" s="26" t="inlineStr">
        <is>
          <t>RIOS RIOS FRANCISCO FERNANDO</t>
        </is>
      </c>
      <c r="C8" s="39" t="inlineStr">
        <is>
          <t>miércoles</t>
        </is>
      </c>
      <c r="D8" s="40" t="n">
        <v>46106</v>
      </c>
      <c r="E8" s="41" t="n">
        <v>0.7291666666666666</v>
      </c>
      <c r="F8" s="41" t="n">
        <v>0.8104166666666667</v>
      </c>
      <c r="G8" s="42">
        <f>F8-E8</f>
        <v/>
      </c>
      <c r="H8" s="49" t="inlineStr">
        <is>
          <t>El Tambo, se emprende caminata a la antena de OTECEL donde se revisa y verifica normal el servicio eléctrico en el medidor 202648 (Lect: 87858). La falla es interna. Nos trasladamos desde El Tambo a la agencia EERSSA Zamora</t>
        </is>
      </c>
      <c r="I8" s="26" t="inlineStr">
        <is>
          <t>?</t>
        </is>
      </c>
      <c r="J8" s="26" t="n">
        <v>173441</v>
      </c>
      <c r="K8" t="inlineStr">
        <is>
          <t>15, 16</t>
        </is>
      </c>
      <c r="L8" s="26" t="n">
        <v>2</v>
      </c>
      <c r="M8" s="26" t="inlineStr">
        <is>
          <t>OT [01] Cuadrilla Zamora 2026-03-25 (006) FR.pdf</t>
        </is>
      </c>
    </row>
    <row r="9" ht="34.5" customHeight="1" s="30">
      <c r="A9" s="26" t="inlineStr">
        <is>
          <t>Zamora Z1 (Cuadrilla. Nro. 6)</t>
        </is>
      </c>
      <c r="B9" s="26" t="inlineStr">
        <is>
          <t>RIOS RIOS FRANCISCO FERNANDO</t>
        </is>
      </c>
      <c r="C9" s="39" t="inlineStr">
        <is>
          <t>jueves</t>
        </is>
      </c>
      <c r="D9" s="40" t="n">
        <v>46107</v>
      </c>
      <c r="E9" s="41" t="n">
        <v>0.8715277777777778</v>
      </c>
      <c r="F9" s="41" t="n">
        <v>0.98125</v>
      </c>
      <c r="G9" s="42">
        <f>F9-E9</f>
        <v/>
      </c>
      <c r="H9" s="49" t="inlineStr">
        <is>
          <t>DAÑO REPORTADO POR Centro de Control Nos trasladamos desde la agencia EERSSA Zamor a la Pituca Alto Pituca Alto, se recorre y revisa la LMT donde en la estructura. 38943 se retira rama de las líneas. En la estructura. 38934 se cambia tirafusible quemado de 6 Amp. tipo T. Nos trasladamos desde la Pituca Alto a la agencia EERSSA Zamora</t>
        </is>
      </c>
      <c r="I9" s="26" t="inlineStr">
        <is>
          <t>REDES</t>
        </is>
      </c>
      <c r="J9" s="26" t="n">
        <v>173504</v>
      </c>
      <c r="K9" t="inlineStr">
        <is>
          <t>16, 17, 18</t>
        </is>
      </c>
      <c r="L9" s="26" t="n">
        <v>3</v>
      </c>
      <c r="M9" s="26" t="inlineStr">
        <is>
          <t>OT [01] Cuadrilla Zamora 2026-03-26 (006) FR.pdf</t>
        </is>
      </c>
    </row>
    <row r="10" ht="12.75" customHeight="1" s="30">
      <c r="A10" s="26" t="inlineStr">
        <is>
          <t>Zamora Z1 (Cuadrilla. AP Nro. 4)</t>
        </is>
      </c>
      <c r="B10" s="26" t="inlineStr">
        <is>
          <t>MORALES RIVERA LUIS ALBERTO</t>
        </is>
      </c>
      <c r="C10" s="39" t="inlineStr">
        <is>
          <t>martes</t>
        </is>
      </c>
      <c r="D10" s="40" t="n">
        <v>46105</v>
      </c>
      <c r="E10" s="41" t="n">
        <v>0.7923611111111111</v>
      </c>
      <c r="F10" s="41" t="n">
        <v>0.9201388888888888</v>
      </c>
      <c r="G10" s="42">
        <f>F10-E10</f>
        <v/>
      </c>
      <c r="H10" s="48" t="inlineStr">
        <is>
          <t>Se hase recorrido nocturno levantando información de las luminarias con fallas en los sectores de, vía a Loja, vía Al Oso, Vía Santa Elena hacia Timbara, vía Zamora hacia Cumbaratza. Total: 56 luminarias con novedades de fallas. Se adjunta el listado.</t>
        </is>
      </c>
      <c r="I10" s="26" t="inlineStr">
        <is>
          <t>ALUMBRADO</t>
        </is>
      </c>
      <c r="J10" s="26" t="n">
        <v>173347</v>
      </c>
      <c r="K10" t="inlineStr">
        <is>
          <t>28</t>
        </is>
      </c>
      <c r="L10" s="26" t="n">
        <v>1</v>
      </c>
      <c r="M10" s="26" t="inlineStr">
        <is>
          <t>OT [02] Alumbrado Zamora 2026-03-24 (012) LM.pdf</t>
        </is>
      </c>
    </row>
    <row r="11" ht="12.75" customHeight="1" s="30">
      <c r="A11" s="26" t="inlineStr">
        <is>
          <t>Zamora Z1 (Cuadrilla. AP Nro. 4)</t>
        </is>
      </c>
      <c r="B11" s="26" t="inlineStr">
        <is>
          <t>MORALES RIVERA LUIS ALBERTO</t>
        </is>
      </c>
      <c r="C11" s="39" t="inlineStr">
        <is>
          <t>jueves</t>
        </is>
      </c>
      <c r="D11" s="40" t="n">
        <v>46107</v>
      </c>
      <c r="E11" s="41" t="n">
        <v>0.7833333333333333</v>
      </c>
      <c r="F11" s="41" t="n">
        <v>0.91875</v>
      </c>
      <c r="G11" s="42">
        <f>F11-E11</f>
        <v/>
      </c>
      <c r="H11" s="48" t="inlineStr">
        <is>
          <t>Zamora, trabajo programado y autorizado por superintendencia de alumbrado público, se labora en el vehículo 4-36 Km I: 309696, Km F: 309760, Km T: 64 En Zamora, se hase recorrido nocturno levantando información de las luminarias con fallas en los sectores de, Sakantza, Numbami, Tunantza Alto.</t>
        </is>
      </c>
      <c r="I11" s="26" t="inlineStr">
        <is>
          <t>?</t>
        </is>
      </c>
      <c r="J11" s="26" t="n">
        <v>173497</v>
      </c>
      <c r="K11" t="inlineStr">
        <is>
          <t>17</t>
        </is>
      </c>
      <c r="L11" s="26" t="n">
        <v>1</v>
      </c>
      <c r="M11" s="26" t="inlineStr">
        <is>
          <t>OT [02] Alumbrado Zamora 2026-03-26 (012) LM.pdf</t>
        </is>
      </c>
    </row>
    <row r="12" ht="12.75" customHeight="1" s="30">
      <c r="A12" s="26" t="inlineStr">
        <is>
          <t>Yacuambi Z1 (Cuadrilla. Nro. 8)</t>
        </is>
      </c>
      <c r="B12" s="26" t="inlineStr">
        <is>
          <t>LOZANO SIGCHO NAUN ENRIQUE</t>
        </is>
      </c>
      <c r="C12" s="39" t="inlineStr">
        <is>
          <t>lunes</t>
        </is>
      </c>
      <c r="D12" s="40" t="n">
        <v>46104</v>
      </c>
      <c r="E12" s="41" t="n">
        <v>0.7361111111111112</v>
      </c>
      <c r="F12" s="41" t="n">
        <v>0.8458333333333333</v>
      </c>
      <c r="G12" s="42">
        <f>F12-E12</f>
        <v/>
      </c>
      <c r="H12" s="48" t="inlineStr">
        <is>
          <t>En Santa Rosa se encuentra acometida triplex Nro 4 arrancada del Med 246428 por deslizamiento de techo de zinc de vivienda se empalma 2 metros de acometida triplex Nro 4 Se asegura caja con medidor en la columna de vivienda se regula acometida se hace mediciones de voltaje y se restablece el servicio elictrico DAÑO REPORTADO POR Centro de Control. Mensaje de Centro de Control. Traslado desde Santa Rosa de Piuntza Alto hasta el domicilio informan sin servicio eléctrico En Santa Rosa se encuentra Med 270017 con variacion de voltaje se revisa encontrando conexiones sulfatadas de las salidas del breaker por caída de agua se ajusta conexiones Se hace mediciones de voltaje y se restablece el servicio eléctrico Desde Santa Rosa de Piuntza Alto de La Paz se retorna a Yacuambi</t>
        </is>
      </c>
      <c r="I12" s="26" t="inlineStr">
        <is>
          <t>ACOMETIDAS, MEDIDORES</t>
        </is>
      </c>
      <c r="J12" s="26" t="n">
        <v>173374</v>
      </c>
      <c r="K12" t="inlineStr">
        <is>
          <t>9, 11, 12, 14</t>
        </is>
      </c>
      <c r="L12" s="26" t="n">
        <v>4</v>
      </c>
      <c r="M12" s="26" t="inlineStr">
        <is>
          <t>OT [03] Cuadrilla Yacuambi 2026-03-23 (017) NL.pdf</t>
        </is>
      </c>
    </row>
    <row r="13" ht="30" customHeight="1" s="30">
      <c r="A13" s="26" t="inlineStr">
        <is>
          <t>Yacuambi Z1 (Cuadrilla. Nro. 8)</t>
        </is>
      </c>
      <c r="B13" s="26" t="inlineStr">
        <is>
          <t>LOZANO SIGCHO NAUN ENRIQUE</t>
        </is>
      </c>
      <c r="C13" s="39" t="inlineStr">
        <is>
          <t>martes</t>
        </is>
      </c>
      <c r="D13" s="40" t="n">
        <v>46105</v>
      </c>
      <c r="E13" s="41" t="n">
        <v>0.7222222222222222</v>
      </c>
      <c r="F13" s="41" t="n">
        <v>0.75</v>
      </c>
      <c r="G13" s="42">
        <f>F13-E13</f>
        <v/>
      </c>
      <c r="H13" s="49" t="inlineStr">
        <is>
          <t>Desde Muchime se retorna a Yacuambi Nota transformador instalado sicap 15046 de 10KVA en la estructura 235949 código nuevo en el sector de Camal Municipal autorizados por el Ing Ernesto Palacios TRAFO INSTALADO: Potencia 10 KVA; MARCA Ecuatran; SERIE 11780109; SICAP 15046; PESO 132kg; Z% 1,7; AÑO 2009; 22000/12700 - 120/240</t>
        </is>
      </c>
      <c r="I13" s="26" t="inlineStr">
        <is>
          <t>?</t>
        </is>
      </c>
      <c r="J13" s="26" t="n">
        <v>173453</v>
      </c>
      <c r="K13" t="inlineStr">
        <is>
          <t>13</t>
        </is>
      </c>
      <c r="L13" s="26" t="n">
        <v>1</v>
      </c>
      <c r="M13" s="26" t="inlineStr">
        <is>
          <t>OT [03] Cuadrilla Yacuambi 2026-03-24 (017) NL.pdf</t>
        </is>
      </c>
    </row>
    <row r="14" ht="23.85" customHeight="1" s="30">
      <c r="A14" s="26" t="inlineStr">
        <is>
          <t>Yacuambi Z1 (Cuadrilla. Nro. 8)</t>
        </is>
      </c>
      <c r="B14" s="26" t="inlineStr">
        <is>
          <t>LOZANO SIGCHO NAUN ENRIQUE</t>
        </is>
      </c>
      <c r="C14" s="39" t="inlineStr">
        <is>
          <t>miércoles</t>
        </is>
      </c>
      <c r="D14" s="40" t="n">
        <v>46106</v>
      </c>
      <c r="E14" s="41" t="n">
        <v>0.625</v>
      </c>
      <c r="F14" s="41" t="n">
        <v>0.7555555555555555</v>
      </c>
      <c r="G14" s="42">
        <f>F14-E14</f>
        <v/>
      </c>
      <c r="H14" s="49" t="inlineStr">
        <is>
          <t>Desde Guaguayme Alto nos trasladamos a la Agencia Zamora para abastecer de combustible al vehiculo 5-52, se retira 1 transformador sicap 14125 de 15KVA para repotenciar En Esperanza solicitado por el Presidente de la Comunidad y retornamos a Yacuambi</t>
        </is>
      </c>
      <c r="I14" s="26" t="inlineStr">
        <is>
          <t>?</t>
        </is>
      </c>
      <c r="J14" s="26" t="n">
        <v>173550</v>
      </c>
      <c r="K14" t="inlineStr">
        <is>
          <t>11</t>
        </is>
      </c>
      <c r="L14" s="26" t="n">
        <v>1</v>
      </c>
      <c r="M14" s="26" t="inlineStr">
        <is>
          <t>OT [03] Cuadrilla Yacuambi 2026-03-25 (017) NL.pdf</t>
        </is>
      </c>
    </row>
    <row r="15" ht="12.75" customHeight="1" s="30">
      <c r="A15" s="26" t="inlineStr">
        <is>
          <t>Yacuambi Z1 (Cuadrilla. Nro. 8)</t>
        </is>
      </c>
      <c r="B15" s="26" t="inlineStr">
        <is>
          <t>LOZANO SIGCHO NAUN ENRIQUE</t>
        </is>
      </c>
      <c r="C15" s="39" t="inlineStr">
        <is>
          <t>jueves</t>
        </is>
      </c>
      <c r="D15" s="40" t="n">
        <v>46107</v>
      </c>
      <c r="E15" s="41" t="n">
        <v>0.6875</v>
      </c>
      <c r="F15" s="41" t="n">
        <v>0.7756944444444445</v>
      </c>
      <c r="G15" s="42">
        <f>F15-E15</f>
        <v/>
      </c>
      <c r="H15" s="48" t="inlineStr">
        <is>
          <t>Desde Guagauyme Alto se retorna a Yacuambi</t>
        </is>
      </c>
      <c r="I15" s="26" t="inlineStr">
        <is>
          <t>?</t>
        </is>
      </c>
      <c r="J15" s="26" t="n">
        <v>173588</v>
      </c>
      <c r="K15" t="inlineStr">
        <is>
          <t>9</t>
        </is>
      </c>
      <c r="L15" s="26" t="n">
        <v>1</v>
      </c>
      <c r="M15" s="26" t="inlineStr">
        <is>
          <t>OT [03] Cuadrilla Yacuambi 2026-03-26 (017) NL.pdf</t>
        </is>
      </c>
    </row>
    <row r="16" ht="12.75" customHeight="1" s="30">
      <c r="A16" s="26" t="inlineStr">
        <is>
          <t>Yacuambi Z1 (Cuadrilla. Nro. 8)</t>
        </is>
      </c>
      <c r="B16" s="26" t="inlineStr">
        <is>
          <t>LOZANO SIGCHO NAUN ENRIQUE</t>
        </is>
      </c>
      <c r="C16" s="39" t="inlineStr">
        <is>
          <t>sábado</t>
        </is>
      </c>
      <c r="D16" s="40" t="n">
        <v>46109</v>
      </c>
      <c r="E16" s="41" t="n">
        <v>0.4861111111111111</v>
      </c>
      <c r="F16" s="41" t="n">
        <v>0.6909722222222222</v>
      </c>
      <c r="G16" s="42">
        <f>F16-E16</f>
        <v/>
      </c>
      <c r="H16" s="48" t="inlineStr">
        <is>
          <t>En Bodega Yacuambi se coordina trabajos con los compañeros se equipa vehículo de herramientas, materiales elaboración de la OT AÑO REPORTADO POR Centro de Control. Mensaje de Centro de Control. Traslado desde Bodega hasta la calle Amazonas informan sector sin servicio eléctrico En la calle Amazonas en la estructura 39105 se encuentra transformador bloqueado sicap 16921 de 25KVA, se revisa encontrando en la estructura 39106 LBT y cable tensor rotos por choque de volqueta Se retira cable tensor en mal estado se desata acometidas se coloca 10 metros de cable tensor se aploma estructura se empalma LBT se regula LBT se conecta acometidas Luego en la estructura 39105 se activa breaker del transformador sicap 16921 de 25KVA y se restablece el servicio electrico CARGA: 25KVA: FECHA DESC: 28/03/2026 (06:00 aprox) FECHA CONX: (14:00) CAUSA choque de volqueta en la estructura 39106 AÑO REPORTADO POR Centro de Control. Mensaje de Centro de Control. Traslado desde la calle Amazonas hasta Peñablanca informan sector sin servicio eléctrico En Peñablanca en la estructura 176409 se encuentra transformador sicap 10167 de 3KVA sin servicio eléctrico se revisa y se hace mediciones de voltaje transformador quemado Sin voltaje, quedando pendiente para la siguiente semana realizar el cambio de transformador Desde Peñablanca se retorna a Yacuambi</t>
        </is>
      </c>
      <c r="I16" s="26" t="inlineStr">
        <is>
          <t>REDES</t>
        </is>
      </c>
      <c r="J16" s="26" t="n">
        <v>173627</v>
      </c>
      <c r="K16" t="inlineStr">
        <is>
          <t>1, 2, 3, 7, 8, 10</t>
        </is>
      </c>
      <c r="L16" s="26" t="n">
        <v>6</v>
      </c>
      <c r="M16" s="26" t="inlineStr">
        <is>
          <t>OT [03] Cuadrilla Yacuambi 2026-03-28 (017) NL.pdf</t>
        </is>
      </c>
    </row>
    <row r="17" ht="12.75" customHeight="1" s="30">
      <c r="A17" s="26" t="inlineStr">
        <is>
          <t>Yacuambi Z1 (Cuadrilla. Nro. 8)</t>
        </is>
      </c>
      <c r="B17" s="26" t="inlineStr">
        <is>
          <t>LOZANO SIGCHO NAUN ENRIQUE</t>
        </is>
      </c>
      <c r="C17" s="39" t="inlineStr">
        <is>
          <t>lunes</t>
        </is>
      </c>
      <c r="D17" s="40" t="n">
        <v>46111</v>
      </c>
      <c r="E17" s="41" t="n">
        <v>0.7430555555555556</v>
      </c>
      <c r="F17" s="41" t="n">
        <v>0.75</v>
      </c>
      <c r="G17" s="42">
        <f>F17-E17</f>
        <v/>
      </c>
      <c r="H17" s="48" t="inlineStr">
        <is>
          <t>Desde Cambana se retorna a Yacuambi</t>
        </is>
      </c>
      <c r="I17" s="26" t="inlineStr">
        <is>
          <t>?</t>
        </is>
      </c>
      <c r="J17" s="26" t="n">
        <v>173676</v>
      </c>
      <c r="K17" t="inlineStr">
        <is>
          <t>18</t>
        </is>
      </c>
      <c r="L17" s="26" t="n">
        <v>1</v>
      </c>
      <c r="M17" s="26" t="inlineStr">
        <is>
          <t>OT [03] Cuadrilla Yacuambi 2026-03-30 (017) NL.pdf</t>
        </is>
      </c>
    </row>
    <row r="18" ht="57.45" customHeight="1" s="30">
      <c r="A18" s="26" t="inlineStr">
        <is>
          <t>Yacuambi Z1 (Cuadrilla. Nro. 8)</t>
        </is>
      </c>
      <c r="B18" s="26" t="inlineStr">
        <is>
          <t>LOZANO SIGCHO NAUN ENRIQUE</t>
        </is>
      </c>
      <c r="C18" s="39" t="inlineStr">
        <is>
          <t>lunes</t>
        </is>
      </c>
      <c r="D18" s="40" t="n">
        <v>46111</v>
      </c>
      <c r="E18" s="41" t="n">
        <v>0.8611111111111112</v>
      </c>
      <c r="F18" s="41" t="n">
        <v>0.9166666666666666</v>
      </c>
      <c r="G18" s="42">
        <f>F18-E18</f>
        <v/>
      </c>
      <c r="H18" s="49" t="inlineStr">
        <is>
          <t>DAÑO REPORTADO POR Centro de Control. Mensaje de Centro de Control. Traslado desde Bodega hasta la calle 10 de Marzo informan sector sin servicio eléctrico En la estructura 266229 se encuentra transformador bloqueado sicap 14453 de 37,5KVA, se revisa encontrando acometida del Med 212339 cristalizada y en cortocircuito Se retira una parte de acometida en mal estado se conecta acometida luego en la estructura 266229 se activa del transformador sicap 14453 de 37,5KVA y se restablece el servicio eléctrico CARGA: 37,5KVA: FECHA DESC: 30/03/2026 (19:40 aprox) FECHA CONX: (22:00) CAUSA acometida en cortocircuito</t>
        </is>
      </c>
      <c r="I18" s="26" t="inlineStr">
        <is>
          <t>REDES</t>
        </is>
      </c>
      <c r="J18" s="26" t="n">
        <v>173676</v>
      </c>
      <c r="K18" t="inlineStr">
        <is>
          <t>22, 23</t>
        </is>
      </c>
      <c r="L18" s="26" t="n">
        <v>2</v>
      </c>
      <c r="M18" s="26" t="inlineStr">
        <is>
          <t>OT [03] Cuadrilla Yacuambi 2026-03-30 (017) NL.pdf</t>
        </is>
      </c>
    </row>
    <row r="19" ht="23.85" customHeight="1" s="30">
      <c r="A19" s="26" t="inlineStr">
        <is>
          <t>Yantzaza Z1 (Cuadrilla. Nro. 5)</t>
        </is>
      </c>
      <c r="B19" s="26" t="inlineStr">
        <is>
          <t>OCHOA JARAMILLO ANGEL CLAUDIO</t>
        </is>
      </c>
      <c r="C19" s="39" t="inlineStr">
        <is>
          <t>lunes</t>
        </is>
      </c>
      <c r="D19" s="40" t="n">
        <v>46104</v>
      </c>
      <c r="E19" s="41" t="n">
        <v>0.7340277777777777</v>
      </c>
      <c r="F19" s="41" t="n">
        <v>0.7777777777777778</v>
      </c>
      <c r="G19" s="42">
        <f>F19-E19</f>
        <v/>
      </c>
      <c r="H19" s="49" t="inlineStr">
        <is>
          <t>El Paraíso se revisa el medidor 2022056206 se encuentra acometida arrancada y dañada por el paso de vehículo, se repone 12 metros de acometida de aluminio tríplex 6 acsr. Se cambia puentes de las borneras, breaker de 50A en mal estado, se ajusta conexiones queda normal el servicio ( 18:10) Se informa al C. Control. Se retorna a Yantzaza.</t>
        </is>
      </c>
      <c r="I19" s="26" t="inlineStr">
        <is>
          <t>ACOMETIDAS</t>
        </is>
      </c>
      <c r="J19" s="26" t="n">
        <v>173338</v>
      </c>
      <c r="K19" t="inlineStr">
        <is>
          <t>2, 4</t>
        </is>
      </c>
      <c r="L19" s="26" t="n">
        <v>2</v>
      </c>
      <c r="M19" s="26" t="inlineStr">
        <is>
          <t>OT [04] Cuadrilla Yantzaza 2026-03-23 (023) AO.pdf</t>
        </is>
      </c>
    </row>
    <row r="20" ht="12.75" customHeight="1" s="30">
      <c r="A20" s="26" t="inlineStr">
        <is>
          <t>Yantzaza Z1 (Cuadrilla. Nro. 5)</t>
        </is>
      </c>
      <c r="B20" s="26" t="inlineStr">
        <is>
          <t>CORDOVA JIMENEZ JORGE LUIS</t>
        </is>
      </c>
      <c r="C20" s="39" t="inlineStr">
        <is>
          <t>lunes</t>
        </is>
      </c>
      <c r="D20" s="40" t="n">
        <v>46104</v>
      </c>
      <c r="E20" s="41" t="n">
        <v>0.2083333333333333</v>
      </c>
      <c r="F20" s="41" t="n">
        <v>0.3333333333333333</v>
      </c>
      <c r="G20" s="42">
        <f>F20-E20</f>
        <v/>
      </c>
      <c r="H20" s="49" t="inlineStr">
        <is>
          <t>Traslado en transporte público desde la ciudad de Yantzaza hacia la ciudad de Loja.</t>
        </is>
      </c>
      <c r="I20" s="26" t="inlineStr">
        <is>
          <t>?</t>
        </is>
      </c>
      <c r="J20" s="26" t="n">
        <v>173463</v>
      </c>
      <c r="K20" t="inlineStr">
        <is>
          <t>1</t>
        </is>
      </c>
      <c r="L20" s="26" t="n">
        <v>1</v>
      </c>
      <c r="M20" s="26" t="inlineStr">
        <is>
          <t>OT [04] Cuadrilla Yantzaza 2026-03-23 (025) JLC.pdf</t>
        </is>
      </c>
    </row>
    <row r="21" ht="23.85" customHeight="1" s="30">
      <c r="A21" s="26" t="inlineStr">
        <is>
          <t>Yantzaza Z1 (Cuadrilla. Nro. 5)</t>
        </is>
      </c>
      <c r="B21" s="26" t="inlineStr">
        <is>
          <t>BARRAZUETA GONZAGA SERVIO GUILLERMO</t>
        </is>
      </c>
      <c r="C21" s="39" t="inlineStr">
        <is>
          <t>martes</t>
        </is>
      </c>
      <c r="D21" s="40" t="n">
        <v>46105</v>
      </c>
      <c r="E21" s="41" t="n">
        <v>0.7361111111111112</v>
      </c>
      <c r="F21" s="41" t="n">
        <v>0.75</v>
      </c>
      <c r="G21" s="42">
        <f>F21-E21</f>
        <v/>
      </c>
      <c r="H21" s="49" t="inlineStr">
        <is>
          <t>Traslado desde San Sebastián hasta Yantzaza agencia</t>
        </is>
      </c>
      <c r="I21" s="26" t="inlineStr">
        <is>
          <t>?</t>
        </is>
      </c>
      <c r="J21" s="26" t="n">
        <v>173362</v>
      </c>
      <c r="K21" t="inlineStr">
        <is>
          <t>15</t>
        </is>
      </c>
      <c r="L21" s="26" t="n">
        <v>1</v>
      </c>
      <c r="M21" s="26" t="inlineStr">
        <is>
          <t>OT [04] Cuadrilla Yantzaza 2026-03-24 (021) SB.pdf</t>
        </is>
      </c>
    </row>
    <row r="22" ht="23.85" customHeight="1" s="30">
      <c r="A22" s="26" t="inlineStr">
        <is>
          <t>Yantzaza Z1 (Cuadrilla. Nro. 5)</t>
        </is>
      </c>
      <c r="B22" s="26" t="inlineStr">
        <is>
          <t>OCHOA JARAMILLO ANGEL CLAUDIO</t>
        </is>
      </c>
      <c r="C22" s="39" t="inlineStr">
        <is>
          <t>martes</t>
        </is>
      </c>
      <c r="D22" s="40" t="n">
        <v>46105</v>
      </c>
      <c r="E22" s="41" t="n">
        <v>0.8604166666666667</v>
      </c>
      <c r="F22" s="41" t="n">
        <v>0.8826388888888889</v>
      </c>
      <c r="G22" s="42">
        <f>F22-E22</f>
        <v/>
      </c>
      <c r="H22" s="49" t="inlineStr">
        <is>
          <t>DAÑO REPORTADO POR EL Centro de Control. Mensaje de WhatsApp. Nos trasladamos desde La Agencia Yantzaza a el Barrio Pita. Informan sector sin servicio eléctrico. Pita se encuentra sector sin servicio eléctrico, transformador abierto por sobrecarga, se resetea breaker de el trasformador de 25 kva numero 16920 en la estructura 232974 se espera un momento Para confirmar que el servicio quede normal. Se retorna a la Agencia.</t>
        </is>
      </c>
      <c r="I22" s="26" t="inlineStr">
        <is>
          <t>REDES</t>
        </is>
      </c>
      <c r="J22" s="26" t="n">
        <v>173598</v>
      </c>
      <c r="K22" t="inlineStr">
        <is>
          <t>1, 2, 4</t>
        </is>
      </c>
      <c r="L22" s="26" t="n">
        <v>3</v>
      </c>
      <c r="M22" s="26" t="inlineStr">
        <is>
          <t>OT [04] Cuadrilla Yantzaza 2026-03-24 (023) AO.pdf</t>
        </is>
      </c>
    </row>
    <row r="23" ht="23.85" customHeight="1" s="30">
      <c r="A23" s="26" t="inlineStr">
        <is>
          <t>Yantzaza Z1 (Cuadrilla. Nro. 5)</t>
        </is>
      </c>
      <c r="B23" s="26" t="inlineStr">
        <is>
          <t>CORDOVA JIMENEZ JORGE LUIS</t>
        </is>
      </c>
      <c r="C23" s="39" t="inlineStr">
        <is>
          <t>martes</t>
        </is>
      </c>
      <c r="D23" s="40" t="n">
        <v>46105</v>
      </c>
      <c r="E23" s="41" t="n">
        <v>0.2708333333333333</v>
      </c>
      <c r="F23" s="41" t="n">
        <v>0.5416666666666666</v>
      </c>
      <c r="G23" s="42">
        <f>F23-E23</f>
        <v/>
      </c>
      <c r="H23" s="49" t="inlineStr">
        <is>
          <t>Se asiste a la toma de muestras y realización de análisis clínicos, en laboratorio MIBIOGen de la ciudad de Loja, solicitados por el departamento médico de la EERSSA.</t>
        </is>
      </c>
      <c r="I23" s="26" t="inlineStr">
        <is>
          <t>?</t>
        </is>
      </c>
      <c r="J23" s="26" t="n">
        <v>173473</v>
      </c>
      <c r="K23" t="inlineStr">
        <is>
          <t>1</t>
        </is>
      </c>
      <c r="L23" s="26" t="n">
        <v>1</v>
      </c>
      <c r="M23" s="26" t="inlineStr">
        <is>
          <t>OT [04] Cuadrilla Yantzaza 2026-03-24 (025) JLC.pdf</t>
        </is>
      </c>
    </row>
    <row r="24" ht="23.85" customHeight="1" s="30">
      <c r="A24" s="26" t="inlineStr">
        <is>
          <t>Yantzaza Z1 (Cuadrilla. Nro. 5)</t>
        </is>
      </c>
      <c r="B24" s="26" t="inlineStr">
        <is>
          <t>CORDOVA JIMENEZ JORGE LUIS</t>
        </is>
      </c>
      <c r="C24" s="39" t="inlineStr">
        <is>
          <t>martes</t>
        </is>
      </c>
      <c r="D24" s="40" t="n">
        <v>46105</v>
      </c>
      <c r="E24" s="41" t="n">
        <v>0.7083333333333334</v>
      </c>
      <c r="F24" s="41" t="n">
        <v>0.8333333333333334</v>
      </c>
      <c r="G24" s="42">
        <f>F24-E24</f>
        <v/>
      </c>
      <c r="H24" s="49" t="inlineStr">
        <is>
          <t>Traslado en transporte público desde la ciudad de Loja hacia la ciudad de Yantzaza.</t>
        </is>
      </c>
      <c r="I24" s="26" t="inlineStr">
        <is>
          <t>?</t>
        </is>
      </c>
      <c r="J24" s="26" t="n">
        <v>173473</v>
      </c>
      <c r="K24" t="inlineStr">
        <is>
          <t>6</t>
        </is>
      </c>
      <c r="L24" s="26" t="n">
        <v>1</v>
      </c>
      <c r="M24" s="26" t="inlineStr">
        <is>
          <t>OT [04] Cuadrilla Yantzaza 2026-03-24 (025) JLC.pdf</t>
        </is>
      </c>
    </row>
    <row r="25" ht="23.85" customHeight="1" s="30">
      <c r="A25" s="26" t="inlineStr">
        <is>
          <t>Yantzaza Z1 (Cuadrilla. Nro. 5)</t>
        </is>
      </c>
      <c r="B25" s="26" t="inlineStr">
        <is>
          <t>BARRAZUETA GONZAGA SERVIO GUILLERMO</t>
        </is>
      </c>
      <c r="C25" s="39" t="inlineStr">
        <is>
          <t>miércoles</t>
        </is>
      </c>
      <c r="D25" s="40" t="n">
        <v>46106</v>
      </c>
      <c r="E25" s="41" t="n">
        <v>0.6979166666666666</v>
      </c>
      <c r="F25" s="41" t="n">
        <v>0.7708333333333334</v>
      </c>
      <c r="G25" s="42">
        <f>F25-E25</f>
        <v/>
      </c>
      <c r="H25" s="49" t="inlineStr">
        <is>
          <t>Retorno desde Zarza hasta Yantzaza agencia, se dificulta traslado debido a paso controlado por matte de via Los Encuentros - Zarza</t>
        </is>
      </c>
      <c r="I25" s="26" t="inlineStr">
        <is>
          <t>?</t>
        </is>
      </c>
      <c r="J25" s="26" t="n">
        <v>173409</v>
      </c>
      <c r="K25" t="inlineStr">
        <is>
          <t>11</t>
        </is>
      </c>
      <c r="L25" s="26" t="n">
        <v>1</v>
      </c>
      <c r="M25" s="26" t="inlineStr">
        <is>
          <t>OT [04] Cuadrilla Yantzaza 2026-03-25 (021) SB.pdf</t>
        </is>
      </c>
    </row>
    <row r="26" ht="12.75" customHeight="1" s="30">
      <c r="A26" s="26" t="inlineStr">
        <is>
          <t>Yantzaza Z1 (Cuadrilla. Nro. 5)</t>
        </is>
      </c>
      <c r="B26" s="26" t="inlineStr">
        <is>
          <t>OCHOA JARAMILLO ANGEL CLAUDIO</t>
        </is>
      </c>
      <c r="C26" s="39" t="inlineStr">
        <is>
          <t>jueves</t>
        </is>
      </c>
      <c r="D26" s="40" t="n">
        <v>46107</v>
      </c>
      <c r="E26" s="41" t="n">
        <v>0.7083333333333334</v>
      </c>
      <c r="F26" s="41" t="n">
        <v>0.8097222222222222</v>
      </c>
      <c r="G26" s="42">
        <f>F26-E26</f>
        <v/>
      </c>
      <c r="H26" s="49" t="inlineStr">
        <is>
          <t>DAÑO REPORTADO POR EL Centro de Control. Mensaje de WhatsApp. Nos trasladamos desde la Agencia Yantzaza a el Barrio El Pindal ( Los Encuentros). Informan sector sin servicio eléctrico. Por el accidente que hubo frente a la oficina de la Eerssa se ayuda a bajar los materiales y herramientas de la cuadrilla Jofre Quituizaca ( 17:00 - 17:38 ) Los Encuentros se revisa LM/T desde la estructura 33769, derivación al Pindal en la estructura 33798 ( actualizar sig) en El Pindal se encuentra fusible quemado derivación al Pinal Alto. Se recorre LM/T al Pindal Alto y no se encuentra nada se repone tira fusible de 6A tipo T en la estructura 33798 causa tormenta eléctrica y fuertes vientos ( 18:32) se confirma normal el servicio. Se retorna a Yantzaza.</t>
        </is>
      </c>
      <c r="I26" s="26" t="inlineStr">
        <is>
          <t>REDES</t>
        </is>
      </c>
      <c r="J26" s="26" t="n">
        <v>173753</v>
      </c>
      <c r="K26" t="inlineStr">
        <is>
          <t>1, 3, 5</t>
        </is>
      </c>
      <c r="L26" s="26" t="n">
        <v>3</v>
      </c>
      <c r="M26" s="26" t="inlineStr">
        <is>
          <t>OT [04] Cuadrilla Yantzaza 2026-03-26 (023) AO.pdf</t>
        </is>
      </c>
    </row>
    <row r="27" ht="24.25" customHeight="1" s="30">
      <c r="A27" s="26" t="inlineStr">
        <is>
          <t>Yantzaza Z1 (Cuadrilla. Nro. 5)</t>
        </is>
      </c>
      <c r="B27" s="26" t="inlineStr">
        <is>
          <t>OCHOA JARAMILLO ANGEL CLAUDIO</t>
        </is>
      </c>
      <c r="C27" s="39" t="inlineStr">
        <is>
          <t>viernes</t>
        </is>
      </c>
      <c r="D27" s="40" t="n">
        <v>46108</v>
      </c>
      <c r="E27" s="41" t="n">
        <v>0.7395833333333334</v>
      </c>
      <c r="F27" s="41" t="n">
        <v>0.7993055555555556</v>
      </c>
      <c r="G27" s="42">
        <f>F27-E27</f>
        <v/>
      </c>
      <c r="H27" s="49" t="inlineStr">
        <is>
          <t>DAÑO REPORTADO POR EL Centro de Control. Mensaje de WhatsApp. Nos trasladamos desde El Barrio central a el Barrio San Pablo Alto Informan sector sin servicio eléctrico. San Pablo Alto se revisa medidor 241792, se encuentra rota la segunda fase entre las estructura 37680/ 212755 por trabajos de mantenimiento vial y por tener que hacer desbroce de vegetación. Y por ser ya noche se coordina con C. Control y abonados el trabajo se realizara el siguiente día pero sin antes se aísla la falla se cierra el trasformador abierto De 10kva numero 21912 en la estructura 212755, para dejar con servicio eléctrico se puentea los medidores quedando con servicio provisional. Se retorna a Yantzaza.</t>
        </is>
      </c>
      <c r="I27" s="26" t="inlineStr">
        <is>
          <t>REDES</t>
        </is>
      </c>
      <c r="J27" s="26" t="n">
        <v>173756</v>
      </c>
      <c r="K27" t="inlineStr">
        <is>
          <t>5, 6, 9</t>
        </is>
      </c>
      <c r="L27" s="26" t="n">
        <v>3</v>
      </c>
      <c r="M27" s="26" t="inlineStr">
        <is>
          <t>OT [04] Cuadrilla Yantzaza 2026-03-27 (023) AO.pdf</t>
        </is>
      </c>
    </row>
    <row r="28" ht="12.75" customHeight="1" s="30">
      <c r="A28" s="26" t="inlineStr">
        <is>
          <t>Líneas Energizadas (Cuadrilla  Nro.6)</t>
        </is>
      </c>
      <c r="B28" s="26" t="inlineStr">
        <is>
          <t>AGURTO BARRAGAN LUIS DARWIN</t>
        </is>
      </c>
      <c r="C28" s="39" t="inlineStr">
        <is>
          <t>lunes</t>
        </is>
      </c>
      <c r="D28" s="40" t="n">
        <v>46104</v>
      </c>
      <c r="E28" s="41" t="n">
        <v>0.6666666666666666</v>
      </c>
      <c r="F28" s="41" t="n">
        <v>0.75</v>
      </c>
      <c r="G28" s="42">
        <f>F28-E28</f>
        <v/>
      </c>
      <c r="H28" s="48" t="inlineStr">
        <is>
          <t>Es s/n se instala 3 estribos y conexión de 3 pararrayos, también se instala estribo para transformador monofásico y coordinar con centro de control habilitar recierre. Laboran: LA, CB, RM, CO, SR, WG de 08:00 a 18:00. SE PERNOTA EN GUALAQUIZA. KILOMETRAJE CANASTA 2-146 Inicial: 1126 final: 1225.</t>
        </is>
      </c>
      <c r="I28" s="26" t="inlineStr">
        <is>
          <t>?</t>
        </is>
      </c>
      <c r="J28" s="26" t="n">
        <v>173230</v>
      </c>
      <c r="K28" t="inlineStr">
        <is>
          <t>4</t>
        </is>
      </c>
      <c r="L28" s="26" t="n">
        <v>1</v>
      </c>
      <c r="M28" s="26" t="inlineStr">
        <is>
          <t>OT [05] Energizados Yantzaza 2026-03-23 (027) LA.pdf</t>
        </is>
      </c>
    </row>
    <row r="29" ht="12.75" customHeight="1" s="30">
      <c r="A29" s="26" t="inlineStr">
        <is>
          <t>Líneas Energizadas (Cuadrilla  Nro.6)</t>
        </is>
      </c>
      <c r="B29" s="26" t="inlineStr">
        <is>
          <t>AGURTO BARRAGAN LUIS DARWIN</t>
        </is>
      </c>
      <c r="C29" s="39" t="inlineStr">
        <is>
          <t>martes</t>
        </is>
      </c>
      <c r="D29" s="40" t="n">
        <v>46105</v>
      </c>
      <c r="E29" s="41" t="n">
        <v>0.7291666666666666</v>
      </c>
      <c r="F29" s="41" t="n">
        <v>0.75</v>
      </c>
      <c r="G29" s="42">
        <f>F29-E29</f>
        <v/>
      </c>
      <c r="H29" s="48" t="inlineStr">
        <is>
          <t>Se elimina un tramo de linea existente, se coordina con centro de control normaliza reguladores y recierres de Re-conectadores Nueva Tarqui en Campo y Las Peñas automática. Laboran: LA, CB, RM, CO, SR, WG de 08:00 a 18:00. SE PERNOTA EN GUALAQUIZA. Kilometraje canasta 2- 146: Inicial: 1226 FINAL: 1266</t>
        </is>
      </c>
      <c r="I29" s="26" t="inlineStr">
        <is>
          <t>REDES</t>
        </is>
      </c>
      <c r="J29" s="26" t="n">
        <v>173326</v>
      </c>
      <c r="K29" t="inlineStr">
        <is>
          <t>3</t>
        </is>
      </c>
      <c r="L29" s="26" t="n">
        <v>1</v>
      </c>
      <c r="M29" s="26" t="inlineStr">
        <is>
          <t>OT [05] Energizados Yantzaza 2026-03-24 (027) LA.pdf</t>
        </is>
      </c>
    </row>
    <row r="30" ht="12.75" customHeight="1" s="30">
      <c r="A30" s="26" t="inlineStr">
        <is>
          <t>Líneas Energizadas (Cuadrilla  Nro.6)</t>
        </is>
      </c>
      <c r="B30" s="26" t="inlineStr">
        <is>
          <t>AGURTO BARRAGAN LUIS DARWIN</t>
        </is>
      </c>
      <c r="C30" s="39" t="inlineStr">
        <is>
          <t>miércoles</t>
        </is>
      </c>
      <c r="D30" s="40" t="n">
        <v>46106</v>
      </c>
      <c r="E30" s="41" t="n">
        <v>0.7291666666666666</v>
      </c>
      <c r="F30" s="41" t="n">
        <v>0.8125</v>
      </c>
      <c r="G30" s="42">
        <f>F30-E30</f>
        <v/>
      </c>
      <c r="H30" s="48" t="inlineStr">
        <is>
          <t>estructura 272445 se cierra puentes de cruce trifásico para cerrar circuito de linea nueva con la existente. estructura s/n se abre barras para separa el mallado de el Re - conectador Las Peñas - Nueva Tarqui se coordina con centro de control se coloca recierres y automático fde reguladores. Laboran: LA, CB, RM, CO, SR, WG de 08:00 a 19:30. Se pernota en Gualaquiza. Kilometraje canasta 2-146: inicial : 1266 final: 1296</t>
        </is>
      </c>
      <c r="I30" s="26" t="inlineStr">
        <is>
          <t>REDES</t>
        </is>
      </c>
      <c r="J30" s="26" t="n">
        <v>173404</v>
      </c>
      <c r="K30" t="inlineStr">
        <is>
          <t>4, 5</t>
        </is>
      </c>
      <c r="L30" s="26" t="n">
        <v>2</v>
      </c>
      <c r="M30" s="26" t="inlineStr">
        <is>
          <t>OT [05] Energizados Yantzaza 2026-03-25 (027) LA.pdf</t>
        </is>
      </c>
    </row>
    <row r="31" ht="12.75" customHeight="1" s="30">
      <c r="A31" s="26" t="inlineStr">
        <is>
          <t>Líneas Energizadas (Cuadrilla  Nro.6)</t>
        </is>
      </c>
      <c r="B31" s="26" t="inlineStr">
        <is>
          <t>AGURTO BARRAGAN LUIS DARWIN</t>
        </is>
      </c>
      <c r="C31" s="39" t="inlineStr">
        <is>
          <t>jueves</t>
        </is>
      </c>
      <c r="D31" s="40" t="n">
        <v>46107</v>
      </c>
      <c r="E31" s="41" t="n">
        <v>0.6875</v>
      </c>
      <c r="F31" s="41" t="n">
        <v>0.7916666666666666</v>
      </c>
      <c r="G31" s="42">
        <f>F31-E31</f>
        <v/>
      </c>
      <c r="H31" s="48" t="inlineStr">
        <is>
          <t>estructura S/N se abre puentes en estructura tipo bandera para abrir mallado interno, estructura S/N se instala 3 grapas de linea energizada para que el contratista pueda abrir reubicar linea monofásica. Laboran: LA, CB, RM, CO, SR, WG de 08:00 a 19:00. SE pernota en Gualaquiza. Kilometraje canasta 2-146: inicial : 1256 final: 1286</t>
        </is>
      </c>
      <c r="I31" s="26" t="inlineStr">
        <is>
          <t>REDES</t>
        </is>
      </c>
      <c r="J31" s="26" t="n">
        <v>173476</v>
      </c>
      <c r="K31" t="inlineStr">
        <is>
          <t>4</t>
        </is>
      </c>
      <c r="L31" s="26" t="n">
        <v>1</v>
      </c>
      <c r="M31" s="26" t="inlineStr">
        <is>
          <t>OT [05] Energizados Yantzaza 2026-03-26 (027) LA.pdf</t>
        </is>
      </c>
    </row>
    <row r="32" ht="23.85" customHeight="1" s="30">
      <c r="A32" s="26" t="inlineStr">
        <is>
          <t>Paquisha Z1 (Cuadrilla Nro. 10)</t>
        </is>
      </c>
      <c r="B32" s="26" t="inlineStr">
        <is>
          <t>AMARI ORDONEZ JUNIOR IVAN</t>
        </is>
      </c>
      <c r="C32" s="39" t="inlineStr">
        <is>
          <t>miércoles</t>
        </is>
      </c>
      <c r="D32" s="40" t="n">
        <v>46106</v>
      </c>
      <c r="E32" s="41" t="n">
        <v>0.7361111111111112</v>
      </c>
      <c r="F32" s="41" t="n">
        <v>0.75</v>
      </c>
      <c r="G32" s="42">
        <f>F32-E32</f>
        <v/>
      </c>
      <c r="H32" s="49" t="inlineStr">
        <is>
          <t>Traslado a la Bodega de Paquisha</t>
        </is>
      </c>
      <c r="I32" s="26" t="inlineStr">
        <is>
          <t>?</t>
        </is>
      </c>
      <c r="J32" s="26" t="n">
        <v>173422</v>
      </c>
      <c r="K32" t="inlineStr">
        <is>
          <t>13</t>
        </is>
      </c>
      <c r="L32" s="26" t="n">
        <v>1</v>
      </c>
      <c r="M32" s="26" t="inlineStr">
        <is>
          <t>OT [06] Cuadrilla Paquisha 2026-03-25 (034) JA.pdf</t>
        </is>
      </c>
    </row>
    <row r="33" ht="23.85" customHeight="1" s="30">
      <c r="A33" s="26" t="inlineStr">
        <is>
          <t>Paquisha Z1 (Cuadrilla Nro. 10)</t>
        </is>
      </c>
      <c r="B33" s="26" t="inlineStr">
        <is>
          <t>GRANDA MORALES DANIEL ALEJANDRO</t>
        </is>
      </c>
      <c r="C33" s="39" t="inlineStr">
        <is>
          <t>sábado</t>
        </is>
      </c>
      <c r="D33" s="40" t="n">
        <v>46109</v>
      </c>
      <c r="E33" s="41" t="n">
        <v>0.4701388888888889</v>
      </c>
      <c r="F33" s="41" t="n">
        <v>0.5013888888888889</v>
      </c>
      <c r="G33" s="42">
        <f>F33-E33</f>
        <v/>
      </c>
      <c r="H33" s="49" t="inlineStr">
        <is>
          <t>DAÑO REPORTADO POR Centro de Control. (Mensaje de WhatsApp) Traslado desde Paquisha hasta el medidor 261427 DAÑO REPORTADO POR Centro de Control En Paquisha medidor 261427, fusible de linea en la estructura 92674 quemado, se recorre y se revisa la linea hasta la estructura 34649 Se constata que no existe falla en la linea, se cambia tira fusible de 25 A tipo T en la estructura 92674 Traslado a la bodega de Paquisha</t>
        </is>
      </c>
      <c r="I33" s="26" t="inlineStr">
        <is>
          <t>REDES</t>
        </is>
      </c>
      <c r="J33" s="26" t="n">
        <v>173740</v>
      </c>
      <c r="K33" t="inlineStr">
        <is>
          <t>1, 2, 4</t>
        </is>
      </c>
      <c r="L33" s="26" t="n">
        <v>3</v>
      </c>
      <c r="M33" s="26" t="inlineStr">
        <is>
          <t>OT [06] Cuadrilla Paquisha 2026-03-28 (036) DG.pdf</t>
        </is>
      </c>
    </row>
    <row r="34" ht="12.75" customHeight="1" s="30">
      <c r="A34" s="26" t="inlineStr">
        <is>
          <t>Guayzimi Z1 (Cuadrilla. Nro. 7)</t>
        </is>
      </c>
      <c r="B34" s="26" t="inlineStr">
        <is>
          <t>CACAY LUZURIAGA ASDRUBAL HUMBERTO</t>
        </is>
      </c>
      <c r="C34" s="39" t="inlineStr">
        <is>
          <t>lunes</t>
        </is>
      </c>
      <c r="D34" s="40" t="n">
        <v>46104</v>
      </c>
      <c r="E34" s="41" t="n">
        <v>0.6875</v>
      </c>
      <c r="F34" s="41" t="n">
        <v>0.7993055555555556</v>
      </c>
      <c r="G34" s="42">
        <f>F34-E34</f>
        <v/>
      </c>
      <c r="H34" s="49" t="inlineStr">
        <is>
          <t>Traslado a Zamora</t>
        </is>
      </c>
      <c r="I34" s="26" t="inlineStr">
        <is>
          <t>?</t>
        </is>
      </c>
      <c r="J34" s="26" t="n">
        <v>173377</v>
      </c>
      <c r="K34" t="inlineStr">
        <is>
          <t>6</t>
        </is>
      </c>
      <c r="L34" s="26" t="n">
        <v>1</v>
      </c>
      <c r="M34" s="26" t="inlineStr">
        <is>
          <t>OT [07] Cuadrilla Guayzimi 2026-03-23 (039) AC.pdf</t>
        </is>
      </c>
    </row>
    <row r="35" ht="12.75" customHeight="1" s="30">
      <c r="A35" s="26" t="inlineStr">
        <is>
          <t>Guayzimi Z1 (Cuadrilla. Nro. 7)</t>
        </is>
      </c>
      <c r="B35" s="26" t="inlineStr">
        <is>
          <t>QUIROGA ORDONEZ CARLOS HERNAN</t>
        </is>
      </c>
      <c r="C35" s="39" t="inlineStr">
        <is>
          <t>martes</t>
        </is>
      </c>
      <c r="D35" s="40" t="n">
        <v>46105</v>
      </c>
      <c r="E35" s="41" t="n">
        <v>0.2541666666666667</v>
      </c>
      <c r="F35" s="41" t="n">
        <v>0.3541666666666667</v>
      </c>
      <c r="G35" s="42">
        <f>F35-E35</f>
        <v/>
      </c>
      <c r="H35" s="49" t="inlineStr">
        <is>
          <t>Bodega, coordinación de trabajos elaboración de orden de trabajo Guayzimi - Nuevo Paraíso</t>
        </is>
      </c>
      <c r="I35" s="26" t="inlineStr">
        <is>
          <t>?</t>
        </is>
      </c>
      <c r="J35" s="26" t="n">
        <v>173340</v>
      </c>
      <c r="K35" t="inlineStr">
        <is>
          <t>1, 2</t>
        </is>
      </c>
      <c r="L35" s="26" t="n">
        <v>2</v>
      </c>
      <c r="M35" s="26" t="inlineStr">
        <is>
          <t>OT [07] Cuadrilla Guayzimi 2026-03-24 (038) CQ.pdf</t>
        </is>
      </c>
    </row>
    <row r="36" ht="12.75" customHeight="1" s="30">
      <c r="A36" s="26" t="inlineStr">
        <is>
          <t>Guayzimi Z1 (Cuadrilla. Nro. 7)</t>
        </is>
      </c>
      <c r="B36" s="26" t="inlineStr">
        <is>
          <t>QUIROGA ORDONEZ CARLOS HERNAN</t>
        </is>
      </c>
      <c r="C36" s="39" t="inlineStr">
        <is>
          <t>martes</t>
        </is>
      </c>
      <c r="D36" s="40" t="n">
        <v>46105</v>
      </c>
      <c r="E36" s="41" t="n">
        <v>0.5625</v>
      </c>
      <c r="F36" s="41" t="n">
        <v>0.8645833333333334</v>
      </c>
      <c r="G36" s="42">
        <f>F36-E36</f>
        <v/>
      </c>
      <c r="H36" s="48" t="inlineStr">
        <is>
          <t>DAÑO REPORTADO POR Centro de Control. (Mensaje de WhatsApp) Las Brisas, estructura 32981 tirafusible quemado causa estructura 34004 quebrada la base por impacto de una maquinaria Versión de abonados Corrección: con apoyo de personal y maquinaria del sector se corrige la falla rehubicando estructura Y se habilita el mismo estructura de manera provisional se restaura LMT1 arrancada, empalmada y retensada de línea finaliza los trabajos y se energiza sin novedad Reponiendo tirafusible de 12A-k/19:20. Se rehutiliza los mismos materiales. Finalizados trabajos retornamos a Bodega</t>
        </is>
      </c>
      <c r="I36" s="26" t="inlineStr">
        <is>
          <t>REDES</t>
        </is>
      </c>
      <c r="J36" s="26" t="n">
        <v>173340</v>
      </c>
      <c r="K36" t="inlineStr">
        <is>
          <t>6</t>
        </is>
      </c>
      <c r="L36" s="26" t="n">
        <v>1</v>
      </c>
      <c r="M36" s="26" t="inlineStr">
        <is>
          <t>OT [07] Cuadrilla Guayzimi 2026-03-24 (038) CQ.pdf</t>
        </is>
      </c>
    </row>
    <row r="37" ht="12.75" customHeight="1" s="30">
      <c r="A37" s="26" t="inlineStr">
        <is>
          <t>Guayzimi Z1 (Cuadrilla. Nro. 7)</t>
        </is>
      </c>
      <c r="B37" s="26" t="inlineStr">
        <is>
          <t>QUIROGA ORDONEZ CARLOS HERNAN</t>
        </is>
      </c>
      <c r="C37" s="39" t="inlineStr">
        <is>
          <t>martes</t>
        </is>
      </c>
      <c r="D37" s="40" t="n">
        <v>46105</v>
      </c>
      <c r="E37" s="41" t="n">
        <v>0.8791666666666667</v>
      </c>
      <c r="F37" s="41" t="n">
        <v>0.9298611111111111</v>
      </c>
      <c r="G37" s="42">
        <f>F37-E37</f>
        <v/>
      </c>
      <c r="H37" s="49" t="inlineStr">
        <is>
          <t>Las Brisas, mismo abonado reportante informa que persiste la falla retornamos a la estructura 247671 revisa medidor 290269 limpia sulfato en barra de neutro</t>
        </is>
      </c>
      <c r="I37" s="26" t="inlineStr">
        <is>
          <t>?</t>
        </is>
      </c>
      <c r="J37" s="26" t="n">
        <v>173340</v>
      </c>
      <c r="K37" t="inlineStr">
        <is>
          <t>11</t>
        </is>
      </c>
      <c r="L37" s="26" t="n">
        <v>1</v>
      </c>
      <c r="M37" s="26" t="inlineStr">
        <is>
          <t>OT [07] Cuadrilla Guayzimi 2026-03-24 (038) CQ.pdf</t>
        </is>
      </c>
    </row>
    <row r="38" ht="23.85" customHeight="1" s="30">
      <c r="A38" s="26" t="inlineStr">
        <is>
          <t>Guayzimi Z1 (Cuadrilla. Nro. 7)</t>
        </is>
      </c>
      <c r="B38" s="26" t="inlineStr">
        <is>
          <t>CACAY LUZURIAGA ASDRUBAL HUMBERTO</t>
        </is>
      </c>
      <c r="C38" s="39" t="inlineStr">
        <is>
          <t>martes</t>
        </is>
      </c>
      <c r="D38" s="40" t="n">
        <v>46105</v>
      </c>
      <c r="E38" s="41" t="n">
        <v>0.6875</v>
      </c>
      <c r="F38" s="41" t="n">
        <v>0.7847222222222222</v>
      </c>
      <c r="G38" s="42">
        <f>F38-E38</f>
        <v/>
      </c>
      <c r="H38" s="49" t="inlineStr">
        <is>
          <t>Traslado a Guayzimi Se elabora: AC de 08:00 a 13:00 y de 14:00 a 18:50</t>
        </is>
      </c>
      <c r="I38" s="26" t="inlineStr">
        <is>
          <t>?</t>
        </is>
      </c>
      <c r="J38" s="26" t="n">
        <v>173379</v>
      </c>
      <c r="K38" t="inlineStr">
        <is>
          <t>6</t>
        </is>
      </c>
      <c r="L38" s="26" t="n">
        <v>1</v>
      </c>
      <c r="M38" s="26" t="inlineStr">
        <is>
          <t>OT [07] Cuadrilla Guayzimi 2026-03-24 (039) AC.pdf</t>
        </is>
      </c>
    </row>
    <row r="39" ht="35.05" customHeight="1" s="30">
      <c r="A39" s="26" t="inlineStr">
        <is>
          <t>Guayzimi Z1 (Cuadrilla. Nro. 7)</t>
        </is>
      </c>
      <c r="B39" s="26" t="inlineStr">
        <is>
          <t>CACAY LUZURIAGA ASDRUBAL HUMBERTO</t>
        </is>
      </c>
      <c r="C39" s="39" t="inlineStr">
        <is>
          <t>miércoles</t>
        </is>
      </c>
      <c r="D39" s="40" t="n">
        <v>46106</v>
      </c>
      <c r="E39" s="41" t="n">
        <v>0.2291666666666667</v>
      </c>
      <c r="F39" s="41" t="n">
        <v>0.375</v>
      </c>
      <c r="G39" s="42">
        <f>F39-E39</f>
        <v/>
      </c>
      <c r="H39" s="49" t="inlineStr">
        <is>
          <t>Traslado a la Ciudad de Loja en vehículo particular</t>
        </is>
      </c>
      <c r="I39" s="26" t="inlineStr">
        <is>
          <t>?</t>
        </is>
      </c>
      <c r="J39" s="26" t="n">
        <v>173466</v>
      </c>
      <c r="K39" t="inlineStr">
        <is>
          <t>1</t>
        </is>
      </c>
      <c r="L39" s="26" t="n">
        <v>1</v>
      </c>
      <c r="M39" s="26" t="inlineStr">
        <is>
          <t>OT [07] Cuadrilla Guayzimi 2026-03-25 (039) AC.pdf</t>
        </is>
      </c>
    </row>
    <row r="40" ht="12.75" customHeight="1" s="30">
      <c r="A40" s="26" t="inlineStr">
        <is>
          <t>Guayzimi Z1 (Cuadrilla. Nro. 7)</t>
        </is>
      </c>
      <c r="B40" s="26" t="inlineStr">
        <is>
          <t>CACAY LUZURIAGA ASDRUBAL HUMBERTO</t>
        </is>
      </c>
      <c r="C40" s="39" t="inlineStr">
        <is>
          <t>miércoles</t>
        </is>
      </c>
      <c r="D40" s="40" t="n">
        <v>46106</v>
      </c>
      <c r="E40" s="41" t="n">
        <v>0.6875</v>
      </c>
      <c r="F40" s="41" t="n">
        <v>0.7729166666666667</v>
      </c>
      <c r="G40" s="42">
        <f>F40-E40</f>
        <v/>
      </c>
      <c r="H40" s="48" t="inlineStr">
        <is>
          <t>Traslado a Guayzimi en vehículo particular</t>
        </is>
      </c>
      <c r="I40" s="26" t="inlineStr">
        <is>
          <t>?</t>
        </is>
      </c>
      <c r="J40" s="26" t="n">
        <v>173466</v>
      </c>
      <c r="K40" t="inlineStr">
        <is>
          <t>7</t>
        </is>
      </c>
      <c r="L40" s="26" t="n">
        <v>1</v>
      </c>
      <c r="M40" s="26" t="inlineStr">
        <is>
          <t>OT [07] Cuadrilla Guayzimi 2026-03-25 (039) AC.pdf</t>
        </is>
      </c>
    </row>
    <row r="41" ht="12.75" customHeight="1" s="30">
      <c r="A41" s="26" t="inlineStr">
        <is>
          <t>Guayzimi Z1 (Cuadrilla. Nro. 7)</t>
        </is>
      </c>
      <c r="B41" s="26" t="inlineStr">
        <is>
          <t>QUIROGA ORDONEZ CARLOS HERNAN</t>
        </is>
      </c>
      <c r="C41" s="39" t="inlineStr">
        <is>
          <t>jueves</t>
        </is>
      </c>
      <c r="D41" s="40" t="n">
        <v>46107</v>
      </c>
      <c r="E41" s="41" t="n">
        <v>0.2916666666666667</v>
      </c>
      <c r="F41" s="41" t="n">
        <v>0.375</v>
      </c>
      <c r="G41" s="42">
        <f>F41-E41</f>
        <v/>
      </c>
      <c r="H41" s="48" t="inlineStr">
        <is>
          <t>Bodega, coordinación de trabajos se elabora Orden de Trabajo Guayzimi - Shaime</t>
        </is>
      </c>
      <c r="I41" s="26" t="inlineStr">
        <is>
          <t>?</t>
        </is>
      </c>
      <c r="J41" s="26" t="n">
        <v>173484</v>
      </c>
      <c r="K41" t="inlineStr">
        <is>
          <t>1, 2</t>
        </is>
      </c>
      <c r="L41" s="26" t="n">
        <v>2</v>
      </c>
      <c r="M41" s="26" t="inlineStr">
        <is>
          <t>OT [07] Cuadrilla Guayzimi 2026-03-26 (038) CQ.pdf</t>
        </is>
      </c>
    </row>
    <row r="42" ht="23.85" customHeight="1" s="30">
      <c r="A42" s="26" t="inlineStr">
        <is>
          <t>Guayzimi Z1 (Cuadrilla. Nro. 7)</t>
        </is>
      </c>
      <c r="B42" s="26" t="inlineStr">
        <is>
          <t>QUIROGA ORDONEZ CARLOS HERNAN</t>
        </is>
      </c>
      <c r="C42" s="39" t="inlineStr">
        <is>
          <t>jueves</t>
        </is>
      </c>
      <c r="D42" s="40" t="n">
        <v>46107</v>
      </c>
      <c r="E42" s="41" t="n">
        <v>0.7444444444444445</v>
      </c>
      <c r="F42" s="41" t="n">
        <v>0.7541666666666667</v>
      </c>
      <c r="G42" s="42">
        <f>F42-E42</f>
        <v/>
      </c>
      <c r="H42" s="49" t="inlineStr">
        <is>
          <t>Santa Rosa - Guayzimi</t>
        </is>
      </c>
      <c r="I42" s="26" t="inlineStr">
        <is>
          <t>?</t>
        </is>
      </c>
      <c r="J42" s="26" t="n">
        <v>173484</v>
      </c>
      <c r="K42" t="inlineStr">
        <is>
          <t>11</t>
        </is>
      </c>
      <c r="L42" s="26" t="n">
        <v>1</v>
      </c>
      <c r="M42" s="26" t="inlineStr">
        <is>
          <t>OT [07] Cuadrilla Guayzimi 2026-03-26 (038) CQ.pdf</t>
        </is>
      </c>
    </row>
    <row r="43" ht="23.85" customHeight="1" s="30">
      <c r="A43" s="26" t="inlineStr">
        <is>
          <t>Guayzimi Z1 (Cuadrilla. Nro. 7)</t>
        </is>
      </c>
      <c r="B43" s="26" t="inlineStr">
        <is>
          <t>CACAY LUZURIAGA ASDRUBAL HUMBERTO</t>
        </is>
      </c>
      <c r="C43" s="39" t="inlineStr">
        <is>
          <t>jueves</t>
        </is>
      </c>
      <c r="D43" s="40" t="n">
        <v>46107</v>
      </c>
      <c r="E43" s="41" t="n">
        <v>0.625</v>
      </c>
      <c r="F43" s="41" t="n">
        <v>0.7548611111111111</v>
      </c>
      <c r="G43" s="42">
        <f>F43-E43</f>
        <v/>
      </c>
      <c r="H43" s="49" t="inlineStr">
        <is>
          <t>Traslado a Guayzimi Se elabora de 08:00 a 11:35 y de 11:35 a 18:07</t>
        </is>
      </c>
      <c r="I43" s="26" t="inlineStr">
        <is>
          <t>?</t>
        </is>
      </c>
      <c r="J43" s="26" t="n">
        <v>173580</v>
      </c>
      <c r="K43" t="inlineStr">
        <is>
          <t>5</t>
        </is>
      </c>
      <c r="L43" s="26" t="n">
        <v>1</v>
      </c>
      <c r="M43" s="26" t="inlineStr">
        <is>
          <t>OT [07] Cuadrilla Guayzimi 2026-03-26 (039) AC.pdf</t>
        </is>
      </c>
    </row>
    <row r="44" ht="12.75" customHeight="1" s="30">
      <c r="A44" s="26" t="inlineStr">
        <is>
          <t>Guayzimi Z1 (Cuadrilla. Nro. 7)</t>
        </is>
      </c>
      <c r="B44" s="26" t="inlineStr">
        <is>
          <t>QUIROGA ORDONEZ CARLOS HERNAN</t>
        </is>
      </c>
      <c r="C44" s="39" t="inlineStr">
        <is>
          <t>viernes</t>
        </is>
      </c>
      <c r="D44" s="40" t="n">
        <v>46108</v>
      </c>
      <c r="E44" s="41" t="n">
        <v>0.7395833333333334</v>
      </c>
      <c r="F44" s="41" t="n">
        <v>0.8736111111111111</v>
      </c>
      <c r="G44" s="42">
        <f>F44-E44</f>
        <v/>
      </c>
      <c r="H44" s="49" t="inlineStr">
        <is>
          <t>Daño Centro de Control (mensaje de WatsApps) Héroes del Cóndor, con apoyo de un bote de abonados del sector cruzamos el Río a la estructura 193833 Encuentra tirafusible quemado se realiza prueba reposición 12A - T y restablece servicio eléctrico sin novedad derivación LMT1 Lagunas, Selva Alegre Mariposa Carga estructura 140KVA Tirafusible 1x12A- T Fecha Desc. 27/03/26/14:30 Conex. (18:30) Causa: desconoce Héroes del Cóndor - Guayzimi</t>
        </is>
      </c>
      <c r="I44" s="26" t="inlineStr">
        <is>
          <t>REDES</t>
        </is>
      </c>
      <c r="J44" s="26" t="n">
        <v>173561</v>
      </c>
      <c r="K44" t="inlineStr">
        <is>
          <t>12, 16</t>
        </is>
      </c>
      <c r="L44" s="26" t="n">
        <v>2</v>
      </c>
      <c r="M44" s="26" t="inlineStr">
        <is>
          <t>OT [07] Cuadrilla Guayzimi 2026-03-27 (038) CQ.pdf</t>
        </is>
      </c>
    </row>
    <row r="45" ht="23.85" customHeight="1" s="30">
      <c r="A45" s="26" t="inlineStr">
        <is>
          <t>Guayzimi Z1 (Cuadrilla. Nro. 7)</t>
        </is>
      </c>
      <c r="B45" s="26" t="inlineStr">
        <is>
          <t>QUIROGA ORDONEZ CARLOS HERNAN</t>
        </is>
      </c>
      <c r="C45" s="39" t="inlineStr">
        <is>
          <t>sábado</t>
        </is>
      </c>
      <c r="D45" s="40" t="n">
        <v>46109</v>
      </c>
      <c r="E45" s="41" t="n">
        <v>0.3583333333333333</v>
      </c>
      <c r="F45" s="41" t="n">
        <v>0.4902777777777778</v>
      </c>
      <c r="G45" s="42">
        <f>F45-E45</f>
        <v/>
      </c>
      <c r="H45" s="49" t="inlineStr">
        <is>
          <t>Guayzimi, coordinación con Centro de Control y Contratista para ejecución de SP 1103981675 (WR 317050895) estructura 32965/09:00 abre con carga seccionador fusible quedando desconectados 60KVA; informa al Centro de Control y Contratista que se encuentra desernegizado Contratista inicia trabajos tras presentarse fuertes lluvias suspende temporalmente los trabajos por el lapso de una hora luego retoma trabajos planifiacados Se verifica que cumplan con las medidas de seguridad; se recorre LMT1 desconectada verificando novedades estructura 33601 cambia aislador en picado por descarga Eléctrica. Ocupa: aislador 56.1 doble campana finilizados los trabajos nos retiramos del sector hasta que el contratista concluya los trabajos</t>
        </is>
      </c>
      <c r="I45" s="26" t="inlineStr">
        <is>
          <t>REDES</t>
        </is>
      </c>
      <c r="J45" s="26" t="n">
        <v>173613</v>
      </c>
      <c r="K45" t="inlineStr">
        <is>
          <t>1</t>
        </is>
      </c>
      <c r="L45" s="26" t="n">
        <v>1</v>
      </c>
      <c r="M45" s="26" t="inlineStr">
        <is>
          <t>OT [07] Cuadrilla Guayzimi 2026-03-28 (038) CQ.pdf</t>
        </is>
      </c>
    </row>
    <row r="46" ht="12.75" customHeight="1" s="30">
      <c r="A46" s="26" t="inlineStr">
        <is>
          <t>Guayzimi Z1 (Cuadrilla. Nro. 7)</t>
        </is>
      </c>
      <c r="B46" s="26" t="inlineStr">
        <is>
          <t>QUIROGA ORDONEZ CARLOS HERNAN</t>
        </is>
      </c>
      <c r="C46" s="39" t="inlineStr">
        <is>
          <t>sábado</t>
        </is>
      </c>
      <c r="D46" s="40" t="n">
        <v>46109</v>
      </c>
      <c r="E46" s="41" t="n">
        <v>0.6</v>
      </c>
      <c r="F46" s="41" t="n">
        <v>0.6965277777777777</v>
      </c>
      <c r="G46" s="42">
        <f>F46-E46</f>
        <v/>
      </c>
      <c r="H46" s="49" t="inlineStr">
        <is>
          <t>Guayzimi, Centro de Control pide que nos acerquemos al lugar para estar listos para energizar una ves que el contratista finaliza los trabajos En sitio se verifica que el contratista deja migrando a la nueva LMT3 los 60KVA desconectadas y se inspecciona que que el servicio se habilite Normalmente cumpliendo con las normas establecidas 16:25 el contratista concluye los trabajos incluida la energización de los 60KVA desconectados estructura 32965/16:25 queda sin efecto seccionador fusible por retiro de la LMT1 por la construcción de la nueva LMT3</t>
        </is>
      </c>
      <c r="I46" s="26" t="inlineStr">
        <is>
          <t>REDES</t>
        </is>
      </c>
      <c r="J46" s="26" t="n">
        <v>173613</v>
      </c>
      <c r="K46" t="inlineStr">
        <is>
          <t>6</t>
        </is>
      </c>
      <c r="L46" s="26" t="n">
        <v>1</v>
      </c>
      <c r="M46" s="26" t="inlineStr">
        <is>
          <t>OT [07] Cuadrilla Guayzimi 2026-03-28 (038) CQ.pdf</t>
        </is>
      </c>
    </row>
    <row r="47" ht="12.75" customHeight="1" s="30">
      <c r="A47" s="26" t="inlineStr">
        <is>
          <t>El Pangui Z1 (Cuadrilla. Nro. 4)</t>
        </is>
      </c>
      <c r="B47" s="26" t="inlineStr">
        <is>
          <t>MENDIETA MENDIETA HENRRY ALEXANDER</t>
        </is>
      </c>
      <c r="C47" s="39" t="inlineStr">
        <is>
          <t>miércoles</t>
        </is>
      </c>
      <c r="D47" s="40" t="n">
        <v>46106</v>
      </c>
      <c r="E47" s="41" t="n">
        <v>0.7361111111111112</v>
      </c>
      <c r="F47" s="41" t="n">
        <v>0.7763888888888889</v>
      </c>
      <c r="G47" s="42">
        <f>F47-E47</f>
        <v/>
      </c>
      <c r="H47" s="49" t="inlineStr">
        <is>
          <t>En Chuchumbletza, estructura. 32026 se repone 2 veces un tirafusible de 0.4 ASR para el transformador monofásico particular 12525 de 10 KVA y se vuelve a quemar. Causa: daño interno. Se indica al cliente para que haga revisar el transformador de manera particular con algún ingeniero calificado por la EERSSA. Traslado desde Chuchumbletza hasta la agencia El Pangui.</t>
        </is>
      </c>
      <c r="I47" s="26" t="inlineStr">
        <is>
          <t>REDES</t>
        </is>
      </c>
      <c r="J47" s="26" t="n">
        <v>173419</v>
      </c>
      <c r="K47" t="inlineStr">
        <is>
          <t>16, 18</t>
        </is>
      </c>
      <c r="L47" s="26" t="n">
        <v>2</v>
      </c>
      <c r="M47" s="26" t="inlineStr">
        <is>
          <t>OT [08] Cuadrilla El Pangui 2026-03-25 (042) HM.pdf</t>
        </is>
      </c>
    </row>
    <row r="48" ht="12.75" customHeight="1" s="30">
      <c r="A48" s="26" t="inlineStr">
        <is>
          <t>El Pangui Z1 (Cuadrilla. Nro. 4)</t>
        </is>
      </c>
      <c r="B48" s="26" t="inlineStr">
        <is>
          <t>VERA SANCHEZ LIVIO STALIN</t>
        </is>
      </c>
      <c r="C48" s="39" t="inlineStr">
        <is>
          <t>viernes</t>
        </is>
      </c>
      <c r="D48" s="40" t="n">
        <v>46108</v>
      </c>
      <c r="E48" s="41" t="n">
        <v>0.6597222222222222</v>
      </c>
      <c r="F48" s="41" t="n">
        <v>0.7638888888888888</v>
      </c>
      <c r="G48" s="42">
        <f>F48-E48</f>
        <v/>
      </c>
      <c r="H48" s="48" t="inlineStr">
        <is>
          <t>Tiukcha se arregla la red de bajo voltaje postes 218718,218712, daño ocasionan maquinas de la minería, se utiliza 3 varillas de empalme nro 2acsr se energiza transformador nro 24599 10kva. Queda pendiente el arreglo de la acometida del medidor 298281 el cliente tiene que adecuar tubo galvanizado nuevo ya que el otro se encuentra en el piso doblado . Traslado a El Pangui. SE LABORA, LV, AD, de 08:00 a 13:35 de 14:35 a 19:50 El Sr Henrry Mendieta se encuentra con permiso personal. después de las 14:35 colaboran la cuadrilla de electricistas.</t>
        </is>
      </c>
      <c r="I48" s="26" t="inlineStr">
        <is>
          <t>REDES</t>
        </is>
      </c>
      <c r="J48" s="26" t="n">
        <v>173611</v>
      </c>
      <c r="K48" t="inlineStr">
        <is>
          <t>18</t>
        </is>
      </c>
      <c r="L48" s="26" t="n">
        <v>1</v>
      </c>
      <c r="M48" s="26" t="inlineStr">
        <is>
          <t>OT [08] Cuadrilla El Pangui 2026-03-27 (043) LV.pdf</t>
        </is>
      </c>
    </row>
    <row r="49" ht="12.75" customHeight="1" s="30">
      <c r="A49" s="26" t="inlineStr">
        <is>
          <t>El Pangui Z1 (Cuadrilla. Nro. 4)</t>
        </is>
      </c>
      <c r="B49" s="26" t="inlineStr">
        <is>
          <t>VERA SANCHEZ LIVIO STALIN</t>
        </is>
      </c>
      <c r="C49" s="39" t="inlineStr">
        <is>
          <t>sábado</t>
        </is>
      </c>
      <c r="D49" s="40" t="n">
        <v>46109</v>
      </c>
      <c r="E49" s="41" t="n">
        <v>0.4895833333333333</v>
      </c>
      <c r="F49" s="41" t="n">
        <v>0.6458333333333334</v>
      </c>
      <c r="G49" s="42">
        <f>F49-E49</f>
        <v/>
      </c>
      <c r="H49" s="48" t="inlineStr">
        <is>
          <t>Se realiza la OT. Traslado de El Pangui al sector de Tiukcha. Tiukcha, estructura 247721 se cambia 50mtrs de acometida T3x6ACSR ya que la acometida anti hurto 3x6 se encontró en mal estado y se reubica el medidor nro 298281 a tubo galvanizado nuevo. Este daño quedo pendiente del día Viernes el cliente teína que adecuar tubo galvanizado nuevo Traslado a El Pangui.</t>
        </is>
      </c>
      <c r="I49" s="26" t="inlineStr">
        <is>
          <t>ACOMETIDAS</t>
        </is>
      </c>
      <c r="J49" s="26" t="n">
        <v>173646</v>
      </c>
      <c r="K49" t="inlineStr">
        <is>
          <t>2, 3, 4, 6</t>
        </is>
      </c>
      <c r="L49" s="26" t="n">
        <v>4</v>
      </c>
      <c r="M49" s="26" t="inlineStr">
        <is>
          <t>OT [08] Cuadrilla El Pangui 2026-03-28 (043) LV.pdf</t>
        </is>
      </c>
    </row>
    <row r="50" ht="12.75" customHeight="1" s="30">
      <c r="A50" s="26" t="inlineStr">
        <is>
          <t>Gualaquiza Z1 (Cuadrilla. Nro. 3)</t>
        </is>
      </c>
      <c r="B50" s="26" t="inlineStr">
        <is>
          <t>GUZMAN BARROS MARCO FERNANDO</t>
        </is>
      </c>
      <c r="C50" s="39" t="inlineStr">
        <is>
          <t>miércoles</t>
        </is>
      </c>
      <c r="D50" s="40" t="n">
        <v>46106</v>
      </c>
      <c r="E50" s="41" t="n">
        <v>0.8125</v>
      </c>
      <c r="F50" s="41" t="n">
        <v>0.8791666666666667</v>
      </c>
      <c r="G50" s="42">
        <f>F50-E50</f>
        <v/>
      </c>
      <c r="H50" s="48" t="inlineStr">
        <is>
          <t>DAÑO REPORTADO POR Centro de Control por Whatsaap informan que no tiene energia en N/Tarqui medidor 18-219282 estructura 244345 Reporta Luz Malla, Traslado al sector Se revisa red de M/T desde el puente Rio Cuyes Hacia nueva Tarqui, encontrando fusible quemado en estructura de obra Nueva, cambios realizados por construcción de Nuevo alimentador. Sector de la Union del Ideal en estructura S/N ( Nueva) se Repone fusible de 25 amps tipo T, conectando normal el servicio, HORA 20:25 DAÑO REPORTADO POR Centro de Control por Whatsaap informan que no tiene energia Barrio La Union medidor 251289 estructura 43181 Reporta Marcelo Chica, Traslado al sector Luis Casiraghi se realiza revision de red de B/T se Resetea el breaker principal del transformador 15925 de 50 Kva estructura 40594 HORA 20:57 Traslado a la agencia</t>
        </is>
      </c>
      <c r="I50" s="26" t="inlineStr">
        <is>
          <t>REDES</t>
        </is>
      </c>
      <c r="J50" s="26" t="n">
        <v>173417</v>
      </c>
      <c r="K50" t="inlineStr">
        <is>
          <t>13, 14, 15, 16, 17, 18</t>
        </is>
      </c>
      <c r="L50" s="26" t="n">
        <v>6</v>
      </c>
      <c r="M50" s="26" t="inlineStr">
        <is>
          <t>OT [09] Cuadrilla Gualaquiza 2026-03-25 (045) FG.pdf</t>
        </is>
      </c>
    </row>
    <row r="51" ht="12.75" customHeight="1" s="30">
      <c r="A51" s="26" t="inlineStr">
        <is>
          <t>Gualaquiza Z1 (Cuadrilla. Nro. 3)</t>
        </is>
      </c>
      <c r="B51" s="26" t="inlineStr">
        <is>
          <t>GUZMAN BARROS MARCO FERNANDO</t>
        </is>
      </c>
      <c r="C51" s="39" t="inlineStr">
        <is>
          <t>viernes</t>
        </is>
      </c>
      <c r="D51" s="40" t="n">
        <v>46108</v>
      </c>
      <c r="E51" s="41" t="n">
        <v>0.7993055555555556</v>
      </c>
      <c r="F51" s="41" t="n">
        <v>0.9</v>
      </c>
      <c r="G51" s="42">
        <f>F51-E51</f>
        <v/>
      </c>
      <c r="H51" s="48" t="inlineStr">
        <is>
          <t>Por Disposicion del Ing. Palacios se revisa luminarias Apagadas.</t>
        </is>
      </c>
      <c r="I51" s="26" t="inlineStr">
        <is>
          <t>?</t>
        </is>
      </c>
      <c r="J51" s="26" t="n">
        <v>173553</v>
      </c>
      <c r="K51" t="inlineStr">
        <is>
          <t>20</t>
        </is>
      </c>
      <c r="L51" s="26" t="n">
        <v>1</v>
      </c>
      <c r="M51" s="26" t="inlineStr">
        <is>
          <t>OT [09] Cuadrilla Gualaquiza 2026-03-27 (045) FG.pdf</t>
        </is>
      </c>
    </row>
    <row r="52" ht="12.75" customHeight="1" s="30">
      <c r="A52" s="26" t="inlineStr">
        <is>
          <t>Gualaquiza Z1 (Cuadrilla. Nro. 3)</t>
        </is>
      </c>
      <c r="B52" s="26" t="inlineStr">
        <is>
          <t>GUZMAN BARROS MARCO FERNANDO</t>
        </is>
      </c>
      <c r="C52" s="39" t="inlineStr">
        <is>
          <t>sábado</t>
        </is>
      </c>
      <c r="D52" s="40" t="n">
        <v>46109</v>
      </c>
      <c r="E52" s="41" t="n">
        <v>0.3826388888888889</v>
      </c>
      <c r="F52" s="41" t="n">
        <v>0.5006944444444444</v>
      </c>
      <c r="G52" s="42">
        <f>F52-E52</f>
        <v/>
      </c>
      <c r="H52" s="48" t="inlineStr">
        <is>
          <t>DAÑO REPORTADO POR Centro de Control por whatsaap informan que no hay energia en el sector del Barrio La Union, medidor 1000401356. estructura 40595 Reporta Cristian Matailo, Traslado al sector La Union se revisa Red de M/T si observar ninguna novedad, se cambia fusible de 6 amps tipo T estructura 40595 conectando normal. La Union nuevamenta se quema el fusible luego de lluvia, se revisa red de M/T se detecta una lagartija en los aisadores pin estructura 282041 Dirigimos a la estructura 40595 se repone fusible de 6 amps tipoT conectando Normal el servicio HORA QUEMADO 05.00 HORA ARREGLO 10:20 CAUSA animal en los aisladores DAÑO REPORTADO POR Centro de Control por whatsaap informan que no hay energia en el sector San Luis , medidor 278334. estructura 103104 Reporta Anita Leon, Traslado al sector San Luis se revisa red de B/T en lugar donde por accidente de transito con las fibras se suelta linea de la red nueva, y salta el breaker del transformador San Luis se revisa y encuentra que ya fue arreglado por contratista, se revisa en el medidor se encuentra bajado el breaker del medidor, se activa y queda normal HORA DAÑADO 19:30 del 27 de marzo del 2026 HORA ARREGLADO 09:30 del 28 de marzo del 2026 Traslado a la agencia se descarga herramientas</t>
        </is>
      </c>
      <c r="I52" s="26" t="inlineStr">
        <is>
          <t>REDES, ?</t>
        </is>
      </c>
      <c r="J52" s="26" t="n">
        <v>173656</v>
      </c>
      <c r="K52" t="inlineStr">
        <is>
          <t>1, 2, 3, 4, 6, 7, 8, 10</t>
        </is>
      </c>
      <c r="L52" s="26" t="n">
        <v>8</v>
      </c>
      <c r="M52" s="26" t="inlineStr">
        <is>
          <t>OT [09] Cuadrilla Gualaquiza 2026-03-28 (045) FG.pdf</t>
        </is>
      </c>
    </row>
    <row r="53" ht="12.75" customHeight="1" s="30">
      <c r="A53" s="26" t="inlineStr">
        <is>
          <t>Gualaquiza Z1 (Cuadrilla. Nro. 3)</t>
        </is>
      </c>
      <c r="B53" s="26" t="inlineStr">
        <is>
          <t>GUZMAN BARROS MARCO FERNANDO</t>
        </is>
      </c>
      <c r="C53" s="39" t="inlineStr">
        <is>
          <t>domingo</t>
        </is>
      </c>
      <c r="D53" s="40" t="n">
        <v>46110</v>
      </c>
      <c r="E53" s="41" t="n">
        <v>0.3611111111111111</v>
      </c>
      <c r="F53" s="41" t="n">
        <v>0.6104166666666667</v>
      </c>
      <c r="G53" s="42">
        <f>F53-E53</f>
        <v/>
      </c>
      <c r="H53" s="48" t="inlineStr">
        <is>
          <t>DAÑO REPORTADO POR Centro de Control por wathsAap informan que no tiene energia en Cuchipamba en el sector Med 1215888 estructura 128349 Reporta Damaris Jami, Traslado al sector Se Revisa red de M/T estructura 128349 en cuchipamba, se encuentra sin energia en M/T se regresa reviisando linea, encuentra quemado el fusible en el arranque de linea estructura 40558 En la Calle Luis Casiraghi estructura 40558 se revisa y repone fusibe de 25 amp tipo T, conectando normal el servicio. HORA QUEMADO 06:00 HORA ARREGLO 09:10 CAUSA fuertes Lluvias. DAÑO REPORTADO POR Centro de Control por wathsAap informan que no tiene energia el barrio Amazonas Med 1000361232 estructura 303919 Reporta Maria Lamulle, Traslado al sector Amazonas estructura 40510 se revisa transformador 14966 y medidor se encuentra normal el servicio, se atiende con la Resolucion anterior de cambio de fusibe de 25 amp HORA QUEMADO 06:00 HORA ARREGLO 10:00 CAUSA fuertes Lluvias. DAÑO REPORTADO POR Centro de Control por wathsAap informan que no tiene energia el Rosario Med 217105 estructura 128719 Reporta Alba Rodriguez, Traslado al sector Rosario estructura 28994 se revisa red de BT, se encuentra que no hay en MT se revisa econtrando contratista reubicando red de MT, indicando que ya termina. HORA APAGADO 09:00 HORA CONEXION 12:10 CAUSA reubicacion de linea de M/T Por mensaje de WathsAap informa moradora de Canoa Rota que no hay energia en el sector, con autorizacion del Ing. Palacios nos dirigimos al sector Canoa Rota estructura 247690 se revisa red de BT encontrando un arbol seco sobre la red de B/T, se corta el arbol, se resetea transformador 24608 de 25 Kva estructura HORA APAGADO 04:00 HORA ARREGLO 13:50 CAUSA arbol seco caido sobre la red Traslado a Gualaquiza</t>
        </is>
      </c>
      <c r="I53" s="26" t="inlineStr">
        <is>
          <t>REDES</t>
        </is>
      </c>
      <c r="J53" s="26" t="n">
        <v>173657</v>
      </c>
      <c r="K53" t="inlineStr">
        <is>
          <t>1, 2, 3, 5, 6, 8, 9, 11, 12, 14</t>
        </is>
      </c>
      <c r="L53" s="26" t="n">
        <v>10</v>
      </c>
      <c r="M53" s="26" t="inlineStr">
        <is>
          <t>OT [09] Cuadrilla Gualaquiza 2026-03-29 (045) FG.pdf</t>
        </is>
      </c>
    </row>
    <row r="54" ht="12.75" customHeight="1" s="30">
      <c r="A54" s="26" t="inlineStr">
        <is>
          <t>Gualaquiza Z1 (Cuadrilla. Nro. 3)</t>
        </is>
      </c>
      <c r="B54" s="26" t="inlineStr">
        <is>
          <t>GUZMAN BARROS MARCO FERNANDO</t>
        </is>
      </c>
      <c r="C54" s="39" t="inlineStr">
        <is>
          <t>domingo</t>
        </is>
      </c>
      <c r="D54" s="40" t="n">
        <v>46110</v>
      </c>
      <c r="E54" s="41" t="n">
        <v>0.8027777777777778</v>
      </c>
      <c r="F54" s="41" t="n">
        <v>0.8854166666666666</v>
      </c>
      <c r="G54" s="42">
        <f>F54-E54</f>
        <v/>
      </c>
      <c r="H54" s="48" t="inlineStr">
        <is>
          <t>Por dispocision del Ing. Placios se revisa y contabiliza luminarias apagadas diferentas sectores</t>
        </is>
      </c>
      <c r="I54" s="26" t="inlineStr">
        <is>
          <t>ALUMBRADO</t>
        </is>
      </c>
      <c r="J54" s="26" t="n">
        <v>173657</v>
      </c>
      <c r="K54" t="inlineStr">
        <is>
          <t>16</t>
        </is>
      </c>
      <c r="L54" s="26" t="n">
        <v>1</v>
      </c>
      <c r="M54" s="26" t="inlineStr">
        <is>
          <t>OT [09] Cuadrilla Gualaquiza 2026-03-29 (045) FG.pdf</t>
        </is>
      </c>
    </row>
    <row r="55" ht="23.85" customHeight="1" s="30">
      <c r="A55" s="26" t="inlineStr">
        <is>
          <t>Yantzaza (Agencia)</t>
        </is>
      </c>
      <c r="B55" s="26" t="inlineStr">
        <is>
          <t>CHAMBA CANGO PEDRO ROSALINO</t>
        </is>
      </c>
      <c r="C55" s="39" t="inlineStr">
        <is>
          <t>lunes</t>
        </is>
      </c>
      <c r="D55" s="40" t="n">
        <v>46111</v>
      </c>
      <c r="E55" s="41" t="n">
        <v>0.75</v>
      </c>
      <c r="F55" s="41" t="n">
        <v>0.8680555555555556</v>
      </c>
      <c r="G55" s="42">
        <f>F55-E55</f>
        <v/>
      </c>
      <c r="H55" s="49" t="inlineStr">
        <is>
          <t>Arreglo de daños reportados por el Centro de Control. Preparación de materiales, herramientas, EPP, elaboración del permiso de trabajo. DAÑO REPORTADO POR CENTRO DE CONTROL, mediante (Mensaje de Whats App). Nos trasladamos de la agencia Yantzaza hasta Playa Rica. Informan domicilio sin servicio. En el Barrio Playa Rica, se encuentran borneras sulfatadas, medidor 18-254661, se cambia conector talón del neutro; además, se resetea el breaker , se normaliza el servicio. En Playa Rica, por Peticion del Ing. Andrew Quezada, se hace censo de carga a los Transf. 25488 de 15 kva estructura 23559, hora 19:00 y al Transf, 12389 de 25 kva, estructura 23521, hora 19:12. DAÑO REPORTADO POR CENTRO DE CONTROL, mediante (Mensaje de Whats App). Nos trasladamos de Playa Rica, hasta Soopaca, informa domicilio sin servicio. En el Barrio Soapaca, se encuentra breaker mal estado medidor 18-236703, se cambia breaker además, se resetea el breaker , se normaliza el servicio. Nos trasladamos de Soapaca a la Agencia Yantzaza.</t>
        </is>
      </c>
      <c r="I55" s="26" t="inlineStr">
        <is>
          <t>REDES, ?</t>
        </is>
      </c>
      <c r="J55" s="26" t="n">
        <v>173735</v>
      </c>
      <c r="K55" t="inlineStr">
        <is>
          <t>1, 2, 3, 4, 5, 6, 7</t>
        </is>
      </c>
      <c r="L55" s="26" t="n">
        <v>7</v>
      </c>
      <c r="M55" s="26" t="inlineStr">
        <is>
          <t>OT [22] Agencia Yantzaza 2026-03-30 (055) PCH.pdf</t>
        </is>
      </c>
    </row>
    <row r="56" ht="23.85" customHeight="1" s="30">
      <c r="A56" s="26" t="inlineStr">
        <is>
          <t>Yantzaza (Agencia)</t>
        </is>
      </c>
      <c r="B56" s="26" t="inlineStr">
        <is>
          <t>CHAMBA CANGO PEDRO ROSALINO</t>
        </is>
      </c>
      <c r="C56" s="39" t="inlineStr">
        <is>
          <t>lunes</t>
        </is>
      </c>
      <c r="D56" s="40" t="n">
        <v>46111</v>
      </c>
      <c r="E56" s="41" t="n">
        <v>0.9444444444444444</v>
      </c>
      <c r="F56" s="41" t="n">
        <v>0.9895833333333334</v>
      </c>
      <c r="G56" s="42">
        <f>F56-E56</f>
        <v/>
      </c>
      <c r="H56" s="49" t="inlineStr">
        <is>
          <t>DAÑO REPORTADO POR CENTRO DE CONTROL, mediante (Mensaje de Whats App). Nos trasladamos de la agencia Yantzaza hasta la Calle Geranios y Amazonas. Informan sector sin servicio. En San Francisco, calle Amazonas, Poste 23231, se encuentra grampa de LMV caída por causa de recalentamiento, punto caliente, se cambia la grampa, se normaliza el servicio, transf. 22029 de 25 KVA</t>
        </is>
      </c>
      <c r="I56" s="26" t="inlineStr">
        <is>
          <t>REDES</t>
        </is>
      </c>
      <c r="J56" s="26" t="n">
        <v>173735</v>
      </c>
      <c r="K56" t="inlineStr">
        <is>
          <t>10, 11</t>
        </is>
      </c>
      <c r="L56" s="26" t="n">
        <v>2</v>
      </c>
      <c r="M56" s="26" t="inlineStr">
        <is>
          <t>OT [22] Agencia Yantzaza 2026-03-30 (055) PCH.pdf</t>
        </is>
      </c>
    </row>
    <row r="57" ht="38.25" customHeight="1" s="30">
      <c r="A57" s="26" t="inlineStr">
        <is>
          <t>Yantzaza (Agencia)</t>
        </is>
      </c>
      <c r="B57" s="26" t="inlineStr">
        <is>
          <t>POMA GUAMAN LUIS ANTONIO</t>
        </is>
      </c>
      <c r="C57" s="39" t="inlineStr">
        <is>
          <t>lunes</t>
        </is>
      </c>
      <c r="D57" s="40" t="n">
        <v>46111</v>
      </c>
      <c r="E57" s="41" t="n">
        <v>0.71875</v>
      </c>
      <c r="F57" s="41" t="n">
        <v>0.75</v>
      </c>
      <c r="G57" s="42">
        <f>F57-E57</f>
        <v/>
      </c>
      <c r="H57" s="49" t="inlineStr">
        <is>
          <t>Barrio La Acantarilla se Centro de Control reporta daño se revisa y se realiza ajuste de conexiones del medidor 1000385762 estructura 63056 y se normaliza el servicio sin novedad.</t>
        </is>
      </c>
      <c r="I57" s="26" t="inlineStr">
        <is>
          <t>?</t>
        </is>
      </c>
      <c r="J57" s="26" t="n">
        <v>173697</v>
      </c>
      <c r="K57" t="inlineStr">
        <is>
          <t>12</t>
        </is>
      </c>
      <c r="L57" s="26" t="n">
        <v>1</v>
      </c>
      <c r="M57" s="26" t="inlineStr">
        <is>
          <t>OT [22] Agencia Yantzaza 2026-03-30 (056) LP.pdf</t>
        </is>
      </c>
    </row>
    <row r="58" ht="23.85" customHeight="1" s="30">
      <c r="A58" s="26" t="inlineStr">
        <is>
          <t>El Pangui (Agencia)</t>
        </is>
      </c>
      <c r="B58" s="26" t="inlineStr">
        <is>
          <t>AMBULUDI SILVA FAUSTO JOEL</t>
        </is>
      </c>
      <c r="C58" s="39" t="inlineStr">
        <is>
          <t>lunes</t>
        </is>
      </c>
      <c r="D58" s="40" t="n">
        <v>46104</v>
      </c>
      <c r="E58" s="41" t="n">
        <v>0.6805555555555556</v>
      </c>
      <c r="F58" s="41" t="n">
        <v>0.7715277777777778</v>
      </c>
      <c r="G58" s="42">
        <f>F58-E58</f>
        <v/>
      </c>
      <c r="H58" s="49" t="inlineStr">
        <is>
          <t>En Simón Bolívar DAÑO REPORTADO POR Centro de Control indica acometida arrancada medidor 18519272, se restituye acometida en mal estado (60M) por el paso de una volqueta, se normaliza el servicio Traslado de Simón Bolívar a la agencia el Pangui</t>
        </is>
      </c>
      <c r="I58" s="26" t="inlineStr">
        <is>
          <t>ACOMETIDAS</t>
        </is>
      </c>
      <c r="J58" s="26" t="n">
        <v>173261</v>
      </c>
      <c r="K58" t="inlineStr">
        <is>
          <t>11, 12</t>
        </is>
      </c>
      <c r="L58" s="26" t="n">
        <v>2</v>
      </c>
      <c r="M58" s="26" t="inlineStr">
        <is>
          <t>OT [23] Agencia El Pangui 2026-03-23 (058) FA.pdf</t>
        </is>
      </c>
    </row>
    <row r="59" ht="12.75" customHeight="1" s="30">
      <c r="A59" s="26" t="inlineStr">
        <is>
          <t>El Pangui (Agencia)</t>
        </is>
      </c>
      <c r="B59" s="26" t="inlineStr">
        <is>
          <t>AMBULUDI SILVA FAUSTO JOEL</t>
        </is>
      </c>
      <c r="C59" s="39" t="inlineStr">
        <is>
          <t>martes</t>
        </is>
      </c>
      <c r="D59" s="40" t="n">
        <v>46105</v>
      </c>
      <c r="E59" s="41" t="n">
        <v>0.8638888888888889</v>
      </c>
      <c r="F59" s="41" t="n">
        <v>0.8916666666666667</v>
      </c>
      <c r="G59" s="42">
        <f>F59-E59</f>
        <v/>
      </c>
      <c r="H59" s="48" t="inlineStr">
        <is>
          <t>En el Pangui DAÑO REPORTADO POR Centro de Control indica sector sin servicio estructura 72266, se restituye conector ranura paralela sulfatada en el Trafo 23783 de 37.5 KVA estructura 227941, se normaliza el servicio</t>
        </is>
      </c>
      <c r="I59" s="26" t="inlineStr">
        <is>
          <t>?</t>
        </is>
      </c>
      <c r="J59" s="26" t="n">
        <v>173345</v>
      </c>
      <c r="K59" t="inlineStr">
        <is>
          <t>16</t>
        </is>
      </c>
      <c r="L59" s="26" t="n">
        <v>1</v>
      </c>
      <c r="M59" s="26" t="inlineStr">
        <is>
          <t>OT [23] Agencia El Pangui 2026-03-24 (058) FA.pdf</t>
        </is>
      </c>
    </row>
    <row r="60" ht="12.75" customHeight="1" s="30">
      <c r="A60" s="26" t="inlineStr">
        <is>
          <t>El Pangui (Agencia)</t>
        </is>
      </c>
      <c r="B60" s="26" t="inlineStr">
        <is>
          <t>AMBULUDI SILVA FAUSTO JOEL</t>
        </is>
      </c>
      <c r="C60" s="39" t="inlineStr">
        <is>
          <t>viernes</t>
        </is>
      </c>
      <c r="D60" s="40" t="n">
        <v>46108</v>
      </c>
      <c r="E60" s="41" t="n">
        <v>0.65625</v>
      </c>
      <c r="F60" s="41" t="n">
        <v>0.8263888888888888</v>
      </c>
      <c r="G60" s="42">
        <f>F60-E60</f>
        <v/>
      </c>
      <c r="H60" s="48" t="inlineStr">
        <is>
          <t>Apoyo a la cuadrilla de mantenimiento para el arreglo de un daño reportado por Centro de Control indica líneas arrancadas Traslado de Tiukcha a el Pangui</t>
        </is>
      </c>
      <c r="I60" s="26" t="inlineStr">
        <is>
          <t>REDES</t>
        </is>
      </c>
      <c r="J60" s="26" t="n">
        <v>173547</v>
      </c>
      <c r="K60" t="inlineStr">
        <is>
          <t>12, 13</t>
        </is>
      </c>
      <c r="L60" s="26" t="n">
        <v>2</v>
      </c>
      <c r="M60" s="26" t="inlineStr">
        <is>
          <t>OT [23] Agencia El Pangui 2026-03-27 (058) FA.pdf</t>
        </is>
      </c>
    </row>
    <row r="61" ht="23.85" customHeight="1" s="30">
      <c r="A61" s="26" t="n"/>
      <c r="B61" s="26" t="n"/>
      <c r="C61" s="39" t="n"/>
      <c r="D61" s="40" t="n"/>
      <c r="E61" s="41" t="n"/>
      <c r="F61" s="41" t="n"/>
      <c r="G61" s="42" t="n"/>
      <c r="H61" s="49" t="n"/>
      <c r="I61" s="26" t="n"/>
      <c r="J61" s="26" t="n"/>
      <c r="L61" s="26" t="n"/>
      <c r="M61" s="26" t="n"/>
    </row>
    <row r="62" ht="23.85" customHeight="1" s="30">
      <c r="A62" s="26" t="n"/>
      <c r="B62" s="26" t="n"/>
      <c r="C62" s="39" t="n"/>
      <c r="D62" s="40" t="n"/>
      <c r="E62" s="41" t="n"/>
      <c r="F62" s="41" t="n"/>
      <c r="G62" s="42" t="n"/>
      <c r="H62" s="49" t="n"/>
      <c r="I62" s="26" t="n"/>
      <c r="J62" s="26" t="n"/>
      <c r="L62" s="26" t="n"/>
      <c r="M62" s="26" t="n"/>
    </row>
    <row r="63" ht="27" customHeight="1" s="30">
      <c r="A63" s="26" t="n"/>
      <c r="B63" s="26" t="n"/>
      <c r="C63" s="39" t="n"/>
      <c r="D63" s="40" t="n"/>
      <c r="E63" s="41" t="n"/>
      <c r="F63" s="41" t="n"/>
      <c r="G63" s="42" t="n"/>
      <c r="H63" s="49" t="n"/>
      <c r="I63" s="26" t="n"/>
      <c r="J63" s="26" t="n"/>
      <c r="L63" s="26" t="n"/>
      <c r="M63" s="26" t="n"/>
    </row>
    <row r="64" ht="23.85" customHeight="1" s="30">
      <c r="A64" s="26" t="n"/>
      <c r="B64" s="26" t="n"/>
      <c r="C64" s="39" t="n"/>
      <c r="D64" s="40" t="n"/>
      <c r="E64" s="41" t="n"/>
      <c r="F64" s="41" t="n"/>
      <c r="G64" s="42" t="n"/>
      <c r="H64" s="49" t="n"/>
      <c r="I64" s="26" t="n"/>
      <c r="J64" s="26" t="n"/>
      <c r="L64" s="26" t="n"/>
      <c r="M64" s="26" t="n"/>
    </row>
    <row r="65" ht="12.75" customHeight="1" s="30">
      <c r="A65" s="26" t="n"/>
      <c r="B65" s="26" t="n"/>
      <c r="C65" s="39" t="n"/>
      <c r="D65" s="40" t="n"/>
      <c r="E65" s="41" t="n"/>
      <c r="F65" s="41" t="n"/>
      <c r="G65" s="42" t="n"/>
      <c r="H65" s="49" t="n"/>
      <c r="I65" s="26" t="n"/>
      <c r="J65" s="26" t="n"/>
      <c r="L65" s="26" t="n"/>
      <c r="M65" s="26" t="n"/>
    </row>
    <row r="66" ht="12.75" customHeight="1" s="30">
      <c r="A66" s="26" t="n"/>
      <c r="B66" s="26" t="n"/>
      <c r="C66" s="39" t="n"/>
      <c r="D66" s="40" t="n"/>
      <c r="E66" s="41" t="n"/>
      <c r="F66" s="41" t="n"/>
      <c r="G66" s="42" t="n"/>
      <c r="H66" s="48" t="n"/>
      <c r="I66" s="26" t="n"/>
      <c r="J66" s="26" t="n"/>
      <c r="L66" s="26" t="n"/>
      <c r="M66" s="26" t="n"/>
    </row>
    <row r="67" ht="12.75" customHeight="1" s="30">
      <c r="A67" s="26" t="n"/>
      <c r="B67" s="26" t="n"/>
      <c r="C67" s="39" t="n"/>
      <c r="D67" s="40" t="n"/>
      <c r="E67" s="41" t="n"/>
      <c r="F67" s="41" t="n"/>
      <c r="G67" s="42" t="n"/>
      <c r="H67" s="49" t="n"/>
      <c r="I67" s="26" t="n"/>
      <c r="J67" s="26" t="n"/>
      <c r="L67" s="26" t="n"/>
      <c r="M67" s="26" t="n"/>
    </row>
    <row r="68" ht="23.85" customHeight="1" s="30">
      <c r="A68" s="26" t="n"/>
      <c r="B68" s="26" t="n"/>
      <c r="C68" s="39" t="n"/>
      <c r="D68" s="40" t="n"/>
      <c r="E68" s="41" t="n"/>
      <c r="F68" s="41" t="n"/>
      <c r="G68" s="42" t="n"/>
      <c r="H68" s="49" t="n"/>
      <c r="I68" s="26" t="n"/>
      <c r="J68" s="26" t="n"/>
      <c r="L68" s="26" t="n"/>
      <c r="M68" s="26" t="n"/>
    </row>
    <row r="69" ht="12.75" customHeight="1" s="30">
      <c r="A69" s="26" t="n"/>
      <c r="B69" s="26" t="n"/>
      <c r="C69" s="39" t="n"/>
      <c r="D69" s="40" t="n"/>
      <c r="E69" s="41" t="n"/>
      <c r="F69" s="41" t="n"/>
      <c r="G69" s="42" t="n"/>
      <c r="H69" s="49" t="n"/>
      <c r="I69" s="26" t="n"/>
      <c r="J69" s="26" t="n"/>
      <c r="L69" s="26" t="n"/>
      <c r="M69" s="26" t="n"/>
    </row>
    <row r="70" ht="12.75" customHeight="1" s="30">
      <c r="A70" s="26" t="n"/>
      <c r="B70" s="26" t="n"/>
      <c r="C70" s="39" t="n"/>
      <c r="D70" s="40" t="n"/>
      <c r="E70" s="41" t="n"/>
      <c r="F70" s="41" t="n"/>
      <c r="G70" s="42" t="n"/>
      <c r="H70" s="48" t="n"/>
      <c r="I70" s="26" t="n"/>
      <c r="J70" s="26" t="n"/>
      <c r="L70" s="26" t="n"/>
      <c r="M70" s="26" t="n"/>
    </row>
    <row r="71" ht="12.75" customHeight="1" s="30">
      <c r="A71" s="26" t="n"/>
      <c r="B71" s="26" t="n"/>
      <c r="C71" s="39" t="n"/>
      <c r="D71" s="40" t="n"/>
      <c r="E71" s="41" t="n"/>
      <c r="F71" s="41" t="n"/>
      <c r="G71" s="42" t="n"/>
      <c r="H71" s="48" t="n"/>
      <c r="I71" s="26" t="n"/>
      <c r="J71" s="26" t="n"/>
      <c r="L71" s="26" t="n"/>
      <c r="M71" s="26" t="n"/>
    </row>
    <row r="72" ht="12.75" customHeight="1" s="30">
      <c r="A72" s="26" t="n"/>
      <c r="B72" s="26" t="n"/>
      <c r="C72" s="39" t="n"/>
      <c r="D72" s="40" t="n"/>
      <c r="E72" s="41" t="n"/>
      <c r="F72" s="41" t="n"/>
      <c r="G72" s="42" t="n"/>
      <c r="H72" s="48" t="n"/>
      <c r="I72" s="26" t="n"/>
      <c r="J72" s="26" t="n"/>
      <c r="L72" s="26" t="n"/>
      <c r="M72" s="26" t="n"/>
    </row>
    <row r="73" hidden="1" ht="12.75" customHeight="1" s="30">
      <c r="A73" s="26" t="n"/>
      <c r="B73" s="26" t="n"/>
      <c r="C73" s="39" t="n"/>
      <c r="D73" s="40" t="n"/>
      <c r="E73" s="41" t="n"/>
      <c r="F73" s="41" t="n"/>
      <c r="G73" s="42" t="n"/>
      <c r="H73" s="26" t="n"/>
      <c r="I73" s="26" t="n"/>
      <c r="J73" s="26" t="n"/>
      <c r="L73" s="26" t="n"/>
      <c r="M73" s="26" t="n"/>
    </row>
    <row r="74" hidden="1" ht="12.75" customHeight="1" s="30">
      <c r="A74" s="26" t="n"/>
      <c r="B74" s="26" t="n"/>
      <c r="C74" s="39" t="n"/>
      <c r="D74" s="40" t="n"/>
      <c r="E74" s="41" t="n"/>
      <c r="F74" s="41" t="n"/>
      <c r="G74" s="42" t="n"/>
      <c r="H74" s="26" t="n"/>
      <c r="I74" s="26" t="n"/>
      <c r="J74" s="26" t="n"/>
      <c r="L74" s="26" t="n"/>
      <c r="M74" s="26" t="n"/>
    </row>
    <row r="75" hidden="1" ht="12.75" customHeight="1" s="30">
      <c r="A75" s="26" t="n"/>
      <c r="B75" s="26" t="n"/>
      <c r="C75" s="39" t="n"/>
      <c r="D75" s="40" t="n"/>
      <c r="E75" s="41" t="n"/>
      <c r="F75" s="41" t="n"/>
      <c r="G75" s="42" t="n"/>
      <c r="H75" s="26" t="n"/>
      <c r="I75" s="26" t="n"/>
      <c r="J75" s="26" t="n"/>
      <c r="L75" s="26" t="n"/>
      <c r="M75" s="26" t="n"/>
    </row>
    <row r="76" hidden="1" ht="12.75" customHeight="1" s="30">
      <c r="A76" s="26" t="n"/>
      <c r="B76" s="26" t="n"/>
      <c r="C76" s="39" t="n"/>
      <c r="D76" s="40" t="n"/>
      <c r="E76" s="41" t="n"/>
      <c r="F76" s="41" t="n"/>
      <c r="G76" s="42" t="n"/>
      <c r="H76" s="26" t="n"/>
      <c r="I76" s="26" t="n"/>
      <c r="J76" s="26" t="n"/>
      <c r="L76" s="26" t="n"/>
      <c r="M76" s="26" t="n"/>
    </row>
    <row r="77" hidden="1" ht="12.75" customHeight="1" s="30">
      <c r="A77" s="26" t="n"/>
      <c r="B77" s="26" t="n"/>
      <c r="C77" s="39" t="n"/>
      <c r="D77" s="40" t="n"/>
      <c r="E77" s="41" t="n"/>
      <c r="F77" s="41" t="n"/>
      <c r="G77" s="42" t="n"/>
      <c r="H77" s="26" t="n"/>
      <c r="I77" s="26" t="n"/>
      <c r="J77" s="26" t="n"/>
      <c r="L77" s="26" t="n"/>
      <c r="M77" s="26" t="n"/>
    </row>
    <row r="78" hidden="1" ht="12.75" customHeight="1" s="30">
      <c r="A78" s="26" t="n"/>
      <c r="B78" s="26" t="n"/>
      <c r="C78" s="39" t="n"/>
      <c r="D78" s="40" t="n"/>
      <c r="E78" s="41" t="n"/>
      <c r="F78" s="41" t="n"/>
      <c r="G78" s="42" t="n"/>
      <c r="H78" s="26" t="n"/>
      <c r="I78" s="26" t="n"/>
      <c r="J78" s="26" t="n"/>
      <c r="L78" s="26" t="n"/>
      <c r="M78" s="26" t="n"/>
    </row>
    <row r="79" hidden="1" ht="12.75" customHeight="1" s="30">
      <c r="A79" s="26" t="n"/>
      <c r="B79" s="26" t="n"/>
      <c r="C79" s="39" t="n"/>
      <c r="D79" s="40" t="n"/>
      <c r="E79" s="41" t="n"/>
      <c r="F79" s="41" t="n"/>
      <c r="G79" s="42" t="n"/>
      <c r="H79" s="26" t="n"/>
      <c r="I79" s="26" t="n"/>
      <c r="J79" s="26" t="n"/>
      <c r="L79" s="26" t="n"/>
      <c r="M79" s="26" t="n"/>
    </row>
    <row r="80" hidden="1" ht="12.75" customHeight="1" s="30">
      <c r="A80" s="26" t="n"/>
      <c r="B80" s="26" t="n"/>
      <c r="C80" s="39" t="n"/>
      <c r="D80" s="40" t="n"/>
      <c r="E80" s="41" t="n"/>
      <c r="F80" s="41" t="n"/>
      <c r="G80" s="42" t="n"/>
      <c r="H80" s="26" t="n"/>
      <c r="I80" s="26" t="n"/>
      <c r="J80" s="26" t="n"/>
      <c r="L80" s="26" t="n"/>
      <c r="M80" s="26" t="n"/>
    </row>
    <row r="81" hidden="1" ht="12.75" customHeight="1" s="30">
      <c r="A81" s="26" t="n"/>
      <c r="B81" s="26" t="n"/>
      <c r="C81" s="39" t="n"/>
      <c r="D81" s="40" t="n"/>
      <c r="E81" s="41" t="n"/>
      <c r="F81" s="41" t="n"/>
      <c r="G81" s="42" t="n"/>
      <c r="H81" s="26" t="n"/>
      <c r="I81" s="26" t="n"/>
      <c r="J81" s="26" t="n"/>
      <c r="L81" s="26" t="n"/>
      <c r="M81" s="26" t="n"/>
    </row>
    <row r="82" hidden="1" ht="12.75" customHeight="1" s="30">
      <c r="A82" s="26" t="n"/>
      <c r="B82" s="26" t="n"/>
      <c r="C82" s="39" t="n"/>
      <c r="D82" s="40" t="n"/>
      <c r="E82" s="41" t="n"/>
      <c r="F82" s="41" t="n"/>
      <c r="G82" s="42" t="n"/>
      <c r="H82" s="26" t="n"/>
      <c r="I82" s="26" t="n"/>
      <c r="J82" s="26" t="n"/>
      <c r="L82" s="26" t="n"/>
      <c r="M82" s="26" t="n"/>
    </row>
    <row r="83" hidden="1" ht="12.75" customHeight="1" s="30">
      <c r="A83" s="26" t="n"/>
      <c r="B83" s="26" t="n"/>
      <c r="C83" s="39" t="n"/>
      <c r="D83" s="40" t="n"/>
      <c r="E83" s="41" t="n"/>
      <c r="F83" s="41" t="n"/>
      <c r="G83" s="42" t="n"/>
      <c r="H83" s="26" t="n"/>
      <c r="I83" s="26" t="n"/>
      <c r="J83" s="26" t="n"/>
      <c r="L83" s="26" t="n"/>
      <c r="M83" s="26" t="n"/>
    </row>
    <row r="84" hidden="1" ht="12.75" customHeight="1" s="30">
      <c r="A84" s="26" t="n"/>
      <c r="B84" s="26" t="n"/>
      <c r="C84" s="39" t="n"/>
      <c r="D84" s="40" t="n"/>
      <c r="E84" s="41" t="n"/>
      <c r="F84" s="41" t="n"/>
      <c r="G84" s="42" t="n"/>
      <c r="H84" s="26" t="n"/>
      <c r="I84" s="26" t="n"/>
      <c r="J84" s="26" t="n"/>
      <c r="L84" s="26" t="n"/>
      <c r="M84" s="26" t="n"/>
    </row>
    <row r="85" hidden="1" ht="12.75" customHeight="1" s="30">
      <c r="A85" s="26" t="n"/>
      <c r="B85" s="26" t="n"/>
      <c r="C85" s="39" t="n"/>
      <c r="D85" s="40" t="n"/>
      <c r="E85" s="41" t="n"/>
      <c r="F85" s="41" t="n"/>
      <c r="G85" s="42" t="n"/>
      <c r="H85" s="26" t="n"/>
      <c r="I85" s="26" t="n"/>
      <c r="J85" s="26" t="n"/>
      <c r="L85" s="26" t="n"/>
      <c r="M85" s="26" t="n"/>
    </row>
    <row r="86" hidden="1" ht="12.75" customHeight="1" s="30">
      <c r="A86" s="26" t="n"/>
      <c r="B86" s="26" t="n"/>
      <c r="C86" s="39" t="n"/>
      <c r="D86" s="40" t="n"/>
      <c r="E86" s="41" t="n"/>
      <c r="F86" s="41" t="n"/>
      <c r="G86" s="42" t="n"/>
      <c r="H86" s="26" t="n"/>
      <c r="I86" s="26" t="n"/>
      <c r="J86" s="26" t="n"/>
      <c r="L86" s="26" t="n"/>
      <c r="M86" s="26" t="n"/>
    </row>
    <row r="87" hidden="1" ht="12.75" customHeight="1" s="30">
      <c r="A87" s="26" t="n"/>
      <c r="B87" s="26" t="n"/>
      <c r="C87" s="39" t="n"/>
      <c r="D87" s="40" t="n"/>
      <c r="E87" s="41" t="n"/>
      <c r="F87" s="41" t="n"/>
      <c r="G87" s="42" t="n"/>
      <c r="H87" s="26" t="n"/>
      <c r="I87" s="26" t="n"/>
      <c r="J87" s="26" t="n"/>
      <c r="L87" s="26" t="n"/>
      <c r="M87" s="26" t="n"/>
    </row>
    <row r="88" hidden="1" ht="12.75" customHeight="1" s="30">
      <c r="A88" s="26" t="n"/>
      <c r="B88" s="26" t="n"/>
      <c r="C88" s="39" t="n"/>
      <c r="D88" s="40" t="n"/>
      <c r="E88" s="41" t="n"/>
      <c r="F88" s="41" t="n"/>
      <c r="G88" s="42" t="n"/>
      <c r="H88" s="26" t="n"/>
      <c r="I88" s="26" t="n"/>
      <c r="J88" s="26" t="n"/>
      <c r="L88" s="26" t="n"/>
      <c r="M88" s="26" t="n"/>
    </row>
    <row r="89" hidden="1" ht="12.75" customHeight="1" s="30">
      <c r="A89" s="26" t="n"/>
      <c r="B89" s="26" t="n"/>
      <c r="C89" s="39" t="n"/>
      <c r="D89" s="40" t="n"/>
      <c r="E89" s="41" t="n"/>
      <c r="F89" s="41" t="n"/>
      <c r="G89" s="42" t="n"/>
      <c r="H89" s="26" t="n"/>
      <c r="I89" s="26" t="n"/>
      <c r="J89" s="26" t="n"/>
      <c r="L89" s="26" t="n"/>
      <c r="M89" s="26" t="n"/>
    </row>
    <row r="90" ht="12.75" customHeight="1" s="30">
      <c r="A90" s="26" t="n"/>
      <c r="B90" s="26" t="n"/>
      <c r="C90" s="39" t="n"/>
      <c r="D90" s="40" t="n"/>
      <c r="E90" s="41" t="n"/>
      <c r="F90" s="41" t="n"/>
      <c r="G90" s="42" t="n"/>
      <c r="H90" s="48" t="n"/>
      <c r="I90" s="26" t="n"/>
      <c r="J90" s="26" t="n"/>
      <c r="L90" s="26" t="n"/>
      <c r="M90" s="26" t="n"/>
    </row>
    <row r="91" ht="23.85" customHeight="1" s="30">
      <c r="A91" s="26" t="n"/>
      <c r="B91" s="26" t="n"/>
      <c r="C91" s="39" t="n"/>
      <c r="D91" s="40" t="n"/>
      <c r="E91" s="41" t="n"/>
      <c r="F91" s="41" t="n"/>
      <c r="G91" s="42" t="n"/>
      <c r="H91" s="49" t="n"/>
      <c r="I91" s="26" t="n"/>
      <c r="J91" s="26" t="n"/>
      <c r="L91" s="26" t="n"/>
      <c r="M91" s="26" t="n"/>
    </row>
    <row r="92" ht="12.75" customHeight="1" s="30">
      <c r="A92" s="26" t="n"/>
      <c r="B92" s="26" t="n"/>
      <c r="C92" s="39" t="n"/>
      <c r="D92" s="40" t="n"/>
      <c r="E92" s="41" t="n"/>
      <c r="F92" s="41" t="n"/>
      <c r="G92" s="42" t="n"/>
      <c r="H92" s="26" t="n"/>
      <c r="I92" s="26" t="n"/>
      <c r="J92" s="26" t="n"/>
      <c r="L92" s="26" t="n"/>
      <c r="M92" s="26" t="n"/>
    </row>
    <row r="93" ht="57.8" customHeight="1" s="30">
      <c r="A93" s="26" t="n"/>
      <c r="B93" s="26" t="n"/>
      <c r="C93" s="39" t="n"/>
      <c r="D93" s="40" t="n"/>
      <c r="E93" s="41" t="n"/>
      <c r="F93" s="41" t="n"/>
      <c r="G93" s="42" t="n"/>
      <c r="H93" s="49" t="n"/>
      <c r="I93" s="26" t="n"/>
      <c r="J93" s="26" t="n"/>
      <c r="L93" s="26" t="n"/>
      <c r="M93" s="26" t="n"/>
    </row>
    <row r="94" ht="23.85" customHeight="1" s="30">
      <c r="A94" s="26" t="n"/>
      <c r="B94" s="26" t="n"/>
      <c r="C94" s="39" t="n"/>
      <c r="D94" s="40" t="n"/>
      <c r="E94" s="41" t="n"/>
      <c r="F94" s="41" t="n"/>
      <c r="G94" s="42" t="n"/>
      <c r="H94" s="49" t="n"/>
      <c r="I94" s="26" t="n"/>
      <c r="J94" s="26" t="n"/>
      <c r="L94" s="26" t="n"/>
      <c r="M94" s="26" t="n"/>
    </row>
    <row r="95" ht="12.75" customHeight="1" s="30">
      <c r="A95" s="26" t="n"/>
      <c r="B95" s="26" t="n"/>
      <c r="C95" s="39" t="n"/>
      <c r="D95" s="40" t="n"/>
      <c r="E95" s="41" t="n"/>
      <c r="F95" s="41" t="n"/>
      <c r="G95" s="42" t="n"/>
      <c r="H95" s="48" t="n"/>
      <c r="I95" s="26" t="n"/>
      <c r="J95" s="26" t="n"/>
      <c r="L95" s="26" t="n"/>
      <c r="M95" s="26" t="n"/>
    </row>
    <row r="96" ht="12.75" customHeight="1" s="30">
      <c r="A96" s="26" t="n"/>
      <c r="B96" s="26" t="n"/>
      <c r="C96" s="39" t="n"/>
      <c r="D96" s="40" t="n"/>
      <c r="E96" s="41" t="n"/>
      <c r="F96" s="41" t="n"/>
      <c r="G96" s="42" t="n"/>
      <c r="H96" s="48" t="n"/>
      <c r="I96" s="26" t="n"/>
      <c r="J96" s="26" t="n"/>
      <c r="L96" s="26" t="n"/>
      <c r="M96" s="26" t="n"/>
    </row>
    <row r="97" ht="12.75" customHeight="1" s="30">
      <c r="A97" s="26" t="n"/>
      <c r="B97" s="26" t="n"/>
      <c r="C97" s="39" t="n"/>
      <c r="D97" s="40" t="n"/>
      <c r="E97" s="41" t="n"/>
      <c r="F97" s="41" t="n"/>
      <c r="G97" s="42" t="n"/>
      <c r="H97" s="48" t="n"/>
      <c r="I97" s="26" t="n"/>
      <c r="J97" s="26" t="n"/>
      <c r="L97" s="26" t="n"/>
      <c r="M97" s="26" t="n"/>
    </row>
    <row r="98" ht="23.85" customHeight="1" s="30">
      <c r="A98" s="26" t="n"/>
      <c r="B98" s="26" t="n"/>
      <c r="C98" s="39" t="n"/>
      <c r="D98" s="40" t="n"/>
      <c r="E98" s="41" t="n"/>
      <c r="F98" s="41" t="n"/>
      <c r="G98" s="42" t="n"/>
      <c r="H98" s="49" t="n"/>
      <c r="I98" s="26" t="n"/>
      <c r="J98" s="26" t="n"/>
      <c r="L98" s="26" t="n"/>
      <c r="M98" s="26" t="n"/>
    </row>
    <row r="99" ht="12.75" customHeight="1" s="30">
      <c r="A99" s="26" t="n"/>
      <c r="B99" s="26" t="n"/>
      <c r="C99" s="39" t="n"/>
      <c r="D99" s="40" t="n"/>
      <c r="E99" s="41" t="n"/>
      <c r="F99" s="41" t="n"/>
      <c r="G99" s="42" t="n"/>
      <c r="H99" s="48" t="n"/>
      <c r="I99" s="26" t="n"/>
      <c r="J99" s="26" t="n"/>
      <c r="L99" s="26" t="n"/>
      <c r="M99" s="26" t="n"/>
    </row>
    <row r="100" ht="12.75" customHeight="1" s="30">
      <c r="A100" s="26" t="n"/>
      <c r="B100" s="26" t="n"/>
      <c r="C100" s="39" t="n"/>
      <c r="D100" s="40" t="n"/>
      <c r="E100" s="41" t="n"/>
      <c r="F100" s="41" t="n"/>
      <c r="G100" s="42" t="n"/>
      <c r="H100" s="48" t="n"/>
      <c r="I100" s="26" t="n"/>
      <c r="J100" s="26" t="n"/>
      <c r="L100" s="26" t="n"/>
      <c r="M100" s="26" t="n"/>
    </row>
    <row r="101" ht="12.75" customHeight="1" s="30">
      <c r="A101" s="26" t="n"/>
      <c r="B101" s="26" t="n"/>
      <c r="C101" s="39" t="n"/>
      <c r="D101" s="40" t="n"/>
      <c r="E101" s="41" t="n"/>
      <c r="F101" s="41" t="n"/>
      <c r="G101" s="42" t="n"/>
      <c r="H101" s="48" t="n"/>
      <c r="I101" s="26" t="n"/>
      <c r="J101" s="26" t="n"/>
      <c r="L101" s="26" t="n"/>
      <c r="M101" s="26" t="n"/>
    </row>
    <row r="102" ht="12.75" customHeight="1" s="30">
      <c r="A102" s="26" t="n"/>
      <c r="B102" s="26" t="n"/>
      <c r="C102" s="39" t="n"/>
      <c r="D102" s="40" t="n"/>
      <c r="E102" s="41" t="n"/>
      <c r="F102" s="41" t="n"/>
      <c r="G102" s="42" t="n"/>
      <c r="H102" s="48" t="n"/>
      <c r="I102" s="26" t="n"/>
      <c r="J102" s="26" t="n"/>
      <c r="L102" s="26" t="n"/>
      <c r="M102" s="26" t="n"/>
    </row>
    <row r="103" ht="12.75" customHeight="1" s="30">
      <c r="A103" s="26" t="n"/>
      <c r="B103" s="26" t="n"/>
      <c r="C103" s="39" t="n"/>
      <c r="D103" s="40" t="n"/>
      <c r="E103" s="41" t="n"/>
      <c r="F103" s="41" t="n"/>
      <c r="G103" s="42" t="n"/>
      <c r="H103" s="49" t="n"/>
      <c r="I103" s="26" t="n"/>
      <c r="J103" s="26" t="n"/>
      <c r="L103" s="26" t="n"/>
      <c r="M103" s="26" t="n"/>
    </row>
    <row r="104" ht="12.75" customHeight="1" s="30">
      <c r="A104" s="26" t="n"/>
      <c r="B104" s="26" t="n"/>
      <c r="C104" s="39" t="n"/>
      <c r="D104" s="40" t="n"/>
      <c r="E104" s="41" t="n"/>
      <c r="F104" s="41" t="n"/>
      <c r="G104" s="42" t="n"/>
      <c r="H104" s="48" t="n"/>
      <c r="I104" s="26" t="n"/>
      <c r="J104" s="26" t="n"/>
      <c r="L104" s="26" t="n"/>
      <c r="M104" s="26" t="n"/>
    </row>
    <row r="105" ht="12.75" customHeight="1" s="30">
      <c r="A105" s="26" t="n"/>
      <c r="B105" s="26" t="n"/>
      <c r="C105" s="39" t="n"/>
      <c r="D105" s="40" t="n"/>
      <c r="E105" s="41" t="n"/>
      <c r="F105" s="41" t="n"/>
      <c r="G105" s="42" t="n"/>
      <c r="H105" s="48" t="n"/>
      <c r="I105" s="26" t="n"/>
      <c r="J105" s="26" t="n"/>
      <c r="L105" s="26" t="n"/>
      <c r="M105" s="26" t="n"/>
    </row>
    <row r="106" ht="23.85" customHeight="1" s="30">
      <c r="A106" s="26" t="n"/>
      <c r="B106" s="26" t="n"/>
      <c r="C106" s="39" t="n"/>
      <c r="D106" s="40" t="n"/>
      <c r="E106" s="41" t="n"/>
      <c r="F106" s="41" t="n"/>
      <c r="G106" s="42" t="n"/>
      <c r="H106" s="49" t="n"/>
      <c r="I106" s="26" t="n"/>
      <c r="J106" s="26" t="n"/>
      <c r="L106" s="26" t="n"/>
      <c r="M106" s="26" t="n"/>
    </row>
    <row r="107" ht="12.75" customHeight="1" s="30">
      <c r="A107" s="26" t="n"/>
      <c r="B107" s="26" t="n"/>
      <c r="C107" s="39" t="n"/>
      <c r="D107" s="40" t="n"/>
      <c r="E107" s="41" t="n"/>
      <c r="F107" s="41" t="n"/>
      <c r="G107" s="42" t="n"/>
      <c r="H107" s="48" t="n"/>
      <c r="I107" s="26" t="n"/>
      <c r="J107" s="26" t="n"/>
      <c r="L107" s="26" t="n"/>
      <c r="M107" s="26" t="n"/>
    </row>
    <row r="108" ht="23.85" customHeight="1" s="30">
      <c r="A108" s="26" t="n"/>
      <c r="B108" s="26" t="n"/>
      <c r="C108" s="39" t="n"/>
      <c r="D108" s="40" t="n"/>
      <c r="E108" s="41" t="n"/>
      <c r="F108" s="41" t="n"/>
      <c r="G108" s="42" t="n"/>
      <c r="H108" s="49" t="n"/>
      <c r="I108" s="26" t="n"/>
      <c r="J108" s="26" t="n"/>
      <c r="L108" s="26" t="n"/>
      <c r="M108" s="26" t="n"/>
    </row>
    <row r="109" ht="12.75" customHeight="1" s="30">
      <c r="A109" s="26" t="n"/>
      <c r="B109" s="26" t="n"/>
      <c r="C109" s="39" t="n"/>
      <c r="D109" s="40" t="n"/>
      <c r="E109" s="41" t="n"/>
      <c r="F109" s="41" t="n"/>
      <c r="G109" s="42" t="n"/>
      <c r="H109" s="48" t="n"/>
      <c r="I109" s="26" t="n"/>
      <c r="J109" s="26" t="n"/>
      <c r="L109" s="26" t="n"/>
      <c r="M109" s="26" t="n"/>
    </row>
    <row r="110" ht="23.85" customHeight="1" s="30">
      <c r="A110" s="26" t="n"/>
      <c r="B110" s="26" t="n"/>
      <c r="C110" s="39" t="n"/>
      <c r="D110" s="40" t="n"/>
      <c r="E110" s="41" t="n"/>
      <c r="F110" s="41" t="n"/>
      <c r="G110" s="42" t="n"/>
      <c r="H110" s="49" t="n"/>
      <c r="I110" s="26" t="n"/>
      <c r="J110" s="26" t="n"/>
      <c r="L110" s="26" t="n"/>
      <c r="M110" s="26" t="n"/>
    </row>
    <row r="111" ht="12.75" customHeight="1" s="30">
      <c r="A111" s="26" t="n"/>
      <c r="B111" s="26" t="n"/>
      <c r="C111" s="39" t="n"/>
      <c r="D111" s="40" t="n"/>
      <c r="E111" s="41" t="n"/>
      <c r="F111" s="41" t="n"/>
      <c r="G111" s="42" t="n"/>
      <c r="H111" s="48" t="n"/>
      <c r="I111" s="26" t="n"/>
      <c r="J111" s="26" t="n"/>
      <c r="L111" s="26" t="n"/>
      <c r="M111" s="26" t="n"/>
    </row>
    <row r="112" ht="23.85" customHeight="1" s="30">
      <c r="A112" s="26" t="n"/>
      <c r="B112" s="26" t="n"/>
      <c r="C112" s="39" t="n"/>
      <c r="D112" s="40" t="n"/>
      <c r="E112" s="41" t="n"/>
      <c r="F112" s="41" t="n"/>
      <c r="G112" s="42" t="n"/>
      <c r="H112" s="49" t="n"/>
      <c r="I112" s="26" t="n"/>
      <c r="J112" s="26" t="n"/>
      <c r="L112" s="26" t="n"/>
      <c r="M112" s="26" t="n"/>
    </row>
    <row r="113" ht="12.75" customHeight="1" s="30">
      <c r="A113" s="26" t="n"/>
      <c r="B113" s="26" t="n"/>
      <c r="C113" s="39" t="n"/>
      <c r="D113" s="40" t="n"/>
      <c r="E113" s="41" t="n"/>
      <c r="F113" s="41" t="n"/>
      <c r="G113" s="42" t="n"/>
      <c r="H113" s="48" t="n"/>
      <c r="I113" s="26" t="n"/>
      <c r="J113" s="26" t="n"/>
      <c r="L113" s="26" t="n"/>
      <c r="M113" s="26" t="n"/>
    </row>
    <row r="114" ht="12.75" customHeight="1" s="30">
      <c r="A114" s="26" t="n"/>
      <c r="B114" s="26" t="n"/>
      <c r="C114" s="39" t="n"/>
      <c r="D114" s="40" t="n"/>
      <c r="E114" s="41" t="n"/>
      <c r="F114" s="41" t="n"/>
      <c r="G114" s="42" t="n"/>
      <c r="H114" s="48" t="n"/>
      <c r="I114" s="26" t="n"/>
      <c r="J114" s="26" t="n"/>
      <c r="L114" s="26" t="n"/>
      <c r="M114" s="26" t="n"/>
    </row>
    <row r="115" ht="12.75" customHeight="1" s="30">
      <c r="A115" s="26" t="n"/>
      <c r="B115" s="26" t="n"/>
      <c r="C115" s="39" t="n"/>
      <c r="D115" s="40" t="n"/>
      <c r="E115" s="41" t="n"/>
      <c r="F115" s="41" t="n"/>
      <c r="G115" s="42" t="n"/>
      <c r="H115" s="48" t="n"/>
      <c r="I115" s="26" t="n"/>
      <c r="J115" s="26" t="n"/>
      <c r="L115" s="26" t="n"/>
      <c r="M115" s="26" t="n"/>
    </row>
    <row r="116" ht="57.45" customHeight="1" s="30">
      <c r="A116" s="26" t="n"/>
      <c r="B116" s="26" t="n"/>
      <c r="C116" s="39" t="n"/>
      <c r="D116" s="40" t="n"/>
      <c r="E116" s="41" t="n"/>
      <c r="F116" s="41" t="n"/>
      <c r="G116" s="42" t="n"/>
      <c r="H116" s="49" t="n"/>
      <c r="I116" s="26" t="n"/>
      <c r="J116" s="26" t="n"/>
      <c r="L116" s="26" t="n"/>
      <c r="M116" s="26" t="n"/>
    </row>
    <row r="117" ht="35.05" customHeight="1" s="30">
      <c r="A117" s="26" t="n"/>
      <c r="B117" s="26" t="n"/>
      <c r="C117" s="39" t="n"/>
      <c r="D117" s="40" t="n"/>
      <c r="E117" s="41" t="n"/>
      <c r="F117" s="41" t="n"/>
      <c r="G117" s="42" t="n"/>
      <c r="H117" s="49" t="n"/>
      <c r="I117" s="26" t="n"/>
      <c r="J117" s="26" t="n"/>
      <c r="L117" s="26" t="n"/>
      <c r="M117" s="26" t="n"/>
    </row>
    <row r="118" ht="12.75" customHeight="1" s="30">
      <c r="A118" s="26" t="n"/>
      <c r="B118" s="26" t="n"/>
      <c r="C118" s="39" t="n"/>
      <c r="D118" s="40" t="n"/>
      <c r="E118" s="41" t="n"/>
      <c r="F118" s="41" t="n"/>
      <c r="G118" s="42" t="n"/>
      <c r="H118" s="48" t="n"/>
      <c r="I118" s="26" t="n"/>
      <c r="J118" s="26" t="n"/>
      <c r="L118" s="26" t="n"/>
      <c r="M118" s="26" t="n"/>
    </row>
    <row r="119" ht="12.75" customHeight="1" s="30">
      <c r="A119" s="26" t="n"/>
      <c r="B119" s="26" t="n"/>
      <c r="C119" s="39" t="n"/>
      <c r="D119" s="40" t="n"/>
      <c r="E119" s="41" t="n"/>
      <c r="F119" s="41" t="n"/>
      <c r="G119" s="42" t="n"/>
      <c r="H119" s="48" t="n"/>
      <c r="I119" s="26" t="n"/>
      <c r="J119" s="26" t="n"/>
      <c r="L119" s="26" t="n"/>
      <c r="M119" s="26" t="n"/>
    </row>
    <row r="120" ht="23.85" customHeight="1" s="30">
      <c r="A120" s="26" t="n"/>
      <c r="B120" s="26" t="n"/>
      <c r="C120" s="39" t="n"/>
      <c r="D120" s="40" t="n"/>
      <c r="E120" s="41" t="n"/>
      <c r="F120" s="41" t="n"/>
      <c r="G120" s="42" t="n"/>
      <c r="H120" s="49" t="n"/>
      <c r="I120" s="26" t="n"/>
      <c r="J120" s="26" t="n"/>
      <c r="L120" s="26" t="n"/>
      <c r="M120" s="26" t="n"/>
    </row>
    <row r="121" ht="12.75" customHeight="1" s="30">
      <c r="A121" s="26" t="n"/>
      <c r="B121" s="26" t="n"/>
      <c r="C121" s="39" t="n"/>
      <c r="D121" s="40" t="n"/>
      <c r="E121" s="41" t="n"/>
      <c r="F121" s="41" t="n"/>
      <c r="G121" s="42" t="n"/>
      <c r="H121" s="48" t="n"/>
      <c r="I121" s="26" t="n"/>
      <c r="J121" s="26" t="n"/>
      <c r="L121" s="26" t="n"/>
      <c r="M121" s="26" t="n"/>
    </row>
    <row r="122" ht="23.85" customHeight="1" s="30">
      <c r="A122" s="26" t="n"/>
      <c r="B122" s="26" t="n"/>
      <c r="C122" s="39" t="n"/>
      <c r="D122" s="40" t="n"/>
      <c r="E122" s="41" t="n"/>
      <c r="F122" s="41" t="n"/>
      <c r="G122" s="42" t="n"/>
      <c r="H122" s="49" t="n"/>
      <c r="I122" s="26" t="n"/>
      <c r="J122" s="26" t="n"/>
      <c r="L122" s="26" t="n"/>
      <c r="M122" s="26" t="n"/>
    </row>
    <row r="123" ht="12.75" customHeight="1" s="30">
      <c r="A123" s="26" t="n"/>
      <c r="B123" s="26" t="n"/>
      <c r="C123" s="39" t="n"/>
      <c r="D123" s="40" t="n"/>
      <c r="E123" s="41" t="n"/>
      <c r="F123" s="41" t="n"/>
      <c r="G123" s="42" t="n"/>
      <c r="H123" s="48" t="n"/>
      <c r="I123" s="26" t="n"/>
      <c r="J123" s="26" t="n"/>
      <c r="L123" s="26" t="n"/>
      <c r="M123" s="26" t="n"/>
    </row>
    <row r="124" ht="12.75" customHeight="1" s="30">
      <c r="A124" s="26" t="n"/>
      <c r="B124" s="26" t="n"/>
      <c r="C124" s="39" t="n"/>
      <c r="D124" s="40" t="n"/>
      <c r="E124" s="41" t="n"/>
      <c r="F124" s="41" t="n"/>
      <c r="G124" s="42" t="n"/>
      <c r="H124" s="49" t="n"/>
      <c r="I124" s="26" t="n"/>
      <c r="J124" s="26" t="n"/>
      <c r="L124" s="26" t="n"/>
      <c r="M124" s="26" t="n"/>
    </row>
    <row r="125" ht="23.85" customHeight="1" s="30">
      <c r="A125" s="26" t="n"/>
      <c r="B125" s="26" t="n"/>
      <c r="C125" s="39" t="n"/>
      <c r="D125" s="40" t="n"/>
      <c r="E125" s="41" t="n"/>
      <c r="F125" s="41" t="n"/>
      <c r="G125" s="42" t="n"/>
      <c r="H125" s="49" t="n"/>
      <c r="I125" s="26" t="n"/>
      <c r="J125" s="26" t="n"/>
      <c r="L125" s="26" t="n"/>
      <c r="M125" s="26" t="n"/>
    </row>
    <row r="126" ht="12.75" customHeight="1" s="30">
      <c r="A126" s="26" t="n"/>
      <c r="B126" s="26" t="n"/>
      <c r="C126" s="39" t="n"/>
      <c r="D126" s="40" t="n"/>
      <c r="E126" s="41" t="n"/>
      <c r="F126" s="41" t="n"/>
      <c r="G126" s="42" t="n"/>
      <c r="H126" s="48" t="n"/>
      <c r="I126" s="26" t="n"/>
      <c r="J126" s="26" t="n"/>
      <c r="L126" s="26" t="n"/>
      <c r="M126" s="26" t="n"/>
    </row>
    <row r="127" ht="12.75" customHeight="1" s="30">
      <c r="A127" s="26" t="n"/>
      <c r="B127" s="26" t="n"/>
      <c r="C127" s="39" t="n"/>
      <c r="D127" s="40" t="n"/>
      <c r="E127" s="41" t="n"/>
      <c r="F127" s="41" t="n"/>
      <c r="G127" s="42" t="n"/>
      <c r="H127" s="49" t="n"/>
      <c r="I127" s="26" t="n"/>
      <c r="J127" s="26" t="n"/>
      <c r="L127" s="26" t="n"/>
      <c r="M127" s="26" t="n"/>
    </row>
    <row r="128" ht="12.75" customHeight="1" s="30">
      <c r="A128" s="26" t="n"/>
      <c r="B128" s="26" t="n"/>
      <c r="C128" s="39" t="n"/>
      <c r="D128" s="40" t="n"/>
      <c r="E128" s="41" t="n"/>
      <c r="F128" s="41" t="n"/>
      <c r="G128" s="42" t="n"/>
      <c r="H128" s="48" t="n"/>
      <c r="I128" s="26" t="n"/>
      <c r="J128" s="26" t="n"/>
      <c r="L128" s="26" t="n"/>
      <c r="M128" s="26" t="n"/>
    </row>
    <row r="129" ht="12.75" customHeight="1" s="30">
      <c r="A129" s="26" t="n"/>
      <c r="B129" s="26" t="n"/>
      <c r="C129" s="39" t="n"/>
      <c r="D129" s="40" t="n"/>
      <c r="E129" s="41" t="n"/>
      <c r="F129" s="41" t="n"/>
      <c r="G129" s="42" t="n"/>
      <c r="H129" s="49" t="n"/>
      <c r="I129" s="26" t="n"/>
      <c r="J129" s="26" t="n"/>
      <c r="L129" s="26" t="n"/>
      <c r="M129" s="26" t="n"/>
    </row>
    <row r="130" ht="24.25" customHeight="1" s="30">
      <c r="A130" s="26" t="n"/>
      <c r="B130" s="26" t="n"/>
      <c r="C130" s="39" t="n"/>
      <c r="D130" s="40" t="n"/>
      <c r="E130" s="41" t="n"/>
      <c r="F130" s="41" t="n"/>
      <c r="G130" s="42" t="n"/>
      <c r="H130" s="49" t="n"/>
      <c r="I130" s="26" t="n"/>
      <c r="J130" s="26" t="n"/>
      <c r="L130" s="26" t="n"/>
      <c r="M130" s="26" t="n"/>
    </row>
    <row r="131" ht="24.25" customHeight="1" s="30">
      <c r="A131" s="26" t="n"/>
      <c r="B131" s="26" t="n"/>
      <c r="C131" s="39" t="n"/>
      <c r="D131" s="40" t="n"/>
      <c r="E131" s="41" t="n"/>
      <c r="F131" s="41" t="n"/>
      <c r="G131" s="42" t="n"/>
      <c r="H131" s="49" t="n"/>
      <c r="I131" s="26" t="n"/>
      <c r="J131" s="26" t="n"/>
      <c r="L131" s="26" t="n"/>
      <c r="M131" s="26" t="n"/>
    </row>
    <row r="132" ht="24.25" customHeight="1" s="30">
      <c r="A132" s="26" t="n"/>
      <c r="B132" s="26" t="n"/>
      <c r="C132" s="39" t="n"/>
      <c r="D132" s="40" t="n"/>
      <c r="E132" s="41" t="n"/>
      <c r="F132" s="41" t="n"/>
      <c r="G132" s="42" t="n"/>
      <c r="H132" s="49" t="n"/>
      <c r="I132" s="26" t="n"/>
      <c r="J132" s="26" t="n"/>
      <c r="L132" s="26" t="n"/>
      <c r="M132" s="26" t="n"/>
    </row>
    <row r="133" ht="12.75" customHeight="1" s="30">
      <c r="A133" s="26" t="n"/>
      <c r="B133" s="26" t="n"/>
      <c r="C133" s="39" t="n"/>
      <c r="D133" s="40" t="n"/>
      <c r="E133" s="41" t="n"/>
      <c r="F133" s="41" t="n"/>
      <c r="G133" s="42" t="n"/>
      <c r="H133" s="48" t="n"/>
      <c r="I133" s="26" t="n"/>
      <c r="J133" s="26" t="n"/>
      <c r="L133" s="26" t="n"/>
      <c r="M133" s="26" t="n"/>
    </row>
    <row r="134" ht="12.75" customHeight="1" s="30">
      <c r="A134" s="26" t="n"/>
      <c r="B134" s="26" t="n"/>
      <c r="C134" s="39" t="n"/>
      <c r="D134" s="40" t="n"/>
      <c r="E134" s="41" t="n"/>
      <c r="F134" s="41" t="n"/>
      <c r="G134" s="42" t="n"/>
      <c r="H134" s="48" t="n"/>
      <c r="I134" s="26" t="n"/>
      <c r="J134" s="26" t="n"/>
      <c r="L134" s="26" t="n"/>
      <c r="M134" s="26" t="n"/>
    </row>
    <row r="135" ht="12.75" customHeight="1" s="30">
      <c r="A135" s="26" t="n"/>
      <c r="B135" s="26" t="n"/>
      <c r="C135" s="39" t="n"/>
      <c r="D135" s="40" t="n"/>
      <c r="E135" s="41" t="n"/>
      <c r="F135" s="41" t="n"/>
      <c r="G135" s="42" t="n"/>
      <c r="H135" s="48" t="n"/>
      <c r="I135" s="26" t="n"/>
      <c r="J135" s="26" t="n"/>
      <c r="L135" s="26" t="n"/>
      <c r="M135" s="26" t="n"/>
    </row>
    <row r="136" ht="35.05" customHeight="1" s="30">
      <c r="A136" s="26" t="n"/>
      <c r="B136" s="26" t="n"/>
      <c r="C136" s="39" t="n"/>
      <c r="D136" s="40" t="n"/>
      <c r="E136" s="41" t="n"/>
      <c r="F136" s="41" t="n"/>
      <c r="G136" s="42" t="n"/>
      <c r="H136" s="49" t="n"/>
      <c r="I136" s="26" t="n"/>
      <c r="J136" s="26" t="n"/>
      <c r="L136" s="26" t="n"/>
      <c r="M136" s="26" t="n"/>
    </row>
    <row r="137" ht="12.75" customHeight="1" s="30">
      <c r="A137" s="26" t="n"/>
      <c r="B137" s="26" t="n"/>
      <c r="C137" s="39" t="n"/>
      <c r="D137" s="40" t="n"/>
      <c r="E137" s="41" t="n"/>
      <c r="F137" s="41" t="n"/>
      <c r="G137" s="42" t="n"/>
      <c r="H137" s="48" t="n"/>
      <c r="I137" s="26" t="n"/>
      <c r="J137" s="26" t="n"/>
      <c r="L137" s="26" t="n"/>
      <c r="M137" s="26" t="n"/>
    </row>
    <row r="138" ht="12.75" customHeight="1" s="30">
      <c r="A138" s="26" t="n"/>
      <c r="B138" s="26" t="n"/>
      <c r="C138" s="39" t="n"/>
      <c r="D138" s="40" t="n"/>
      <c r="E138" s="41" t="n"/>
      <c r="F138" s="41" t="n"/>
      <c r="G138" s="42" t="n"/>
      <c r="H138" s="48" t="n"/>
      <c r="I138" s="26" t="n"/>
      <c r="J138" s="26" t="n"/>
      <c r="L138" s="26" t="n"/>
      <c r="M138" s="26" t="n"/>
    </row>
    <row r="139" ht="35.05" customHeight="1" s="30">
      <c r="A139" s="26" t="n"/>
      <c r="B139" s="26" t="n"/>
      <c r="C139" s="39" t="n"/>
      <c r="D139" s="40" t="n"/>
      <c r="E139" s="41" t="n"/>
      <c r="F139" s="41" t="n"/>
      <c r="G139" s="42" t="n"/>
      <c r="H139" s="49" t="n"/>
      <c r="I139" s="26" t="n"/>
      <c r="J139" s="26" t="n"/>
      <c r="L139" s="26" t="n"/>
      <c r="M139" s="26" t="n"/>
    </row>
    <row r="140" ht="12.75" customHeight="1" s="30">
      <c r="A140" s="26" t="n"/>
      <c r="B140" s="26" t="n"/>
      <c r="C140" s="39" t="n"/>
      <c r="D140" s="40" t="n"/>
      <c r="E140" s="41" t="n"/>
      <c r="F140" s="41" t="n"/>
      <c r="G140" s="42" t="n"/>
      <c r="H140" s="49" t="n"/>
      <c r="I140" s="26" t="n"/>
      <c r="J140" s="26" t="n"/>
      <c r="L140" s="26" t="n"/>
      <c r="M140" s="26" t="n"/>
    </row>
    <row r="141" ht="12.75" customHeight="1" s="30">
      <c r="A141" s="26" t="n"/>
      <c r="B141" s="26" t="n"/>
      <c r="C141" s="39" t="n"/>
      <c r="D141" s="40" t="n"/>
      <c r="E141" s="41" t="n"/>
      <c r="F141" s="41" t="n"/>
      <c r="G141" s="42" t="n"/>
      <c r="H141" s="48" t="n"/>
      <c r="I141" s="26" t="n"/>
      <c r="J141" s="26" t="n"/>
      <c r="L141" s="26" t="n"/>
      <c r="M141" s="26" t="n"/>
    </row>
    <row r="142" ht="23.85" customHeight="1" s="30">
      <c r="A142" s="26" t="n"/>
      <c r="B142" s="26" t="n"/>
      <c r="C142" s="39" t="n"/>
      <c r="D142" s="40" t="n"/>
      <c r="E142" s="41" t="n"/>
      <c r="F142" s="41" t="n"/>
      <c r="G142" s="42" t="n"/>
      <c r="H142" s="49" t="n"/>
      <c r="I142" s="26" t="n"/>
      <c r="J142" s="26" t="n"/>
      <c r="L142" s="26" t="n"/>
      <c r="M142" s="26" t="n"/>
    </row>
    <row r="143" ht="23.85" customHeight="1" s="30">
      <c r="A143" s="26" t="n"/>
      <c r="B143" s="26" t="n"/>
      <c r="C143" s="39" t="n"/>
      <c r="D143" s="40" t="n"/>
      <c r="E143" s="41" t="n"/>
      <c r="F143" s="41" t="n"/>
      <c r="G143" s="42" t="n"/>
      <c r="H143" s="49" t="n"/>
      <c r="I143" s="26" t="n"/>
      <c r="J143" s="26" t="n"/>
      <c r="L143" s="26" t="n"/>
      <c r="M143" s="26" t="n"/>
    </row>
    <row r="144" ht="12.75" customHeight="1" s="30">
      <c r="A144" s="26" t="n"/>
      <c r="B144" s="26" t="n"/>
      <c r="C144" s="39" t="n"/>
      <c r="D144" s="40" t="n"/>
      <c r="E144" s="41" t="n"/>
      <c r="F144" s="41" t="n"/>
      <c r="G144" s="42" t="n"/>
      <c r="H144" s="48" t="n"/>
      <c r="I144" s="26" t="n"/>
      <c r="J144" s="26" t="n"/>
      <c r="L144" s="26" t="n"/>
      <c r="M144" s="26" t="n"/>
    </row>
    <row r="145" ht="12.75" customHeight="1" s="30">
      <c r="A145" s="26" t="n"/>
      <c r="B145" s="26" t="n"/>
      <c r="C145" s="39" t="n"/>
      <c r="D145" s="40" t="n"/>
      <c r="E145" s="41" t="n"/>
      <c r="F145" s="41" t="n"/>
      <c r="G145" s="42" t="n"/>
      <c r="H145" s="48" t="n"/>
      <c r="I145" s="26" t="n"/>
      <c r="J145" s="26" t="n"/>
      <c r="L145" s="26" t="n"/>
      <c r="M145" s="26" t="n"/>
    </row>
    <row r="146" ht="12.75" customHeight="1" s="30">
      <c r="A146" s="26" t="n"/>
      <c r="B146" s="26" t="n"/>
      <c r="C146" s="39" t="n"/>
      <c r="D146" s="40" t="n"/>
      <c r="E146" s="41" t="n"/>
      <c r="F146" s="41" t="n"/>
      <c r="G146" s="42" t="n"/>
      <c r="H146" s="26" t="n"/>
      <c r="I146" s="26" t="n"/>
      <c r="J146" s="26" t="n"/>
      <c r="L146" s="26" t="n"/>
      <c r="M146" s="26" t="n"/>
    </row>
    <row r="147" ht="23.85" customHeight="1" s="30">
      <c r="A147" s="26" t="n"/>
      <c r="B147" s="26" t="n"/>
      <c r="C147" s="39" t="n"/>
      <c r="D147" s="40" t="n"/>
      <c r="E147" s="41" t="n"/>
      <c r="F147" s="41" t="n"/>
      <c r="G147" s="42" t="n"/>
      <c r="H147" s="49" t="n"/>
      <c r="I147" s="26" t="n"/>
      <c r="J147" s="26" t="n"/>
      <c r="L147" s="26" t="n"/>
      <c r="M147" s="26" t="n"/>
    </row>
    <row r="148" ht="12.75" customHeight="1" s="30">
      <c r="A148" s="26" t="n"/>
      <c r="B148" s="26" t="n"/>
      <c r="C148" s="39" t="n"/>
      <c r="D148" s="40" t="n"/>
      <c r="E148" s="41" t="n"/>
      <c r="F148" s="41" t="n"/>
      <c r="G148" s="42" t="n"/>
      <c r="H148" s="49" t="n"/>
      <c r="I148" s="26" t="n"/>
      <c r="J148" s="26" t="n"/>
      <c r="L148" s="26" t="n"/>
      <c r="M148" s="26" t="n"/>
    </row>
    <row r="149" ht="12.75" customHeight="1" s="30">
      <c r="A149" s="26" t="n"/>
      <c r="B149" s="26" t="n"/>
      <c r="C149" s="39" t="n"/>
      <c r="D149" s="40" t="n"/>
      <c r="E149" s="41" t="n"/>
      <c r="F149" s="41" t="n"/>
      <c r="G149" s="42" t="n"/>
      <c r="H149" s="48" t="n"/>
      <c r="I149" s="26" t="n"/>
      <c r="J149" s="26" t="n"/>
      <c r="L149" s="26" t="n"/>
      <c r="M149" s="26" t="n"/>
    </row>
    <row r="150" ht="23.85" customHeight="1" s="30">
      <c r="A150" s="26" t="n"/>
      <c r="B150" s="26" t="n"/>
      <c r="C150" s="39" t="n"/>
      <c r="D150" s="40" t="n"/>
      <c r="E150" s="41" t="n"/>
      <c r="F150" s="41" t="n"/>
      <c r="G150" s="42" t="n"/>
      <c r="H150" s="49" t="n"/>
      <c r="I150" s="26" t="n"/>
      <c r="J150" s="26" t="n"/>
      <c r="L150" s="26" t="n"/>
      <c r="M150" s="26" t="n"/>
    </row>
    <row r="151" ht="23.85" customHeight="1" s="30">
      <c r="A151" s="26" t="n"/>
      <c r="B151" s="26" t="n"/>
      <c r="C151" s="39" t="n"/>
      <c r="D151" s="40" t="n"/>
      <c r="E151" s="41" t="n"/>
      <c r="F151" s="41" t="n"/>
      <c r="G151" s="42" t="n"/>
      <c r="H151" s="49" t="n"/>
      <c r="I151" s="26" t="n"/>
      <c r="J151" s="26" t="n"/>
      <c r="L151" s="26" t="n"/>
      <c r="M151" s="26" t="n"/>
    </row>
    <row r="152" ht="12.75" customHeight="1" s="30">
      <c r="A152" s="26" t="n"/>
      <c r="B152" s="26" t="n"/>
      <c r="C152" s="39" t="n"/>
      <c r="D152" s="40" t="n"/>
      <c r="E152" s="41" t="n"/>
      <c r="F152" s="41" t="n"/>
      <c r="G152" s="42" t="n"/>
      <c r="H152" s="48" t="n"/>
      <c r="I152" s="26" t="n"/>
      <c r="J152" s="26" t="n"/>
      <c r="L152" s="26" t="n"/>
      <c r="M152" s="26" t="n"/>
    </row>
    <row r="153" ht="23.85" customHeight="1" s="30">
      <c r="A153" s="26" t="n"/>
      <c r="B153" s="26" t="n"/>
      <c r="C153" s="39" t="n"/>
      <c r="D153" s="40" t="n"/>
      <c r="E153" s="41" t="n"/>
      <c r="F153" s="41" t="n"/>
      <c r="G153" s="42" t="n"/>
      <c r="H153" s="49" t="n"/>
      <c r="I153" s="26" t="n"/>
      <c r="J153" s="26" t="n"/>
      <c r="L153" s="26" t="n"/>
      <c r="M153" s="26" t="n"/>
    </row>
    <row r="154" ht="12.75" customHeight="1" s="30">
      <c r="A154" s="26" t="n"/>
      <c r="B154" s="26" t="n"/>
      <c r="C154" s="39" t="n"/>
      <c r="D154" s="40" t="n"/>
      <c r="E154" s="41" t="n"/>
      <c r="F154" s="41" t="n"/>
      <c r="G154" s="42" t="n"/>
      <c r="H154" s="48" t="n"/>
      <c r="I154" s="26" t="n"/>
      <c r="J154" s="26" t="n"/>
      <c r="L154" s="26" t="n"/>
      <c r="M154" s="26" t="n"/>
    </row>
    <row r="155" ht="12.75" customHeight="1" s="30">
      <c r="A155" s="26" t="n"/>
      <c r="B155" s="26" t="n"/>
      <c r="C155" s="39" t="n"/>
      <c r="D155" s="40" t="n"/>
      <c r="E155" s="41" t="n"/>
      <c r="F155" s="41" t="n"/>
      <c r="G155" s="42" t="n"/>
      <c r="H155" s="48" t="n"/>
      <c r="I155" s="26" t="n"/>
      <c r="J155" s="26" t="n"/>
      <c r="L155" s="26" t="n"/>
      <c r="M155" s="26" t="n"/>
    </row>
    <row r="156" ht="12.75" customHeight="1" s="30">
      <c r="A156" s="26" t="n"/>
      <c r="B156" s="26" t="n"/>
      <c r="C156" s="39" t="n"/>
      <c r="D156" s="40" t="n"/>
      <c r="E156" s="41" t="n"/>
      <c r="F156" s="41" t="n"/>
      <c r="G156" s="42" t="n"/>
      <c r="H156" s="48" t="n"/>
      <c r="I156" s="26" t="n"/>
      <c r="J156" s="26" t="n"/>
      <c r="L156" s="26" t="n"/>
      <c r="M156" s="26" t="n"/>
    </row>
    <row r="157" ht="12.75" customHeight="1" s="30">
      <c r="A157" s="26" t="n"/>
      <c r="B157" s="26" t="n"/>
      <c r="C157" s="39" t="n"/>
      <c r="D157" s="40" t="n"/>
      <c r="E157" s="41" t="n"/>
      <c r="F157" s="41" t="n"/>
      <c r="G157" s="42" t="n"/>
      <c r="H157" s="48" t="n"/>
      <c r="I157" s="26" t="n"/>
      <c r="J157" s="26" t="n"/>
      <c r="L157" s="26" t="n"/>
      <c r="M157" s="26" t="n"/>
    </row>
    <row r="158" ht="35.4" customHeight="1" s="30">
      <c r="A158" s="26" t="n"/>
      <c r="B158" s="26" t="n"/>
      <c r="C158" s="39" t="n"/>
      <c r="D158" s="40" t="n"/>
      <c r="E158" s="41" t="n"/>
      <c r="F158" s="41" t="n"/>
      <c r="G158" s="42" t="n"/>
      <c r="H158" s="49" t="n"/>
      <c r="I158" s="26" t="n"/>
      <c r="J158" s="26" t="n"/>
      <c r="L158" s="26" t="n"/>
      <c r="M158" s="26" t="n"/>
    </row>
    <row r="159" ht="12.75" customHeight="1" s="30">
      <c r="A159" s="26" t="n"/>
      <c r="B159" s="26" t="n"/>
      <c r="C159" s="39" t="n"/>
      <c r="D159" s="40" t="n"/>
      <c r="E159" s="41" t="n"/>
      <c r="F159" s="41" t="n"/>
      <c r="G159" s="42" t="n"/>
      <c r="H159" s="48" t="n"/>
      <c r="I159" s="26" t="n"/>
      <c r="J159" s="26" t="n"/>
      <c r="L159" s="26" t="n"/>
      <c r="M159" s="26" t="n"/>
    </row>
    <row r="160" ht="23.85" customHeight="1" s="30">
      <c r="A160" s="26" t="n"/>
      <c r="B160" s="26" t="n"/>
      <c r="C160" s="39" t="n"/>
      <c r="D160" s="40" t="n"/>
      <c r="E160" s="41" t="n"/>
      <c r="F160" s="41" t="n"/>
      <c r="G160" s="42" t="n"/>
      <c r="H160" s="49" t="n"/>
      <c r="I160" s="26" t="n"/>
      <c r="J160" s="26" t="n"/>
      <c r="L160" s="26" t="n"/>
      <c r="M160" s="26" t="n"/>
    </row>
    <row r="161" ht="12.75" customHeight="1" s="30">
      <c r="A161" s="26" t="n"/>
      <c r="B161" s="26" t="n"/>
      <c r="C161" s="39" t="n"/>
      <c r="D161" s="40" t="n"/>
      <c r="E161" s="41" t="n"/>
      <c r="F161" s="41" t="n"/>
      <c r="G161" s="42" t="n"/>
      <c r="H161" s="48" t="n"/>
      <c r="I161" s="26" t="n"/>
      <c r="J161" s="26" t="n"/>
      <c r="L161" s="26" t="n"/>
      <c r="M161" s="26" t="n"/>
    </row>
    <row r="162" ht="12.75" customHeight="1" s="30">
      <c r="A162" s="26" t="n"/>
      <c r="B162" s="26" t="n"/>
      <c r="C162" s="39" t="n"/>
      <c r="D162" s="40" t="n"/>
      <c r="E162" s="41" t="n"/>
      <c r="F162" s="41" t="n"/>
      <c r="G162" s="42" t="n"/>
      <c r="H162" s="48" t="n"/>
      <c r="I162" s="26" t="n"/>
      <c r="J162" s="26" t="n"/>
      <c r="L162" s="26" t="n"/>
      <c r="M162" s="26" t="n"/>
    </row>
    <row r="163" ht="46.25" customHeight="1" s="30">
      <c r="A163" s="26" t="n"/>
      <c r="B163" s="26" t="n"/>
      <c r="C163" s="39" t="n"/>
      <c r="D163" s="40" t="n"/>
      <c r="E163" s="41" t="n"/>
      <c r="F163" s="41" t="n"/>
      <c r="G163" s="42" t="n"/>
      <c r="H163" s="49" t="n"/>
      <c r="I163" s="26" t="n"/>
      <c r="J163" s="26" t="n"/>
      <c r="L163" s="26" t="n"/>
      <c r="M163" s="26" t="n"/>
    </row>
    <row r="164" ht="46.25" customHeight="1" s="30">
      <c r="A164" s="26" t="n"/>
      <c r="B164" s="26" t="n"/>
      <c r="C164" s="39" t="n"/>
      <c r="D164" s="40" t="n"/>
      <c r="E164" s="41" t="n"/>
      <c r="F164" s="41" t="n"/>
      <c r="G164" s="42" t="n"/>
      <c r="H164" s="49" t="n"/>
      <c r="I164" s="26" t="n"/>
      <c r="J164" s="26" t="n"/>
      <c r="L164" s="26" t="n"/>
      <c r="M164" s="26" t="n"/>
    </row>
    <row r="165" ht="12.75" customHeight="1" s="30">
      <c r="A165" s="26" t="n"/>
      <c r="B165" s="26" t="n"/>
      <c r="C165" s="39" t="n"/>
      <c r="D165" s="40" t="n"/>
      <c r="E165" s="41" t="n"/>
      <c r="F165" s="41" t="n"/>
      <c r="G165" s="42" t="n"/>
      <c r="H165" s="48" t="n"/>
      <c r="I165" s="26" t="n"/>
      <c r="J165" s="26" t="n"/>
      <c r="L165" s="26" t="n"/>
      <c r="M165" s="26" t="n"/>
    </row>
    <row r="166" ht="12.75" customHeight="1" s="30">
      <c r="A166" s="26" t="n"/>
      <c r="B166" s="26" t="n"/>
      <c r="C166" s="39" t="n"/>
      <c r="D166" s="40" t="n"/>
      <c r="E166" s="41" t="n"/>
      <c r="F166" s="41" t="n"/>
      <c r="G166" s="42" t="n"/>
      <c r="H166" s="48" t="n"/>
      <c r="I166" s="26" t="n"/>
      <c r="J166" s="26" t="n"/>
      <c r="L166" s="26" t="n"/>
      <c r="M166" s="26" t="n"/>
    </row>
    <row r="167" ht="12.75" customHeight="1" s="30">
      <c r="A167" s="26" t="n"/>
      <c r="B167" s="26" t="n"/>
      <c r="C167" s="39" t="n"/>
      <c r="D167" s="40" t="n"/>
      <c r="E167" s="41" t="n"/>
      <c r="F167" s="41" t="n"/>
      <c r="G167" s="42" t="n"/>
      <c r="H167" s="48" t="n"/>
      <c r="I167" s="26" t="n"/>
      <c r="J167" s="26" t="n"/>
      <c r="L167" s="26" t="n"/>
      <c r="M167" s="26" t="n"/>
    </row>
    <row r="168" ht="23.85" customHeight="1" s="30">
      <c r="A168" s="26" t="n"/>
      <c r="B168" s="26" t="n"/>
      <c r="C168" s="39" t="n"/>
      <c r="D168" s="40" t="n"/>
      <c r="E168" s="41" t="n"/>
      <c r="F168" s="41" t="n"/>
      <c r="G168" s="42" t="n"/>
      <c r="H168" s="49" t="n"/>
      <c r="I168" s="26" t="n"/>
      <c r="J168" s="26" t="n"/>
      <c r="L168" s="26" t="n"/>
      <c r="M168" s="26" t="n"/>
    </row>
    <row r="169" ht="12.75" customHeight="1" s="30">
      <c r="A169" s="26" t="n"/>
      <c r="B169" s="26" t="n"/>
      <c r="C169" s="39" t="n"/>
      <c r="D169" s="40" t="n"/>
      <c r="E169" s="41" t="n"/>
      <c r="F169" s="41" t="n"/>
      <c r="G169" s="42" t="n"/>
      <c r="H169" s="48" t="n"/>
      <c r="I169" s="26" t="n"/>
      <c r="J169" s="26" t="n"/>
      <c r="L169" s="26" t="n"/>
      <c r="M169" s="26" t="n"/>
    </row>
    <row r="170" ht="12.75" customHeight="1" s="30">
      <c r="A170" s="26" t="n"/>
      <c r="B170" s="26" t="n"/>
      <c r="C170" s="39" t="n"/>
      <c r="D170" s="40" t="n"/>
      <c r="E170" s="41" t="n"/>
      <c r="F170" s="41" t="n"/>
      <c r="G170" s="42" t="n"/>
      <c r="H170" s="49" t="n"/>
      <c r="I170" s="26" t="n"/>
      <c r="J170" s="26" t="n"/>
      <c r="L170" s="26" t="n"/>
      <c r="M170" s="26" t="n"/>
    </row>
    <row r="171" ht="12.75" customHeight="1" s="30">
      <c r="A171" s="26" t="n"/>
      <c r="B171" s="26" t="n"/>
      <c r="C171" s="39" t="n"/>
      <c r="D171" s="40" t="n"/>
      <c r="E171" s="41" t="n"/>
      <c r="F171" s="41" t="n"/>
      <c r="G171" s="42" t="n"/>
      <c r="H171" s="48" t="n"/>
      <c r="I171" s="26" t="n"/>
      <c r="J171" s="26" t="n"/>
      <c r="L171" s="26" t="n"/>
      <c r="M171" s="26" t="n"/>
    </row>
    <row r="172" ht="12.75" customHeight="1" s="30">
      <c r="A172" s="26" t="n"/>
      <c r="B172" s="26" t="n"/>
      <c r="C172" s="39" t="n"/>
      <c r="D172" s="40" t="n"/>
      <c r="E172" s="41" t="n"/>
      <c r="F172" s="41" t="n"/>
      <c r="G172" s="42" t="n"/>
      <c r="H172" s="48" t="n"/>
      <c r="I172" s="26" t="n"/>
      <c r="J172" s="26" t="n"/>
      <c r="L172" s="26" t="n"/>
      <c r="M172" s="26" t="n"/>
    </row>
    <row r="173" ht="23.85" customHeight="1" s="30">
      <c r="A173" s="26" t="n"/>
      <c r="B173" s="26" t="n"/>
      <c r="C173" s="39" t="n"/>
      <c r="D173" s="40" t="n"/>
      <c r="E173" s="41" t="n"/>
      <c r="F173" s="41" t="n"/>
      <c r="G173" s="42" t="n"/>
      <c r="H173" s="49" t="n"/>
      <c r="I173" s="26" t="n"/>
      <c r="J173" s="26" t="n"/>
      <c r="L173" s="26" t="n"/>
      <c r="M173" s="26" t="n"/>
    </row>
    <row r="174"/>
    <row r="175" ht="12.75" customHeight="1" s="30">
      <c r="G175" s="50" t="n"/>
    </row>
  </sheetData>
  <autoFilter ref="A1:M173">
    <filterColumn colId="0" hiddenButton="0" showButton="1">
      <filters>
        <filter val="El Pangui (Agencia)"/>
        <filter val="El Pangui Z1 (Cuadrilla. Nro. 4)"/>
        <filter val="Gualaquiza (Agencia)"/>
        <filter val="Gualaquiza Z1 (Cuadrilla. Nro. 3)"/>
        <filter val="Guayzimi Z1 (Cuadrilla. Nro. 7)"/>
        <filter val="Paquisha Z1 (Cuadrilla Nro. 10)"/>
        <filter val="Yacuambi Z1 (Cuadrilla. Nro. 8)"/>
        <filter val="Yantzaza (Agencia)"/>
        <filter val="Yantzaza Z1 (Cuadrilla. Nro. 5)"/>
        <filter val="Zamora (Agencia)"/>
        <filter val="Zamora Z1 (Cuadrilla. AP Nro. 4)"/>
        <filter val="Zamora Z1 (Cuadrilla. Nro. 6)"/>
      </filters>
    </filterColumn>
  </autoFilter>
  <conditionalFormatting sqref="A1:M1048576">
    <cfRule type="expression" rank="0" priority="2" equalAverage="0" aboveAverage="0" dxfId="6" text="" percent="0" bottom="0">
      <formula>($A1&lt;&gt;$A2)</formula>
    </cfRule>
    <cfRule type="expression" rank="0" priority="3" equalAverage="0" aboveAverage="0" dxfId="7" text="" percent="0" bottom="0">
      <formula>($C1="sábado")</formula>
    </cfRule>
    <cfRule type="expression" rank="0" priority="4" equalAverage="0" aboveAverage="0" dxfId="8" text="" percent="0" bottom="0">
      <formula>($C1="domingo")</formula>
    </cfRule>
    <cfRule type="expression" rank="0" priority="7" equalAverage="0" aboveAverage="0" dxfId="11" text="" percent="0" bottom="0">
      <formula>($E1&lt;&gt;"")*( HOUR($E1)&lt;6)</formula>
    </cfRule>
  </conditionalFormatting>
  <conditionalFormatting sqref="F1:F1048576">
    <cfRule type="expression" rank="0" priority="8" equalAverage="0" aboveAverage="0" dxfId="12" text="" percent="0" bottom="0">
      <formula>AND(HOUR($E1)&lt;8, HOUR($F1)&gt;8)</formula>
    </cfRule>
  </conditionalFormatting>
  <conditionalFormatting sqref="E1:E1048576">
    <cfRule type="expression" rank="0" priority="9" equalAverage="0" aboveAverage="0" dxfId="13" text="" percent="0" bottom="0">
      <formula>AND(HOUR($E1)&lt;17, HOUR($F1)&gt;17)</formula>
    </cfRule>
  </conditionalFormatting>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es-EC</dc:language>
  <dcterms:created xsi:type="dcterms:W3CDTF">2026-03-29T13:03:07Z</dcterms:created>
  <dcterms:modified xsi:type="dcterms:W3CDTF">2026-03-31T21:18:46Z</dcterms:modified>
  <cp:lastModifiedBy>Ernesto Palacios</cp:lastModifiedBy>
  <cp:revision>4</cp:revision>
</cp:coreProperties>
</file>