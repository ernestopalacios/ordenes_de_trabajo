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visar_primero" sheetId="1" state="visible" r:id="rId3"/>
    <sheet name="result" sheetId="2" state="visible" r:id="rId4"/>
  </sheets>
  <definedNames>
    <definedName function="false" hidden="true" localSheetId="1" name="_xlnm._FilterDatabase" vbProcedure="false">result!$A$1:$M$173</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<sst xmlns="http://schemas.openxmlformats.org/spreadsheetml/2006/main" count="1127" uniqueCount="437">
  <si>
    <t xml:space="preserve">Aplica</t>
  </si>
  <si>
    <t xml:space="preserve">Fecha</t>
  </si>
  <si>
    <t xml:space="preserve">Etiqueta</t>
  </si>
  <si>
    <t xml:space="preserve">Cuentas</t>
  </si>
  <si>
    <t xml:space="preserve">Colores</t>
  </si>
  <si>
    <t xml:space="preserve">Reglas de colores aplicadas al documento</t>
  </si>
  <si>
    <t xml:space="preserve">TODOS</t>
  </si>
  <si>
    <t xml:space="preserve">“Año Nuevo”</t>
  </si>
  <si>
    <t xml:space="preserve">sábado</t>
  </si>
  <si>
    <t xml:space="preserve">“Oriente”</t>
  </si>
  <si>
    <t xml:space="preserve"> REDES</t>
  </si>
  <si>
    <t xml:space="preserve">domingo</t>
  </si>
  <si>
    <t xml:space="preserve">“Carnaval L”</t>
  </si>
  <si>
    <t xml:space="preserve"> ALUMBRADO</t>
  </si>
  <si>
    <t xml:space="preserve">feriado</t>
  </si>
  <si>
    <t xml:space="preserve">“Carnaval M”</t>
  </si>
  <si>
    <t xml:space="preserve"> ACOMETIDAS</t>
  </si>
  <si>
    <t xml:space="preserve">madrugada</t>
  </si>
  <si>
    <t xml:space="preserve">“Viernes Santo”</t>
  </si>
  <si>
    <t xml:space="preserve"> MEDIDORES</t>
  </si>
  <si>
    <t xml:space="preserve">revisar hora inicio</t>
  </si>
  <si>
    <t xml:space="preserve">debería ser hasta 08:00 am</t>
  </si>
  <si>
    <t xml:space="preserve">“Trabajo”</t>
  </si>
  <si>
    <t xml:space="preserve"> informativa</t>
  </si>
  <si>
    <t xml:space="preserve">revisar hora final</t>
  </si>
  <si>
    <t xml:space="preserve">debería ser desde 17:00 pm</t>
  </si>
  <si>
    <t xml:space="preserve">“Pichincha”</t>
  </si>
  <si>
    <t xml:space="preserve"> transporte</t>
  </si>
  <si>
    <t xml:space="preserve">“Independencia” </t>
  </si>
  <si>
    <t xml:space="preserve"> SUBESTACION</t>
  </si>
  <si>
    <t xml:space="preserve">“Guayaquil” </t>
  </si>
  <si>
    <t xml:space="preserve"> SUBTRANSMISION</t>
  </si>
  <si>
    <t xml:space="preserve">“Difuntos”</t>
  </si>
  <si>
    <t xml:space="preserve"> Servicios_Ocasional</t>
  </si>
  <si>
    <t xml:space="preserve">“Cuenca”</t>
  </si>
  <si>
    <t xml:space="preserve"> PLANILL</t>
  </si>
  <si>
    <t xml:space="preserve">“Provincializacion”</t>
  </si>
  <si>
    <t xml:space="preserve"> Nuevos_Servici</t>
  </si>
  <si>
    <t xml:space="preserve">“Navidad”</t>
  </si>
  <si>
    <t xml:space="preserve"> se_labora</t>
  </si>
  <si>
    <t xml:space="preserve">Zamora Z1 (Cuadrilla. Nro. 6)</t>
  </si>
  <si>
    <t xml:space="preserve">“Cantonizacion”</t>
  </si>
  <si>
    <t xml:space="preserve"> lunch</t>
  </si>
  <si>
    <t xml:space="preserve">Zamora Z1 (Cuadrilla. AP Nro. 4)</t>
  </si>
  <si>
    <t xml:space="preserve"> ?</t>
  </si>
  <si>
    <t xml:space="preserve">Zamora (Agencia)</t>
  </si>
  <si>
    <t xml:space="preserve">Jefatura Zonal Zamora</t>
  </si>
  <si>
    <t xml:space="preserve">Yacuambi Z1 (Cuadrilla. Nro. 8)</t>
  </si>
  <si>
    <t xml:space="preserve">Yantzaza Z1 (Cuadrilla. Nro. 5)</t>
  </si>
  <si>
    <t xml:space="preserve">Líneas Energizadas (Cuadrilla  Nro.6)</t>
  </si>
  <si>
    <t xml:space="preserve">Yantzaza (Agencia)</t>
  </si>
  <si>
    <t xml:space="preserve">Paquisha Z1 (Cuadrilla Nro. 10)</t>
  </si>
  <si>
    <t xml:space="preserve">Guayzimi Z1 (Cuadrilla. Nro. 7)</t>
  </si>
  <si>
    <t xml:space="preserve">El Pangui Z1 (Cuadrilla. Nro. 4)</t>
  </si>
  <si>
    <t xml:space="preserve">El Pangui (Agencia)</t>
  </si>
  <si>
    <t xml:space="preserve">Gualaquiza Z1 (Cuadrilla. Nro. 3)</t>
  </si>
  <si>
    <t xml:space="preserve">“Cantonización”</t>
  </si>
  <si>
    <t xml:space="preserve">Gualaquiza (Agencia)</t>
  </si>
  <si>
    <t xml:space="preserve">Cuadrilla</t>
  </si>
  <si>
    <t xml:space="preserve">Responsable</t>
  </si>
  <si>
    <t xml:space="preserve">Dia</t>
  </si>
  <si>
    <t xml:space="preserve">InicioEvento</t>
  </si>
  <si>
    <t xml:space="preserve">FinEvento</t>
  </si>
  <si>
    <t xml:space="preserve">Duracion</t>
  </si>
  <si>
    <t xml:space="preserve">Evento</t>
  </si>
  <si>
    <t xml:space="preserve">Cuenta</t>
  </si>
  <si>
    <t xml:space="preserve">id_ot</t>
  </si>
  <si>
    <t xml:space="preserve">Items</t>
  </si>
  <si>
    <t xml:space="preserve">Num_Filas</t>
  </si>
  <si>
    <t xml:space="preserve">Archivo</t>
  </si>
  <si>
    <t xml:space="preserve">RS, JCR</t>
  </si>
  <si>
    <t xml:space="preserve">lunes</t>
  </si>
  <si>
    <t xml:space="preserve">San Carlos de las Minas, arreglo de conexiones y cambio de breaker del M# 297664 desde la Est # 245700</t>
  </si>
  <si>
    <t xml:space="preserve">ACOMETIDAS</t>
  </si>
  <si>
    <t xml:space="preserve">OT [01] Cuadrilla Zamora 2026-03-02 (007) RS.pdf</t>
  </si>
  <si>
    <t xml:space="preserve">FR, RS, LL, VZH, JCR</t>
  </si>
  <si>
    <t xml:space="preserve">martes</t>
  </si>
  <si>
    <t xml:space="preserve">Los Cedrales, se coordina con Personal de GEGEA y Centro de Maniobras, en la estructura 27803 se cierra seccionador y normaliza el servicio eléctrico</t>
  </si>
  <si>
    <t xml:space="preserve">REDES</t>
  </si>
  <si>
    <t xml:space="preserve">OT [01] Cuadrilla Zamora 2026-03-03 (006) FR.pdf</t>
  </si>
  <si>
    <t xml:space="preserve">FR, RS, JCR</t>
  </si>
  <si>
    <t xml:space="preserve">miércoles</t>
  </si>
  <si>
    <t xml:space="preserve">El Tambo, en la Est 34831 se cambia fusible de 25A-T Fase A, causa: descargas atmosféricas</t>
  </si>
  <si>
    <t xml:space="preserve">OT [01] Cuadrilla Zamora 2026-03-04 (006) FR.pdf</t>
  </si>
  <si>
    <t xml:space="preserve">Jamboe, se revisa y arregla conexión arrancada por recalentamiento del M# 18518314 desde la Est # 273221.</t>
  </si>
  <si>
    <t xml:space="preserve">OT [01] Cuadrilla Zamora 2026-03-04 (007) RS.pdf</t>
  </si>
  <si>
    <t xml:space="preserve">Napintza, previa revisión de la LMT 1F entre las estructuras 217134 y 217133 se encuentra material aglomerado de minería cerca a la LMT 1F; se hace desalojar parte del material antes de energizar, en la Est 191853 se cambia tirafusible de 25 A-T Fase C.</t>
  </si>
  <si>
    <t xml:space="preserve">OT [01] Cuadrilla Zamora 2026-03-07 (007) RS.pdf</t>
  </si>
  <si>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</si>
  <si>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</si>
  <si>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 xml:space="preserve">OT [01] Cuadrilla Zamora 2026-03-08 (007) RS.pdf</t>
  </si>
  <si>
    <t xml:space="preserve">Rio Blanco, se revisa, detecta y despeja falla en el M# 18-238241 de la Est # 210898 trafo SICAP 9579 de 5KVA. Traslado a vía Jamboe, se revisa y retira en la estructura. 273205 rama desplomada por fuertes vientos y cambia en la Est # 273612 tirafusible de 12-T.</t>
  </si>
  <si>
    <t xml:space="preserve">Tranposrte, nos trasladamos desde agencia EERSSA Zamora a la calle Diego de Vaca, continua al siguiente día.</t>
  </si>
  <si>
    <t xml:space="preserve">Zamora calle Diego de Vaca, se revisa M# 248193 y arregla recalentamiento en puente a causa de conexión floja.</t>
  </si>
  <si>
    <t xml:space="preserve">OT [01] Cuadrilla Zamora 2026-03-09 (007) RS.pdf</t>
  </si>
  <si>
    <t xml:space="preserve">FR, RS</t>
  </si>
  <si>
    <t xml:space="preserve">Agencia Zamora, se carga 2 transformadores de 15KVA para cambio en apoyo a Cuadrilla Yacuambi; desde la Agencia Zamora nos trasladamos hacia Yacuambi</t>
  </si>
  <si>
    <t xml:space="preserve">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</si>
  <si>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</si>
  <si>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 xml:space="preserve">FR, LL, VZH, JCR</t>
  </si>
  <si>
    <t xml:space="preserve">viernes</t>
  </si>
  <si>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</si>
  <si>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 xml:space="preserve">OT [01] Cuadrilla Zamora 2026-03-13 (006) FR.pdf</t>
  </si>
  <si>
    <t xml:space="preserve">LL, SO</t>
  </si>
  <si>
    <t xml:space="preserve">Sakantza, M# 18-237293 breaker dañado, se cambia breaker y se normaliza el servicio eléctrico.</t>
  </si>
  <si>
    <t xml:space="preserve">OT [01] Cuadrilla Zamora 2026-03-16 (006) FR.pdf</t>
  </si>
  <si>
    <t xml:space="preserve">San Carlos, M# 1-51490 se encuentra acometida sulfatado, se arregla y despeja la falla y se normaliza el servicio eléctrico. </t>
  </si>
  <si>
    <t xml:space="preserve">OT [01] Cuadrilla Zamora 2026-03-18 (006) FR.pdf</t>
  </si>
  <si>
    <t xml:space="preserve">jueves</t>
  </si>
  <si>
    <t xml:space="preserve">Barrio La Unión, Est # 252977 trafo 21060 de 25KVA, se habilita, acometida arrancada por vehículo, M# 233917. Namirez Bajo, M# 241868 conexiones de breaker flojas se despeja la falla. </t>
  </si>
  <si>
    <t xml:space="preserve">REDES:70, ACOMETIDAS:30</t>
  </si>
  <si>
    <t xml:space="preserve">OT [01] Cuadrilla Zamora 2026-03-19 (006) FR.pdf</t>
  </si>
  <si>
    <t xml:space="preserve">FR, VZH, JCR</t>
  </si>
  <si>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</si>
  <si>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 xml:space="preserve">REDES:90,ACOMETIDAS:10</t>
  </si>
  <si>
    <t xml:space="preserve">OT [01] Cuadrilla Zamora 2026-03-20 (006) FR.pdf</t>
  </si>
  <si>
    <t xml:space="preserve">FR, RS, GJ</t>
  </si>
  <si>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</si>
  <si>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 xml:space="preserve">SUBTRANSMISION</t>
  </si>
  <si>
    <t xml:space="preserve">OT [01] Cuadrilla Zamora 2026-03-21 (006) FR.pdf</t>
  </si>
  <si>
    <t xml:space="preserve">Desde Panguintza, nos trasladamos hacia la Agencia Zamora</t>
  </si>
  <si>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</si>
  <si>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 xml:space="preserve">OT [01] Cuadrilla Zamora 2026-03-21 (008) LL.pdf</t>
  </si>
  <si>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</si>
  <si>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 xml:space="preserve">Carmelo de Guadalupe, daño reportado por Centro de Control; reclamante Edwin Cabrera, No se pudo dar con la falla ya que es un lugar rural, oscuridad y abundante vegetación no nos permitio solucionarlo, queda pendiente para el siguiente día.</t>
  </si>
  <si>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t>
  </si>
  <si>
    <t xml:space="preserve">OT [01] Cuadrilla Zamora 2026-03-22 (006) FR.pdf</t>
  </si>
  <si>
    <t xml:space="preserve">OT [01] Cuadrilla Zamora 2026-03-22 (008) LL.pdf</t>
  </si>
  <si>
    <t xml:space="preserve">Carmelo de Guadalupe, se revisa linea al Carmelo, se cambia fusible quemado de 8A-T en la Est # 235933, se normaliza el servicio eléctrico al Carmelo.</t>
  </si>
  <si>
    <t xml:space="preserve">LM, JCH, MC</t>
  </si>
  <si>
    <t xml:space="preserve">Piuntza de Guadalupe, Est # 179690, se arregla conexiones recalentadas en bajantes del trafo 19567 de 37,5 kVA. Kantzama de Guadalupe, Est # 38462, se arregla conexiones sulfatadas del M# 18-251396.</t>
  </si>
  <si>
    <t xml:space="preserve">OT [02] Alumbrado Zamora 2026-03-10 (012) LM.pdf</t>
  </si>
  <si>
    <t xml:space="preserve">La Florida de Yantzaza, arreglo de luminarias en mal estado, traslado desde el barrio playa de La Florida hacia Zamora.</t>
  </si>
  <si>
    <t xml:space="preserve">ALUMBRADO</t>
  </si>
  <si>
    <t xml:space="preserve">OT [02] Alumbrado Zamora 2026-03-11 (012) LM.pdf</t>
  </si>
  <si>
    <t xml:space="preserve">Calle Sevilla de Oro y Francisco de Orellana, Est # 27284 se repone tirafusible 6A-T derivación monofásica de dos transformadores de 15 KVA; causa: ave electrocutada. Continua, al siguiente día.</t>
  </si>
  <si>
    <t xml:space="preserve">Calle Sevilla de Oro y Francisco de Orellana, Est # 27284 se repone tirafusible 6A-T derivación monofásica de dos transformadores de 15 KVA; causa: ave electrocutada, se verifica el servicio.</t>
  </si>
  <si>
    <t xml:space="preserve">OT [02] Alumbrado Zamora 2026-03-12 (012) LM.pdf</t>
  </si>
  <si>
    <t xml:space="preserve">LM, RY, JCH</t>
  </si>
  <si>
    <t xml:space="preserve">Sector de Campanillas, San Carlos de Las Minas en el vano entre las Est # 211768, 252347, se revisa y se arregla línea neutro picada y retorna a Zamora. </t>
  </si>
  <si>
    <t xml:space="preserve">OT [02] Alumbrado Zamora 2026-03-14 (012) LM.pdf</t>
  </si>
  <si>
    <t xml:space="preserve">RY, JCH</t>
  </si>
  <si>
    <t xml:space="preserve">La Pituca, se recorre LMT desde el arranque hasta La Pituca en Est # 38972, sin presentar novedad; Est # 38807 se encuentra fusible quemado, se presume descarga eléctrica por fuertes lluvias, se repone tirafusible 6A-T.</t>
  </si>
  <si>
    <t xml:space="preserve">OT [02] Alumbrado Zamora 2026-03-15 (013) RY.pdf</t>
  </si>
  <si>
    <t xml:space="preserve">LM, MC</t>
  </si>
  <si>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</si>
  <si>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 xml:space="preserve">OT [02] Alumbrado Zamora 2026-03-19 (012) LM.pdf</t>
  </si>
  <si>
    <t xml:space="preserve">INC No. 11041012368. Atendido, luminaria de 70 W Na en mal estado, Repotenciación, se reemplaza por 150W Na 2NP Nos trasladamos desde el barrio La Unión de Chicaña hacia Los Encuentros.</t>
  </si>
  <si>
    <t xml:space="preserve">LM, RY, JCH, MC</t>
  </si>
  <si>
    <t xml:space="preserve">Transporte desde Gualaquiza hasta Zamora luego de atender incidencias de Alumbrado,.</t>
  </si>
  <si>
    <t xml:space="preserve">OT [02] Alumbrado Zamora 2026-03-20 (012) LM.pdf</t>
  </si>
  <si>
    <t xml:space="preserve">NL, WC</t>
  </si>
  <si>
    <t xml:space="preserve">Jembuentza, se encuentra breaker de caja moldeada carbonizado de los Med 1000379108, 207709, se coordina con el cliente quien nos entrega un breaker nuevo, se restablece el servicio eléctrico.</t>
  </si>
  <si>
    <t xml:space="preserve">OT [03] Cuadrilla Yacuambi 2026-03-07 (017) NL.pdf</t>
  </si>
  <si>
    <t xml:space="preserve">Napurak, Est # 39204 se repone tirafusible 25A-T. Cambana, trafo 24856 de 15KVA, se revisa encontrando RBV pegadas por maquinaria de minería, se corrige y repone tirafusible de 0,7SR.</t>
  </si>
  <si>
    <t xml:space="preserve">OT [03] Cuadrilla Yacuambi 2026-03-08 (017) NL.pdf</t>
  </si>
  <si>
    <t xml:space="preserve">NL, WC, NR, VZH, JCR</t>
  </si>
  <si>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</si>
  <si>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 xml:space="preserve">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</si>
  <si>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</si>
  <si>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 xml:space="preserve">OT [03] Cuadrilla Yacuambi 2026-03-11 (017) NL.pdf</t>
  </si>
  <si>
    <t xml:space="preserve">NL, WC, NR</t>
  </si>
  <si>
    <t xml:space="preserve">Traslado desde Barbascal de Chivatos hasta San José Chico, se encuentra Med 1000383227 acometida arrancada por caída de vegetación, se restablece\nel servicio eléctrico.</t>
  </si>
  <si>
    <t xml:space="preserve">OT [03] Cuadrilla Yacuambi 2026-03-13 (017) NL.pdf</t>
  </si>
  <si>
    <t xml:space="preserve">Piuntza Alto de La Paz, en la Est # 276154 se abre puentes de LBT para división de circuitos, en la Est 275803 se viste transformador SICAP 17242 de 10KVA, se retorna a Yacuambi.</t>
  </si>
  <si>
    <t xml:space="preserve">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</si>
  <si>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</si>
  <si>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 xml:space="preserve">REDES:50, ACOMETIDAS:50</t>
  </si>
  <si>
    <t xml:space="preserve">OT [03] Cuadrilla Yacuambi 2026-03-20 (017) NL.pdf</t>
  </si>
  <si>
    <t xml:space="preserve">En Agencia Zamora, se coordina trabajos con el Ing Anderw Quezada, se equipa vehículo de herramientas, materiales, sector Chamico se labora en conjunto con la Cuadrilla de Loja trabajos planificados de la LST Cumbaratza Yantzaza.</t>
  </si>
  <si>
    <t xml:space="preserve">OT [03] Cuadrilla Yacuambi 2026-03-21 (017) NL.pdf</t>
  </si>
  <si>
    <t xml:space="preserve">Chamico, se continua con labores con la Cuadrilla de Loja trabajos planificados de la LST Cumbaratza Yantzaza.</t>
  </si>
  <si>
    <t xml:space="preserve">OT [03] Cuadrilla Yacuambi 2026-03-22 (017) NL.pdf</t>
  </si>
  <si>
    <t xml:space="preserve">WC, NR</t>
  </si>
  <si>
    <t xml:space="preserve">Traslado desde Bodega hasta Kantzama Bajo, en la Est # 70782 se revisa y repone tirafusible de 0,4SR del transformador SICAP 18219 de 5KVA, se revisa se repone.</t>
  </si>
  <si>
    <t xml:space="preserve">OT [03] Cuadrilla Yacuambi 2026-03-22 (018) WC.pdf</t>
  </si>
  <si>
    <t xml:space="preserve">SB, JLC</t>
  </si>
  <si>
    <t xml:space="preserve">Barrio Klever Herrera, se reajusta conexiones de medidor 23435 bornera recalentada, se informa que es necesario restituir breker trifásico de 50 A, se reestablece el servicio.</t>
  </si>
  <si>
    <t xml:space="preserve">OT [04] Cuadrilla Yantzaza 2026-03-01 (021) SB.pdf</t>
  </si>
  <si>
    <t xml:space="preserve">La Delicia, estructura 161991, se rehabilita transformador # 7129 de 10KVA a las 20:00. Causa: sobrecarga temporal.</t>
  </si>
  <si>
    <t xml:space="preserve">AA, RCL</t>
  </si>
  <si>
    <t xml:space="preserve">Vista Hermosa, estructura 64365, se rehabilita el trafo 17252 de 10 KVA, se verifica que todo quede normalizado.</t>
  </si>
  <si>
    <t xml:space="preserve">OT [04] Cuadrilla Yantzaza 2026-03-09 (022) AA.pdf</t>
  </si>
  <si>
    <t xml:space="preserve">Vista Hermosa, se revisa el medidor 1000410526, se encuentra con breaker en mal estado, el cliente adquiere un nuevo y se lo repone.</t>
  </si>
  <si>
    <t xml:space="preserve">San Juan de Chicaña, estructura 280028, se resetea el transformador 7049 de 10 KVA por sobrecarga. </t>
  </si>
  <si>
    <t xml:space="preserve">OT [04] Cuadrilla Yantzaza 2026-03-12 (022) AA.pdf</t>
  </si>
  <si>
    <t xml:space="preserve">Los Encuentros, medidor 18-208577, se encuentra cortado por falta de pago, queda sin servicios hasta su cancelación.</t>
  </si>
  <si>
    <t xml:space="preserve">OT [04] Cuadrilla Yantzaza 2026-03-13 (022) AA.pdf</t>
  </si>
  <si>
    <t xml:space="preserve">Nos trasladamos de la agencia Yantzaza a Los Encuentros, por falla del Reconectador Bellavista, continúa.</t>
  </si>
  <si>
    <t xml:space="preserve">Se recorre y revisa, entre las estructura 31834 y 31835 se encuentra un derrumbo en la vía y un árbol sobre la LMT 3Ø, se retira el árbol, se cierra los seccionadores en la estructura 31578 y se normaliza el servicio.</t>
  </si>
  <si>
    <t xml:space="preserve">OT [04] Cuadrilla Yantzaza 2026-03-14 (022) AA.pdf</t>
  </si>
  <si>
    <t xml:space="preserve">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</si>
  <si>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</si>
  <si>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</si>
  <si>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 xml:space="preserve">OT [04] Cuadrilla Yantzaza 2026-03-15 (022) AA.pdf</t>
  </si>
  <si>
    <t xml:space="preserve">San Francisco, estructura 273816, se revisa el medidor 20222056199, se ajusta las borneras del breaker y medidor, se resetea el breaker.</t>
  </si>
  <si>
    <t xml:space="preserve">SB, GT</t>
  </si>
  <si>
    <t xml:space="preserve">La Centza, estructura 33907 se encuentra fusible quemado en derivación al mismo sector, se revisa y encuentra vegetación, se repone tirafusible\nde 25A- K.</t>
  </si>
  <si>
    <t xml:space="preserve">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</si>
  <si>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</si>
  <si>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 xml:space="preserve">OT [04] Cuadrilla Yantzaza 2026-03-17 (021) SB.pdf</t>
  </si>
  <si>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</si>
  <si>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 xml:space="preserve">OT [04] Cuadrilla Yantzaza 2026-03-18 (021) SB.pdf</t>
  </si>
  <si>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</si>
  <si>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 xml:space="preserve">OT [04] Cuadrilla Yantzaza 2026-03-19 (021) SB.pdf</t>
  </si>
  <si>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</si>
  <si>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 xml:space="preserve">OT [04] Cuadrilla Yantzaza 2026-03-20 (021) SB.pdf</t>
  </si>
  <si>
    <t xml:space="preserve">SB, AO, GT, JLC, LP, PCH</t>
  </si>
  <si>
    <t xml:space="preserve">En Agencia Yantzaza, trabajos programados en LST Cumbaratza - Yantzaza, en San Pablo, trabajos en  Est 221761. 221760 montaje de extensiones y reubicación de crucetas.</t>
  </si>
  <si>
    <t xml:space="preserve">OT [04] Cuadrilla Yantzaza 2026-03-21 (021) SB.pdf</t>
  </si>
  <si>
    <t xml:space="preserve">Yantzaza, calles 1 de Diciembre e Ivan Riofrio reajuste de conexiones del medidor 1000022485. </t>
  </si>
  <si>
    <t xml:space="preserve">El Mirador del Pincho, estructura 32516 se rehabilita transformador # 12475 de 5KVA a las 21.00 Causa: acometida de medidor: 282887 en cortocircuito.</t>
  </si>
  <si>
    <t xml:space="preserve">Subestación Yantzaza, por trabajos planificados, en coordinación con el Centro de Maniobras se procede al cierre de puesta tierra. Chimbutza, estructura 227441, se empalma, monta y regula la segunda fase de la RBV, se rehabilita el transformador 14693 de 15 KVA.</t>
  </si>
  <si>
    <t xml:space="preserve">OT [04] Cuadrilla Yantzaza 2026-03-21 (022) AA.pdf</t>
  </si>
  <si>
    <t xml:space="preserve">Subestación Yantzaza, por presentarse una falla en la LMT alimentador Yantzaza damos apoyo en trabajos a la Cuadrilla Energizada.</t>
  </si>
  <si>
    <t xml:space="preserve">Subestación Yantzaza, se ejecuta maniobras en coordinacion con el Centro de Control.</t>
  </si>
  <si>
    <t xml:space="preserve">San Pablo, en estructura 221764-221765 se inician trabajos programados, montaje de extensiones y reubicación de crucetas de LST Cumbaratza. Yantzaza 69 Kv, en estructura: 221764-64.</t>
  </si>
  <si>
    <t xml:space="preserve">OT [04] Cuadrilla Yantzaza 2026-03-22 (021) SB.pdf</t>
  </si>
  <si>
    <t xml:space="preserve">En Chimbutza, estructura 32287, se rehabilita Trafo # 99933 de 10 KVA, causa: sobrecarga.</t>
  </si>
  <si>
    <t xml:space="preserve">GLE</t>
  </si>
  <si>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</si>
  <si>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 xml:space="preserve">REDES, REDES</t>
  </si>
  <si>
    <t xml:space="preserve">OT [05] Energizados Yantzaza 2026-03-02 (027) LA.pdf</t>
  </si>
  <si>
    <t xml:space="preserve">San Roque: estructura # 311147 se puentea derivación monofasica, se abre y cierra puentes y realiza maniobras para des energiza un tramo de linea de media tension para entrar con linea a las nuevas estructu</t>
  </si>
  <si>
    <t xml:space="preserve">OT [05] Energizados Yantzaza 2026-03-03 (027) LA.pdf</t>
  </si>
  <si>
    <t xml:space="preserve">Agencia El Pangui: Se carga combustible ya que hay en la Agencia Yantzaza y retiro de solicitud de materiales y retorno a la Yantzaza. Laboran: LA, CB, RM, CO de 06:30 a 18:00 SR de 08:00 a 18:00. CCH- LOJA. Kilometraje canasta 2-21: Inicial: 122710 final:122766</t>
  </si>
  <si>
    <t xml:space="preserve">informativa</t>
  </si>
  <si>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</si>
  <si>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 xml:space="preserve">OT [05] Energizados Yantzaza 2026-03-04 (027) LA.pdf</t>
  </si>
  <si>
    <t xml:space="preserve">Gualaquiza: Se coordina con Ing. Jonny Márquez , focalizadores y contratista de obras de la Empresa se realiza inspecciones para realizar trabajos con lineas energizadas.</t>
  </si>
  <si>
    <t xml:space="preserve">OT [05] Energizados Yantzaza 2026-03-05 (027) LA.pdf</t>
  </si>
  <si>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</si>
  <si>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 xml:space="preserve">OT [05] Energizados Yantzaza 2026-03-06 (027) LA.pdf</t>
  </si>
  <si>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</si>
  <si>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 xml:space="preserve">?</t>
  </si>
  <si>
    <t xml:space="preserve">OT [05] Energizados Yantzaza 2026-03-09 (027) LA.pdf</t>
  </si>
  <si>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</si>
  <si>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 xml:space="preserve">OT [05] Energizados Yantzaza 2026-03-10 (027) LA.pdf</t>
  </si>
  <si>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</si>
  <si>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 xml:space="preserve">OT [05] Energizados Yantzaza 2026-03-11 (027) LA.pdf</t>
  </si>
  <si>
    <t xml:space="preserve">Edificio Central se coordina trabajos con el Ing, Jorge Zaruma y Nelson Sanmartin hasta las 18: 00 y viaje de retorno a Yantzaza. Laboran: LA, CB, RM, CO, SR, de 08:00 a 21:00. Kilometraje canasta 2-146 : inicial : 777 final: 883</t>
  </si>
  <si>
    <t xml:space="preserve">OT [05] Energizados Yantzaza 2026-03-16 (027) LA.pdf</t>
  </si>
  <si>
    <t xml:space="preserve">Yantzaza - Vía Tutupali.</t>
  </si>
  <si>
    <t xml:space="preserve">transporte</t>
  </si>
  <si>
    <t xml:space="preserve">OT [05] Energizados Yantzaza 2026-03-17 (027) LA.pdf</t>
  </si>
  <si>
    <t xml:space="preserve">estructura # 128815, se pasa linea existente a nueva estructura, se instala estribo, se retira estructura existente, se instala seccionador y cruceta de 1,20m para derivación, cierra puentes.</t>
  </si>
  <si>
    <t xml:space="preserve">Redondel Gualaquiza: Se realiza el izado de una estructura entre # 181599- 179231 de 12m de 2000kg.</t>
  </si>
  <si>
    <t xml:space="preserve">OT [05] Energizados Yantzaza 2026-03-18 (027) LA.pdf</t>
  </si>
  <si>
    <t xml:space="preserve">Bomboiza: estructura # 250241 se instala seccionador fusible y estribo para derivacion monofásica. Laboran: LA, CB, RM, CO, SR de 08:00 a 18:00. se pernota en Gualaquiza. Kilometraje canasta 2-146: inicial: 970 final: 1026</t>
  </si>
  <si>
    <t xml:space="preserve">OT [05] Energizados Yantzaza 2026-03-19 (027) LA.pdf</t>
  </si>
  <si>
    <t xml:space="preserve">Se elabora OT. Se coordina trabajos con el Jefe inmediato y centro de control. Bomboiza: Se realiza maniobras en reguladores de voltaje, mallado interno del Alimentador las Peñas y Reconectodor Nueva Tarquí.</t>
  </si>
  <si>
    <t xml:space="preserve">OT [05] Energizados Yantzaza 2026-03-20 (027) LA.pdf</t>
  </si>
  <si>
    <t xml:space="preserve">Gualaquiza - Subestación Yantzaza - Yantzaza. Laboran: LA, CB, RM, CO, SR de 07:00 a 19:45. Retorno Yantzaza. Kilometraje canasta 2- 146: Inicial: 1026 final: 1120</t>
  </si>
  <si>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</si>
  <si>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 xml:space="preserve">OT [05] Energizados Yantzaza 2026-03-21 (027) LA.pdf</t>
  </si>
  <si>
    <t xml:space="preserve">JA, MS</t>
  </si>
  <si>
    <t xml:space="preserve">La Libertad, se revisa el M# 260878 y se encuentra el tubo doblado, se corta 3 metros de acometida y se empalma quedando normal.</t>
  </si>
  <si>
    <t xml:space="preserve">OT [06] Cuadrilla Paquisha 2026-03-02 (034) JA.pdf</t>
  </si>
  <si>
    <t xml:space="preserve">JA, DG</t>
  </si>
  <si>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</si>
  <si>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 xml:space="preserve">OT [06] Cuadrilla Paquisha 2026-03-07 (034) JA.pdf</t>
  </si>
  <si>
    <t xml:space="preserve">El Placer, estructura # 32450 se encuentra el Trafo # 8113 de 5KVA bloqueado se revisa la red de BV no se encuentra ninguna novedad, se reconecta sin novedad.</t>
  </si>
  <si>
    <t xml:space="preserve">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</si>
  <si>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</si>
  <si>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 xml:space="preserve">OT [06] Cuadrilla Paquisha 2026-03-15 (034) JA.pdf</t>
  </si>
  <si>
    <t xml:space="preserve">DG, MS</t>
  </si>
  <si>
    <t xml:space="preserve">La Independencia, estructura 29595, acometida en cortocircuito, se empalma y se rehabilita trafo # 17676 de 5KVA. Paquisha, Med # 1000417813, estructura 29679, acometida acometida arrancada por paso de maquinaria desconocida, se cambia 75 m. </t>
  </si>
  <si>
    <t xml:space="preserve">OT [06] Cuadrilla Paquisha 2026-03-17 (036) DG.pdf</t>
  </si>
  <si>
    <t xml:space="preserve">Zumbi, estructura 235266, se rehabilita transformador # 10844 Causa: sobrecarga, se verifica que se encuentre normal el servicio. </t>
  </si>
  <si>
    <t xml:space="preserve">OT [06] Cuadrilla Paquisha 2026-03-18 (036) DG.pdf</t>
  </si>
  <si>
    <t xml:space="preserve">La Wintza, se cambia 50m de linea #2 en la estructura 219893, se rehabilita transformador #15033 de 10 KVA,causa: paso de maquinaria.</t>
  </si>
  <si>
    <t xml:space="preserve">OT [06] Cuadrilla Paquisha 2026-03-19 (036) DG.pdf</t>
  </si>
  <si>
    <t xml:space="preserve">JA, DG, MS, JJ</t>
  </si>
  <si>
    <t xml:space="preserve">San Pablo, se colabora a la cuadrilla de Línea energizada trabajos planificados en la linea de subtransmision 69KV. </t>
  </si>
  <si>
    <t xml:space="preserve">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</si>
  <si>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</si>
  <si>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 xml:space="preserve">Zumbi, ejecución del plan de maniobras. Paquisha, estructura 29846, se cambia conectores y se reajusta todas las conexiones del trafo # 7002, se rehabilita, causa: conectores en mal estado</t>
  </si>
  <si>
    <t xml:space="preserve">OT [06] Cuadrilla Paquisha 2026-03-22 (036) DG.pdf</t>
  </si>
  <si>
    <t xml:space="preserve">Paquisha, estructura 28938 ejecución del plan de maniobras, se espera confirmación por parte de Centro de Control y ejecuta maniobras.</t>
  </si>
  <si>
    <t xml:space="preserve">CQ, JL</t>
  </si>
  <si>
    <t xml:space="preserve">La Wintza, Santa Elena, inspección nocturna de las luminarias en mal estado ubicadas en las redes de distribución del AP La Saquea.</t>
  </si>
  <si>
    <t xml:space="preserve">OT [07] Cuadrilla Guayzimi 2026-03-02 (038) CQ.pdf</t>
  </si>
  <si>
    <t xml:space="preserve">CQ, AC, JL</t>
  </si>
  <si>
    <t xml:space="preserve">El Miasi - Guayzimi, estructura 33005 arregla acometida arrancada de medidor 1000378182 por paso de vehículo plataforma versión de abonado.</t>
  </si>
  <si>
    <t xml:space="preserve">OT [07] Cuadrilla Guayzimi 2026-03-03 (038) CQ.pdf</t>
  </si>
  <si>
    <t xml:space="preserve">Transporte a Mariposa, Alto Nangaritza, Est 61956 tirafusible quemado toma medidas de seguridad se recorre en bote rio Nangaritza. </t>
  </si>
  <si>
    <t xml:space="preserve">OT [07] Cuadrilla Guayzimi 2026-03-04 (038) CQ.pdf</t>
  </si>
  <si>
    <t xml:space="preserve">Mariposa, trabajos de reubicación de estructura a lugar mas seguro, finalizados los trabajos retornamos al punto de arranque estructura 61956 se repone tirafusible de 6A-T.</t>
  </si>
  <si>
    <t xml:space="preserve">San Jose, estructura 32981 tirafusible quemado Causa: fuertes lluvias, se repone tirafusible de 12A-T.</t>
  </si>
  <si>
    <t xml:space="preserve">OT [07] Cuadrilla Guayzimi 2026-03-05 (038) CQ.pdf</t>
  </si>
  <si>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</si>
  <si>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 xml:space="preserve">OT [07] Cuadrilla Guayzimi 2026-03-08 (038) CQ.pdf</t>
  </si>
  <si>
    <t xml:space="preserve">Guayzimi, estructura 32995 revisa transformador Sicap 22768 de 25KVA abierto, causa; LBT arrancada, vehículo con carga elevada tramo estructura 329996 - 32997, se corrige y rehabilita.</t>
  </si>
  <si>
    <t xml:space="preserve">OT [07] Cuadrilla Guayzimi 2026-03-16 (038) CQ.pdf</t>
  </si>
  <si>
    <t xml:space="preserve">Transporte desde Selva Alegre a Guayzimi, En Guayzimi estructura 33135, revisa medidor 268509 causa: Tablero de medidor destruido por arco eléctrico y medidor quemado, se habilita servicio directo para posterior arreglo de tablero y cambio de medidor.</t>
  </si>
  <si>
    <t xml:space="preserve">OT [07] Cuadrilla Guayzimi 2026-03-17 (038) CQ.pdf</t>
  </si>
  <si>
    <t xml:space="preserve">Transporte de Selva Alegre - Guayzimi, estructura 32925 arregla acometida arrancada por paso de vehículo de medidor 1000366373.</t>
  </si>
  <si>
    <t xml:space="preserve">OT [07] Cuadrilla Guayzimi 2026-03-20 (038) CQ.pdf</t>
  </si>
  <si>
    <t xml:space="preserve">CQ</t>
  </si>
  <si>
    <t xml:space="preserve">Guayzimi, se rehabilita transformador # 8107 de 5KVA Causa: LBT F1 y F2 enredada. Santa Elena, estructura 34236 se revisa medidor 1000370303 por falla conexiones con sulfato de salida del breaker del medidor.</t>
  </si>
  <si>
    <t xml:space="preserve">OT [07] Cuadrilla Guayzimi 2026-03-21 (038) CQ.pdf</t>
  </si>
  <si>
    <t xml:space="preserve">Guayzimi, estructura 25430, se rehabilita transformador # OID18252 de 5KVA, Causa: conexión informal, versión abonados.</t>
  </si>
  <si>
    <t xml:space="preserve">LV, FA, AS</t>
  </si>
  <si>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</si>
  <si>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 xml:space="preserve">OT [08] Cuadrilla El Pangui 2026-03-01 (043) LV.pdf</t>
  </si>
  <si>
    <t xml:space="preserve">Chuchumbletza, estructura 32025 transformador 12595 de 10kva, se realiza el arreglo de la acometida arrancada del medidor nro 234177, causa maquinaria retroexcavadora.</t>
  </si>
  <si>
    <t xml:space="preserve">HM, AS</t>
  </si>
  <si>
    <t xml:space="preserve">Soldado Rivera, se revisa hasta la estructura 127607, se encuentra con servicio normal, queda pendiente revisar hacia la estructura 127611 por falta de tiempo y por ser lejano, queda pendiente. </t>
  </si>
  <si>
    <t xml:space="preserve">OT [08] Cuadrilla El Pangui 2026-03-02 (042) HM.pdf</t>
  </si>
  <si>
    <t xml:space="preserve">HM, LV, AS</t>
  </si>
  <si>
    <t xml:space="preserve">Chantzas, estructura 178710, Medidor 240186, se arregla acometida arrancada por caída de árbol. </t>
  </si>
  <si>
    <t xml:space="preserve">OT [08] Cuadrilla El Pangui 2026-03-05 (042) HM.pdf</t>
  </si>
  <si>
    <t xml:space="preserve">HM, AD, AS</t>
  </si>
  <si>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</si>
  <si>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 xml:space="preserve">REDES:90, ACOMETIDAS:10</t>
  </si>
  <si>
    <t xml:space="preserve">OT [08] Cuadrilla El Pangui 2026-03-07 (042) HM.pdf</t>
  </si>
  <si>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</si>
  <si>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 xml:space="preserve">OT [08] Cuadrilla El Pangui 2026-03-08 (042) HM.pdf</t>
  </si>
  <si>
    <t xml:space="preserve">HM, LV, AD, AS</t>
  </si>
  <si>
    <t xml:space="preserve">Traslado desde Soldado Rivera hasta El Pangui, estructura 27990, medidor # 232158 se resetea el breaker general. Causa: cortocircuito interno</t>
  </si>
  <si>
    <t xml:space="preserve">OT [08] Cuadrilla El Pangui 2026-03-10 (042) HM.pdf</t>
  </si>
  <si>
    <t xml:space="preserve">LV, FA</t>
  </si>
  <si>
    <t xml:space="preserve">El Pangui, estructura 27990 transformador de 37.5 kva nro 25442, se encuentra los conectores de la bajante del bushing en mal estado, se cambia.</t>
  </si>
  <si>
    <t xml:space="preserve">OT [08] Cuadrilla El Pangui 2026-03-14 (043) LV.pdf</t>
  </si>
  <si>
    <t xml:space="preserve">LV, FA, MS</t>
  </si>
  <si>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</si>
  <si>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 xml:space="preserve">Traslado a Gualaquiza, se colabora en arreglo de RBV daño ocasionado por vehículo desconocido.</t>
  </si>
  <si>
    <t xml:space="preserve">OT [08] Cuadrilla El Pangui 2026-03-15 (043) LV.pdf</t>
  </si>
  <si>
    <t xml:space="preserve">Traslado desde Gualaquiza al sector El Mirador, entre los postes 32521 a 32523 se encuentra arrancada RBV ocasionado por maquinaria desconocida, se realiza empalmado y montaje de la linea; Se energiza trafo 16799 de 10kva.</t>
  </si>
  <si>
    <t xml:space="preserve">HM, AD</t>
  </si>
  <si>
    <t xml:space="preserve">El Pangui, la estructura 227941 se rehabilita el transformador # 23783 de 37.5 KVA; Causa: desconocida</t>
  </si>
  <si>
    <t xml:space="preserve">OT [08] Cuadrilla El Pangui 2026-03-16 (042) HM.pdf</t>
  </si>
  <si>
    <t xml:space="preserve">HM, AS, LV</t>
  </si>
  <si>
    <t xml:space="preserve">Quebrada del Miassi, estructura 27106 se desbroza vegetación y se arregla LMT arrancada por caída de árbol. Santa Rosa, estructura 281526 se repone tirafusible 6-K; Causa: vegetación.</t>
  </si>
  <si>
    <t xml:space="preserve">OT [08] Cuadrilla El Pangui 2026-03-17 (042) HM.pdf</t>
  </si>
  <si>
    <t xml:space="preserve">Tsarunts, zona rural, se revisa la LMV y en la estructura 195097 se encuentra 1 aislador pin 56-1 fogoneado, se planifica para cambiarlo el día de mañana, via cerrada por derrumbes dificulta maniobras de desenergización.</t>
  </si>
  <si>
    <t xml:space="preserve">OT [08] Cuadrilla El Pangui 2026-03-19 (042) HM.pdf</t>
  </si>
  <si>
    <t xml:space="preserve">Atención de daños en Tsarunts, desde El Pangui hasta Valle Hermoso (Yantzaza) a causa de que no hay paso por El Guismi.</t>
  </si>
  <si>
    <t xml:space="preserve">OT [08] Cuadrilla El Pangui 2026-03-20 (042) HM.pdf</t>
  </si>
  <si>
    <t xml:space="preserve">El Pangui, estructura 28013 se rehabilita el transformador 22234 de 37.5 kVA; Causa: sobrecarga; censo de cargas N: 12A; F1: 149; F2: 160. </t>
  </si>
  <si>
    <t xml:space="preserve">CLP, GC</t>
  </si>
  <si>
    <t xml:space="preserve">San Francisco, se revisa red de MV desde la estructura 254209 hasta 220990, se cambia tirafusible en Est # 128372 de 15 A-K.</t>
  </si>
  <si>
    <t xml:space="preserve">OT [09] Cuadrilla Gualaquiza 2026-03-01 (047) CLP.pdf</t>
  </si>
  <si>
    <t xml:space="preserve">Guayusal, se revisa red de MV desde la estructura 128372 hasta 128632 se retira vegetación entre la estructura 128629 - 12828, se cambia tirafusible de 15 A-K en la estructura 128372</t>
  </si>
  <si>
    <t xml:space="preserve">Barrio La Unión, se recorre RBV, se cambia fusible NH quemados, en la estructura 40554, en el transformador# 40611 de 45 kVA; Causa: sobrecarga. Calle Cuenca, via al porton, se revisa RBV y se rehabilita transformador 15790 de 25 kVA en la estructura 268490.</t>
  </si>
  <si>
    <t xml:space="preserve">FG, CLP, MA</t>
  </si>
  <si>
    <t xml:space="preserve">San Francisco, se revisa red de MV y se encuentra conexión del seccionador floja en estructura 128476; se empalma linea picada por conexión floja de la grapa, se ajusta puente del seccionador,  Se repone fusible de 12A-T.</t>
  </si>
  <si>
    <t xml:space="preserve">OT [09] Cuadrilla Gualaquiza 2026-03-02 (045) FG.pdf</t>
  </si>
  <si>
    <t xml:space="preserve">Sector Zapotillo, se desbroza vegetación, se realiza montaje de transformador de 10 kVA, se coloca puesta a tierra. Traslado a Cuchipamba, se cierra seccionador en estructura 128090, se verifica voltajes.</t>
  </si>
  <si>
    <t xml:space="preserve">OT [09] Cuadrilla Gualaquiza 2026-03-03 (045) FG.pdf</t>
  </si>
  <si>
    <t xml:space="preserve">FG, CLP</t>
  </si>
  <si>
    <t xml:space="preserve">Sector Pasaje, se revisa medidor 1000422986 estructura 500641 red subterránea, se encuentra conector flojo en transformador 10474 de 50 kva estructura 26845, se ajusta conexión</t>
  </si>
  <si>
    <t xml:space="preserve">OT [09] Cuadrilla Gualaquiza 2026-03-04 (045) FG.pdf</t>
  </si>
  <si>
    <t xml:space="preserve">Las Peñas, en la estructura 64727 se encuentra roto el neutro, se realiza trocha, se empalma linea, se arregla acometidas sueltas; Causa: linea rota por caída de árbol</t>
  </si>
  <si>
    <t xml:space="preserve">OT [09] Cuadrilla Gualaquiza 2026-03-05 (045) FG.pdf</t>
  </si>
  <si>
    <t xml:space="preserve">FG, MA</t>
  </si>
  <si>
    <t xml:space="preserve">El Belén, en la estructura 127785 se revisa RBV se resetea el transformador 5994 de 5 Kva, conectando normal el servicio. Causa: sobrecarga temporal. </t>
  </si>
  <si>
    <t xml:space="preserve">OT [09] Cuadrilla Gualaquiza 2026-03-06 (045) FG.pdf</t>
  </si>
  <si>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</si>
  <si>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 xml:space="preserve">OT [09] Cuadrilla Gualaquiza 2026-03-07 (045) FG.pdf</t>
  </si>
  <si>
    <t xml:space="preserve">La Pradera, en la estructura 265102 se revisa RBV, moradores informan que maquina había chocado los cables, se resetea transformador 16877 de 15 Kva en estructura 257670.</t>
  </si>
  <si>
    <t xml:space="preserve">OT [09] Cuadrilla Gualaquiza 2026-03-08 (045) FG.pdf</t>
  </si>
  <si>
    <t xml:space="preserve">El Rosario, se realiza montaje del transformador 27201 de 15 Kva, mismo sector, estructura 128717 se revisa conexiones; traslado a la agencia.</t>
  </si>
  <si>
    <t xml:space="preserve">OT [09] Cuadrilla Gualaquiza 2026-03-12 (045) FG.pdf</t>
  </si>
  <si>
    <t xml:space="preserve">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</si>
  <si>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</si>
  <si>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 xml:space="preserve">OT [09] Cuadrilla Gualaquiza 2026-03-14 (062) GC.pdf</t>
  </si>
  <si>
    <t xml:space="preserve">La Pradera, desbroce de maleza de la estructura 127909 a 127907 tráfo 10602, se empalma RBV arrancada por árboles y vegetación, se normaliza servicio.</t>
  </si>
  <si>
    <t xml:space="preserve">Sevilla, se revisa RBV conectores flojos en transformador # 15698 estructura 40408, se procede a ajustar y se normaliza servicio.</t>
  </si>
  <si>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</si>
  <si>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 xml:space="preserve">OT [09] Cuadrilla Gualaquiza 2026-03-15 (062) GC.pdf</t>
  </si>
  <si>
    <t xml:space="preserve">Sevilla, se revisa RBV y acometidas desde la estructura 40408, 42846 y 42844; se detecta cortocircuito en acometida interna del medidor 2014203866, se informa al cliente y se resetea transformador # 15698 estructura 40408.</t>
  </si>
  <si>
    <t xml:space="preserve">FG, MA, CLP</t>
  </si>
  <si>
    <t xml:space="preserve">Tutus, se revisa red de MV se encuentra quemado fusible en arranque, se repone fusible de 1,2-SR , en la estructura 91980 se verifica que todo este normal. </t>
  </si>
  <si>
    <t xml:space="preserve">OT [09] Cuadrilla Gualaquiza 2026-03-18 (045) FG.pdf</t>
  </si>
  <si>
    <t xml:space="preserve">CLP, MA</t>
  </si>
  <si>
    <t xml:space="preserve">El Rosario, se recorre red de BV, se localiza vegetación, se retira y se cambia tirafusible de 1.3 A SR en la Est 128717; Transformador 27201.</t>
  </si>
  <si>
    <t xml:space="preserve">OT [09] Cuadrilla Gualaquiza 2026-03-18 (047) CLP.pdf</t>
  </si>
  <si>
    <t xml:space="preserve">La Unión, se revisa red de BV, conexiones de bajantes de transformador 15925 (3ø) en las estructras 303738- 040594, reseteamos breker trifásico, medimos cargas. F1: 105A F2: 160A F3: 145A.</t>
  </si>
  <si>
    <t xml:space="preserve">OT [09] Cuadrilla Gualaquiza 2026-03-19 (047) CLP.pdf</t>
  </si>
  <si>
    <t xml:space="preserve">Tsaurunts, en coordinacion con Henry Mendieta y Ing. Quezada se apoya a reparar red de MV, Traslado a Tsarunts, se realiza revison de Estructura 195097, cambio de aislador Pin 56-1 y se amarra la linea, se corta enredaderas de los tensores.</t>
  </si>
  <si>
    <t xml:space="preserve">OT [09] Cuadrilla Gualaquiza 2026-03-20 (045) FG.pdf</t>
  </si>
  <si>
    <t xml:space="preserve">Shiramentza, estructura 68960 se revisa red de BV se resetea transformador de 5 kVA, se verifica que todo este normal. Causa: sobrecarga.</t>
  </si>
  <si>
    <t xml:space="preserve">San Miguel, se atiende emergencia por choque de vehiculo en estructura 208978, se coordina con centro de control para abrir seccionadores, se asegura estructura 208978 se amarra lineas.</t>
  </si>
  <si>
    <t xml:space="preserve">OT [09] Cuadrilla Gualaquiza 2026-03-21 (045) FG.pdf</t>
  </si>
  <si>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</si>
  <si>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 xml:space="preserve">San Jose de Piuntz, conector suelto, falta de una fase, se cambia conector del transformador 18865 de 37.5 kVA en la estructura 195168, se retrasan los trabajos por esperar a que se realicen maniobras en LST 69kV.</t>
  </si>
  <si>
    <t xml:space="preserve">OT [09] Cuadrilla Gualaquiza 2026-03-21 (047) CLP.pdf</t>
  </si>
  <si>
    <t xml:space="preserve">Calle 12 de febrero y Cuenca, cortocircuito, se realiza cambio de breker quemado del medidor 207015 se restablece servicio.</t>
  </si>
  <si>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</si>
  <si>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 xml:space="preserve">Proveduria - Tutus, se recorre LMV, desde la partida hasta Tutus, se retira vegetación, estructura 161619 - 161620; se cambia tirafusible de 12 A-K por uno de 12 A-T, en la estructura 127160.</t>
  </si>
  <si>
    <t xml:space="preserve">OT [09] Cuadrilla Gualaquiza 2026-03-22 (047) CLP.pdf</t>
  </si>
  <si>
    <t xml:space="preserve">Sakanas, se retira lata en la red de MV en la estructura 33308, cambiamos tirafusible de 6A-T en la estructura 244338.</t>
  </si>
  <si>
    <t xml:space="preserve">GJ, SO</t>
  </si>
  <si>
    <t xml:space="preserve">Guadalupe, se reubica y se restituye medidor por display quemado 1000021836 por el 18-258945 Nota: no se puede avanzar con el trabajo por fuerte temporal invernal.</t>
  </si>
  <si>
    <t xml:space="preserve">OT [21] Agencia Zamora 2026-03-04 (050) GJ.pdf</t>
  </si>
  <si>
    <t xml:space="preserve">GJ, LL, SO, VZH</t>
  </si>
  <si>
    <t xml:space="preserve">Antenas del Líbano, realizando la restitución del medidor 18-258946 y en la estructura 27507 se coloca un seccionador portafusible.</t>
  </si>
  <si>
    <t xml:space="preserve">OT [21] Agencia Zamora 2026-03-05 (050) GJ.pdf</t>
  </si>
  <si>
    <t xml:space="preserve">GJ, RS</t>
  </si>
  <si>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</si>
  <si>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 xml:space="preserve">OT [21] Agencia Zamora 2026-03-06 (050) GJ.pdf</t>
  </si>
  <si>
    <t xml:space="preserve">GJ, LL</t>
  </si>
  <si>
    <t xml:space="preserve">San José del Progreso, se realiza inspección para N/S solicitado por el Sr. Manuel Jiménez. El Progreso, se realiza inspección para S/O solicitado por el Sr Santos Rodríguez, estructura 28704.</t>
  </si>
  <si>
    <t xml:space="preserve">OT [21] Agencia Zamora 2026-03-12 (050) GJ.pdf</t>
  </si>
  <si>
    <t xml:space="preserve">LP, PCH</t>
  </si>
  <si>
    <t xml:space="preserve">Chimbutza, se revisa y se restea breaker del medidor 18-230465. Ungumiatza, se revisa y se reconecta el transformador # 7080 de 5 kva estructura 30626. Zumbi, se revisa y se cambia 12 metros de acometida recalentada de los medidores # 268446 y 214951.</t>
  </si>
  <si>
    <t xml:space="preserve">OT [22] Agencia Yantzaza 2026-03-02 (056) LP.pdf</t>
  </si>
  <si>
    <t xml:space="preserve">PCH, LP</t>
  </si>
  <si>
    <t xml:space="preserve">San Juan de Chicaña,  estructura # 280028 transformador 7049 de 10 kVA, se revisa la RBV, no se encuentra novedad, se rehabilita transformador.</t>
  </si>
  <si>
    <t xml:space="preserve">OT [22] Agencia Yantzaza 2026-03-04 (055) PCH.pdf</t>
  </si>
  <si>
    <t xml:space="preserve">Los Hachos, se recorre la línea y se repone tirafusible de 12 A-K en la estructura 274794 y se normaliza el servicio sin novedad.</t>
  </si>
  <si>
    <t xml:space="preserve">OT [22] Agencia Yantzaza 2026-03-04 (056) LP.pdf</t>
  </si>
  <si>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</si>
  <si>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 xml:space="preserve">OT [22] Agencia Yantzaza 2026-03-06 (056) LP.pdf</t>
  </si>
  <si>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</si>
  <si>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 xml:space="preserve">OT [22] Agencia Yantzaza 2026-03-07 (055) PCH.pdf</t>
  </si>
  <si>
    <t xml:space="preserve">PCH, DG</t>
  </si>
  <si>
    <t xml:space="preserve">La Delicia, estructura 161991, se rehabilita el transformador 7129, causa: sobrecarga.</t>
  </si>
  <si>
    <t xml:space="preserve">El Dorado, se encuentra sin servicio, causa borneras sobrecalentadas del medidor 1000386109, ajuste de borneras,  se normaliza el servicio.</t>
  </si>
  <si>
    <t xml:space="preserve">OT [22] Agencia Yantzaza 2026-03-08 (055) PCH.pdf</t>
  </si>
  <si>
    <t xml:space="preserve">RCL, PCH</t>
  </si>
  <si>
    <t xml:space="preserve">Zumbi, se instala Servicio Ocasional para el Coliseo.</t>
  </si>
  <si>
    <t xml:space="preserve">OT [22] Agencia Yantzaza 2026-03-18 (054) RCL.pdf</t>
  </si>
  <si>
    <t xml:space="preserve">FA, AD</t>
  </si>
  <si>
    <t xml:space="preserve">Tundayme, acometida arrancada del medidor 1000363577, se restituye acometida y caja plástica destruidas por paso de volqueta. El Pangui, medidor# 145868 sin energía, se arregla acometida arrancada por sulfatación en empalme, se normaliza el servicio.</t>
  </si>
  <si>
    <t xml:space="preserve">OT [23] Agencia El Pangui 2026-03-02 (058) FA.pdf</t>
  </si>
  <si>
    <t xml:space="preserve">El Pangui, se recorre RBV no se encuentra ninguna novedad, se resetea el transformador 22234 de 37.5 KVA en el estructura 28013.</t>
  </si>
  <si>
    <t xml:space="preserve">OT [23] Agencia El Pangui 2026-03-03 (058) FA.pdf</t>
  </si>
  <si>
    <t xml:space="preserve">GC, RCL</t>
  </si>
  <si>
    <t xml:space="preserve">Gualaquiza, arreglo de acometida medidor 125930, Estructura 128638 y se resetea trafo # 14217 estructura 128632.</t>
  </si>
  <si>
    <t xml:space="preserve">OT [24] Agencia Gualaquiza 2026-03-10 (062) GC.pdf</t>
  </si>
  <si>
    <t xml:space="preserve">GC, CB</t>
  </si>
  <si>
    <t xml:space="preserve">Guayusal, revision RBV estructura 255873, 255866, retiro de ramas en la estructura 219743 - Transformador 23459 de 10KVA, estructura 255869.</t>
  </si>
  <si>
    <t xml:space="preserve">Luis Casiragui y Velasco Ibarra, estructura 303745 revision medidor 213468, revision y arreglo LBT, estructura 040553 cambio NHs quemado fases A/B, reestablece servicio.</t>
  </si>
  <si>
    <t xml:space="preserve">OT [24] Agencia Gualaquiza 2026-03-13 (061) CB.pdf</t>
  </si>
  <si>
    <t xml:space="preserve">Guayusal, revision RBV, estructura 218078, 218105 limpieza arboles sobre la red, estructura 255869 energizacion transformador 23459 de 10 kVA. Kunchaime, estructura 204231, arreglo acometida medidor 1000026966, arrancada por caida de arbol.</t>
  </si>
</sst>
</file>

<file path=xl/styles.xml><?xml version="1.0" encoding="utf-8"?>
<styleSheet xmlns="http://schemas.openxmlformats.org/spreadsheetml/2006/main">
  <numFmts count="7">
    <numFmt numFmtId="164" formatCode="General"/>
    <numFmt numFmtId="165" formatCode="dddd&quot;,  &quot;dd&quot; de &quot;mmmm&quot; de &quot;yyyy"/>
    <numFmt numFmtId="166" formatCode="dd/mm/yy"/>
    <numFmt numFmtId="167" formatCode="dd/mmm\ yyyy"/>
    <numFmt numFmtId="168" formatCode="hh:mm"/>
    <numFmt numFmtId="169" formatCode="[$-F400]h:mm:ss\ AM/PM"/>
    <numFmt numFmtId="170"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4"/>
      <name val="Arial"/>
      <family val="2"/>
      <charset val="1"/>
    </font>
    <font>
      <sz val="10"/>
      <color rgb="FF000000"/>
      <name val="Arial"/>
      <family val="0"/>
      <charset val="1"/>
    </font>
  </fonts>
  <fills count="9">
    <fill>
      <patternFill patternType="none"/>
    </fill>
    <fill>
      <patternFill patternType="gray125"/>
    </fill>
    <fill>
      <patternFill patternType="solid">
        <fgColor rgb="FFB4C7DC"/>
        <bgColor rgb="FFCCCCFF"/>
      </patternFill>
    </fill>
    <fill>
      <patternFill patternType="solid">
        <fgColor theme="8" tint="0.7998"/>
        <bgColor rgb="FFFFFFFF"/>
      </patternFill>
    </fill>
    <fill>
      <patternFill patternType="solid">
        <fgColor theme="8" tint="0.5998"/>
        <bgColor rgb="FFFFD546"/>
      </patternFill>
    </fill>
    <fill>
      <patternFill patternType="solid">
        <fgColor theme="4" tint="0.7998"/>
        <bgColor rgb="FFCCFFFF"/>
      </patternFill>
    </fill>
    <fill>
      <patternFill patternType="solid">
        <fgColor theme="5" tint="0.7998"/>
        <bgColor rgb="FFCCFFFF"/>
      </patternFill>
    </fill>
    <fill>
      <patternFill patternType="solid">
        <fgColor theme="9" tint="0.7998"/>
        <bgColor rgb="FFFFF1C1"/>
      </patternFill>
    </fill>
    <fill>
      <patternFill patternType="solid">
        <fgColor theme="9" tint="0.5998"/>
        <bgColor rgb="FFFF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1"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4" fillId="2" borderId="0" xfId="0" applyFont="true" applyBorder="false" applyAlignment="true" applyProtection="true">
      <alignment horizontal="left" vertical="bottom" textRotation="0" wrapText="false" indent="1" shrinkToFit="false"/>
      <protection locked="true" hidden="false"/>
    </xf>
    <xf numFmtId="166" fontId="0" fillId="3" borderId="0" xfId="0" applyFont="false" applyBorder="false" applyAlignment="true" applyProtection="true">
      <alignment horizontal="general" vertical="bottom" textRotation="0" wrapText="false" indent="0" shrinkToFit="false"/>
      <protection locked="true" hidden="false"/>
    </xf>
    <xf numFmtId="166" fontId="0" fillId="4"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66" fontId="0" fillId="7" borderId="0" xfId="0" applyFont="false" applyBorder="false" applyAlignment="true" applyProtection="true">
      <alignment horizontal="general" vertical="bottom" textRotation="0" wrapText="false" indent="0" shrinkToFit="false"/>
      <protection locked="true" hidden="false"/>
    </xf>
    <xf numFmtId="166"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center" vertical="bottom" textRotation="0" wrapText="false" indent="0" shrinkToFit="false"/>
      <protection locked="true" hidden="false"/>
    </xf>
    <xf numFmtId="168" fontId="0" fillId="0" borderId="0" xfId="0" applyFont="false" applyBorder="false" applyAlignment="true" applyProtection="true">
      <alignment horizontal="center" vertical="bottom" textRotation="0" wrapText="false" indent="0" shrinkToFit="false"/>
      <protection locked="true" hidden="false"/>
    </xf>
    <xf numFmtId="169"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1"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8" fontId="4" fillId="0" borderId="0" xfId="0" applyFont="true" applyBorder="false" applyAlignment="true" applyProtection="true">
      <alignment horizontal="center" vertical="bottom" textRotation="0" wrapText="false" indent="0" shrinkToFit="false"/>
      <protection locked="true" hidden="false"/>
    </xf>
    <xf numFmtId="169" fontId="4" fillId="0" borderId="0" xfId="0" applyFont="true" applyBorder="false" applyAlignment="true" applyProtection="true">
      <alignment horizontal="left" vertical="bottom" textRotation="0" wrapText="false" indent="1"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70"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BBE6FE"/>
          <bgColor rgb="FF000000"/>
        </patternFill>
      </fill>
    </dxf>
    <dxf>
      <fill>
        <patternFill patternType="solid">
          <fgColor rgb="FFFFD546"/>
          <bgColor rgb="FF000000"/>
        </patternFill>
      </fill>
    </dxf>
    <dxf>
      <fill>
        <patternFill patternType="solid">
          <fgColor rgb="FFFFF1C1"/>
          <bgColor rgb="FF000000"/>
        </patternFill>
      </fill>
    </dxf>
    <dxf>
      <fill>
        <patternFill patternType="solid">
          <bgColor rgb="FF000000"/>
        </patternFill>
      </fill>
    </dxf>
    <dxf>
      <fill>
        <patternFill patternType="solid">
          <fgColor rgb="FFF8CFCE"/>
          <bgColor rgb="FF000000"/>
        </patternFill>
      </fill>
    </dxf>
    <dxf>
      <fill>
        <patternFill patternType="solid">
          <fgColor rgb="FF000000"/>
          <bgColor rgb="FF000000"/>
        </patternFill>
      </fill>
    </dxf>
    <dxf>
      <border diagonalUp="false" diagonalDown="false">
        <left/>
        <right/>
        <top/>
        <bottom style="thin"/>
        <diagonal/>
      </border>
    </dxf>
    <dxf>
      <fill>
        <patternFill>
          <bgColor theme="8" tint="0.7998"/>
        </patternFill>
      </fill>
    </dxf>
    <dxf>
      <fill>
        <patternFill>
          <bgColor theme="8" tint="0.3998"/>
        </patternFill>
      </fill>
    </dxf>
    <dxf>
      <fill>
        <patternFill>
          <bgColor theme="4" tint="0.7998"/>
        </patternFill>
      </fill>
    </dxf>
    <dxf>
      <fill>
        <patternFill>
          <bgColor theme="4" tint="0.7998"/>
        </patternFill>
      </fill>
    </dxf>
    <dxf>
      <fill>
        <patternFill>
          <bgColor theme="5" tint="0.7998"/>
        </patternFill>
      </fill>
    </dxf>
    <dxf>
      <fill>
        <patternFill>
          <bgColor theme="9" tint="0.5998"/>
        </patternFill>
      </fill>
    </dxf>
    <dxf>
      <fill>
        <patternFill>
          <bgColor theme="9" tint="0.799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1" sqref="B128:B130 A1"/>
    </sheetView>
  </sheetViews>
  <sheetFormatPr defaultColWidth="11.5703125" defaultRowHeight="12.75" customHeight="false" zeroHeight="false" outlineLevelRow="0" outlineLevelCol="0"/>
  <cols>
    <col collapsed="false" customWidth="true" hidden="false" outlineLevel="0" max="1" min="1" style="1" width="43.14"/>
    <col collapsed="false" customWidth="true" hidden="false" outlineLevel="0" max="2" min="2" style="2" width="35.14"/>
    <col collapsed="false" customWidth="true" hidden="false" outlineLevel="0" max="3" min="3" style="1" width="23"/>
    <col collapsed="false" customWidth="true" hidden="false" outlineLevel="0" max="4" min="4" style="3" width="29.71"/>
    <col collapsed="false" customWidth="true" hidden="false" outlineLevel="0" max="5" min="5" style="4" width="15.85"/>
    <col collapsed="false" customWidth="true" hidden="false" outlineLevel="0" max="6" min="6" style="1" width="18.71"/>
    <col collapsed="false" customWidth="true" hidden="false" outlineLevel="0" max="7" min="7" style="3" width="32.86"/>
    <col collapsed="false" customWidth="true" hidden="false" outlineLevel="0" max="8" min="8" style="4" width="15.85"/>
    <col collapsed="false" customWidth="true" hidden="false" outlineLevel="0" max="9" min="9" style="1" width="17.57"/>
  </cols>
  <sheetData>
    <row r="1" customFormat="false" ht="31.5" hidden="false" customHeight="true" outlineLevel="0" collapsed="false">
      <c r="A1" s="5" t="s">
        <v>0</v>
      </c>
      <c r="B1" s="5" t="s">
        <v>1</v>
      </c>
      <c r="C1" s="5" t="s">
        <v>2</v>
      </c>
      <c r="D1" s="5" t="s">
        <v>3</v>
      </c>
      <c r="E1" s="5" t="s">
        <v>4</v>
      </c>
      <c r="G1" s="5" t="s">
        <v>5</v>
      </c>
    </row>
    <row r="2" customFormat="false" ht="12.75" hidden="false" customHeight="false" outlineLevel="0" collapsed="false">
      <c r="A2" s="6" t="s">
        <v>6</v>
      </c>
      <c r="B2" s="2" t="n">
        <v>46023</v>
      </c>
      <c r="C2" s="1" t="s">
        <v>7</v>
      </c>
      <c r="E2" s="7"/>
      <c r="F2" s="1" t="s">
        <v>8</v>
      </c>
    </row>
    <row r="3" customFormat="false" ht="12.75" hidden="false" customHeight="false" outlineLevel="0" collapsed="false">
      <c r="A3" s="6" t="s">
        <v>6</v>
      </c>
      <c r="B3" s="2" t="n">
        <v>46066</v>
      </c>
      <c r="C3" s="1" t="s">
        <v>9</v>
      </c>
      <c r="D3" s="3" t="s">
        <v>10</v>
      </c>
      <c r="E3" s="8"/>
      <c r="F3" s="1" t="s">
        <v>11</v>
      </c>
    </row>
    <row r="4" customFormat="false" ht="12.75" hidden="false" customHeight="false" outlineLevel="0" collapsed="false">
      <c r="A4" s="6" t="s">
        <v>6</v>
      </c>
      <c r="B4" s="2" t="n">
        <v>46069</v>
      </c>
      <c r="C4" s="1" t="s">
        <v>12</v>
      </c>
      <c r="D4" s="3" t="s">
        <v>13</v>
      </c>
      <c r="E4" s="9"/>
      <c r="F4" s="1" t="s">
        <v>14</v>
      </c>
    </row>
    <row r="5" customFormat="false" ht="12.75" hidden="false" customHeight="false" outlineLevel="0" collapsed="false">
      <c r="A5" s="6" t="s">
        <v>6</v>
      </c>
      <c r="B5" s="2" t="n">
        <v>46070</v>
      </c>
      <c r="C5" s="1" t="s">
        <v>15</v>
      </c>
      <c r="D5" s="3" t="s">
        <v>16</v>
      </c>
      <c r="E5" s="10"/>
      <c r="F5" s="1" t="s">
        <v>17</v>
      </c>
    </row>
    <row r="6" customFormat="false" ht="12.75" hidden="false" customHeight="false" outlineLevel="0" collapsed="false">
      <c r="A6" s="6" t="s">
        <v>6</v>
      </c>
      <c r="B6" s="2" t="n">
        <v>46115</v>
      </c>
      <c r="C6" s="1" t="s">
        <v>18</v>
      </c>
      <c r="D6" s="3" t="s">
        <v>19</v>
      </c>
      <c r="E6" s="11"/>
      <c r="F6" s="1" t="s">
        <v>20</v>
      </c>
      <c r="G6" s="3" t="s">
        <v>21</v>
      </c>
    </row>
    <row r="7" customFormat="false" ht="12.75" hidden="false" customHeight="false" outlineLevel="0" collapsed="false">
      <c r="A7" s="6" t="s">
        <v>6</v>
      </c>
      <c r="B7" s="2" t="n">
        <v>46143</v>
      </c>
      <c r="C7" s="1" t="s">
        <v>22</v>
      </c>
      <c r="D7" s="3" t="s">
        <v>23</v>
      </c>
      <c r="E7" s="12"/>
      <c r="F7" s="1" t="s">
        <v>24</v>
      </c>
      <c r="G7" s="3" t="s">
        <v>25</v>
      </c>
    </row>
    <row r="8" customFormat="false" ht="12.75" hidden="false" customHeight="false" outlineLevel="0" collapsed="false">
      <c r="A8" s="6" t="s">
        <v>6</v>
      </c>
      <c r="B8" s="2" t="n">
        <v>46167</v>
      </c>
      <c r="C8" s="1" t="s">
        <v>26</v>
      </c>
      <c r="D8" s="3" t="s">
        <v>27</v>
      </c>
    </row>
    <row r="9" customFormat="false" ht="12.75" hidden="false" customHeight="false" outlineLevel="0" collapsed="false">
      <c r="A9" s="6" t="s">
        <v>6</v>
      </c>
      <c r="B9" s="2" t="n">
        <v>46244</v>
      </c>
      <c r="C9" s="1" t="s">
        <v>28</v>
      </c>
      <c r="D9" s="3" t="s">
        <v>29</v>
      </c>
    </row>
    <row r="10" customFormat="false" ht="12.75" hidden="false" customHeight="false" outlineLevel="0" collapsed="false">
      <c r="A10" s="6" t="s">
        <v>6</v>
      </c>
      <c r="B10" s="2" t="n">
        <v>46304</v>
      </c>
      <c r="C10" s="1" t="s">
        <v>30</v>
      </c>
      <c r="D10" s="3" t="s">
        <v>31</v>
      </c>
    </row>
    <row r="11" customFormat="false" ht="12.75" hidden="false" customHeight="false" outlineLevel="0" collapsed="false">
      <c r="A11" s="6" t="s">
        <v>6</v>
      </c>
      <c r="B11" s="2" t="n">
        <v>46328</v>
      </c>
      <c r="C11" s="1" t="s">
        <v>32</v>
      </c>
      <c r="D11" s="3" t="s">
        <v>33</v>
      </c>
    </row>
    <row r="12" customFormat="false" ht="12.75" hidden="false" customHeight="false" outlineLevel="0" collapsed="false">
      <c r="A12" s="6" t="s">
        <v>6</v>
      </c>
      <c r="B12" s="2" t="n">
        <v>46329</v>
      </c>
      <c r="C12" s="1" t="s">
        <v>34</v>
      </c>
      <c r="D12" s="3" t="s">
        <v>35</v>
      </c>
    </row>
    <row r="13" customFormat="false" ht="12.75" hidden="false" customHeight="false" outlineLevel="0" collapsed="false">
      <c r="A13" s="6" t="s">
        <v>6</v>
      </c>
      <c r="B13" s="2" t="n">
        <v>46335</v>
      </c>
      <c r="C13" s="1" t="s">
        <v>36</v>
      </c>
      <c r="D13" s="3" t="s">
        <v>37</v>
      </c>
    </row>
    <row r="14" customFormat="false" ht="12.75" hidden="false" customHeight="false" outlineLevel="0" collapsed="false">
      <c r="A14" s="6" t="s">
        <v>6</v>
      </c>
      <c r="B14" s="2" t="n">
        <v>46381</v>
      </c>
      <c r="C14" s="1" t="s">
        <v>38</v>
      </c>
      <c r="D14" s="3" t="s">
        <v>39</v>
      </c>
    </row>
    <row r="15" customFormat="false" ht="12.75" hidden="false" customHeight="false" outlineLevel="0" collapsed="false">
      <c r="A15" s="6" t="s">
        <v>40</v>
      </c>
      <c r="B15" s="2" t="n">
        <v>46300</v>
      </c>
      <c r="C15" s="1" t="s">
        <v>41</v>
      </c>
      <c r="D15" s="3" t="s">
        <v>42</v>
      </c>
    </row>
    <row r="16" customFormat="false" ht="12.75" hidden="false" customHeight="false" outlineLevel="0" collapsed="false">
      <c r="A16" s="6" t="s">
        <v>43</v>
      </c>
      <c r="B16" s="2" t="n">
        <v>46300</v>
      </c>
      <c r="C16" s="1" t="s">
        <v>41</v>
      </c>
      <c r="D16" s="3" t="s">
        <v>44</v>
      </c>
    </row>
    <row r="17" customFormat="false" ht="12.75" hidden="false" customHeight="false" outlineLevel="0" collapsed="false">
      <c r="A17" s="6" t="s">
        <v>45</v>
      </c>
      <c r="B17" s="2" t="n">
        <v>46300</v>
      </c>
      <c r="C17" s="1" t="s">
        <v>41</v>
      </c>
    </row>
    <row r="18" customFormat="false" ht="12.75" hidden="false" customHeight="false" outlineLevel="0" collapsed="false">
      <c r="A18" s="6" t="s">
        <v>46</v>
      </c>
      <c r="B18" s="2" t="n">
        <v>46300</v>
      </c>
      <c r="C18" s="1" t="s">
        <v>41</v>
      </c>
    </row>
    <row r="19" customFormat="false" ht="12.75" hidden="false" customHeight="false" outlineLevel="0" collapsed="false">
      <c r="A19" s="6" t="s">
        <v>47</v>
      </c>
      <c r="B19" s="2" t="n">
        <v>46031</v>
      </c>
      <c r="C19" s="1" t="s">
        <v>41</v>
      </c>
    </row>
    <row r="20" customFormat="false" ht="12.75" hidden="false" customHeight="false" outlineLevel="0" collapsed="false">
      <c r="A20" s="6" t="s">
        <v>48</v>
      </c>
      <c r="B20" s="2" t="n">
        <v>46080</v>
      </c>
      <c r="C20" s="1" t="s">
        <v>41</v>
      </c>
    </row>
    <row r="21" customFormat="false" ht="12.75" hidden="false" customHeight="false" outlineLevel="0" collapsed="false">
      <c r="A21" s="6" t="s">
        <v>49</v>
      </c>
      <c r="B21" s="2" t="n">
        <v>46080</v>
      </c>
      <c r="C21" s="1" t="s">
        <v>41</v>
      </c>
    </row>
    <row r="22" customFormat="false" ht="12.75" hidden="false" customHeight="false" outlineLevel="0" collapsed="false">
      <c r="A22" s="6" t="s">
        <v>50</v>
      </c>
      <c r="B22" s="2" t="n">
        <v>46080</v>
      </c>
      <c r="C22" s="1" t="s">
        <v>41</v>
      </c>
    </row>
    <row r="23" customFormat="false" ht="12.75" hidden="false" customHeight="false" outlineLevel="0" collapsed="false">
      <c r="A23" s="6" t="s">
        <v>51</v>
      </c>
      <c r="B23" s="2" t="n">
        <v>46319</v>
      </c>
      <c r="C23" s="1" t="s">
        <v>41</v>
      </c>
    </row>
    <row r="24" customFormat="false" ht="12.75" hidden="false" customHeight="false" outlineLevel="0" collapsed="false">
      <c r="A24" s="6" t="s">
        <v>52</v>
      </c>
      <c r="B24" s="2" t="n">
        <v>46353</v>
      </c>
      <c r="C24" s="1" t="s">
        <v>41</v>
      </c>
    </row>
    <row r="25" customFormat="false" ht="12.75" hidden="false" customHeight="false" outlineLevel="0" collapsed="false">
      <c r="A25" s="6" t="s">
        <v>53</v>
      </c>
      <c r="B25" s="2" t="n">
        <v>46065</v>
      </c>
      <c r="C25" s="1" t="s">
        <v>41</v>
      </c>
    </row>
    <row r="26" customFormat="false" ht="12.75" hidden="false" customHeight="false" outlineLevel="0" collapsed="false">
      <c r="A26" s="6" t="s">
        <v>54</v>
      </c>
      <c r="B26" s="2" t="n">
        <v>46065</v>
      </c>
      <c r="C26" s="1" t="s">
        <v>41</v>
      </c>
    </row>
    <row r="27" customFormat="false" ht="12.75" hidden="false" customHeight="false" outlineLevel="0" collapsed="false">
      <c r="A27" s="6" t="s">
        <v>55</v>
      </c>
      <c r="B27" s="2" t="n">
        <v>46251</v>
      </c>
      <c r="C27" s="1" t="s">
        <v>56</v>
      </c>
    </row>
    <row r="28" customFormat="false" ht="12.75" hidden="false" customHeight="false" outlineLevel="0" collapsed="false">
      <c r="A28" s="6" t="s">
        <v>57</v>
      </c>
      <c r="B28" s="2" t="n">
        <v>46251</v>
      </c>
      <c r="C28" s="1" t="s">
        <v>56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5"/>
  <sheetViews>
    <sheetView showFormulas="false" showGridLines="true" showRowColHeaders="true" showZeros="true" rightToLeft="false" tabSelected="true" showOutlineSymbols="true" defaultGridColor="true" view="normal" topLeftCell="A110" colorId="64" zoomScale="80" zoomScaleNormal="80" zoomScalePageLayoutView="100" workbookViewId="0">
      <selection pane="topLeft" activeCell="B128" activeCellId="0" sqref="B128:B130"/>
    </sheetView>
  </sheetViews>
  <sheetFormatPr defaultColWidth="11.5703125" defaultRowHeight="12.75" customHeight="false" zeroHeight="false" outlineLevelRow="0" outlineLevelCol="0"/>
  <cols>
    <col collapsed="false" customWidth="true" hidden="false" outlineLevel="0" max="1" min="1" style="1" width="31.57"/>
    <col collapsed="false" customWidth="true" hidden="false" outlineLevel="0" max="2" min="2" style="1" width="39.71"/>
    <col collapsed="false" customWidth="true" hidden="false" outlineLevel="0" max="3" min="3" style="13" width="14.42"/>
    <col collapsed="false" customWidth="true" hidden="false" outlineLevel="0" max="4" min="4" style="14" width="16.57"/>
    <col collapsed="false" customWidth="true" hidden="false" outlineLevel="0" max="5" min="5" style="15" width="14.57"/>
    <col collapsed="false" customWidth="true" hidden="false" outlineLevel="0" max="6" min="6" style="15" width="13.42"/>
    <col collapsed="false" customWidth="true" hidden="false" outlineLevel="0" max="7" min="7" style="16" width="19.71"/>
    <col collapsed="false" customWidth="true" hidden="false" outlineLevel="0" max="8" min="8" style="17" width="170.29"/>
    <col collapsed="false" customWidth="true" hidden="false" outlineLevel="0" max="9" min="9" style="1" width="38"/>
    <col collapsed="false" customWidth="true" hidden="false" outlineLevel="0" max="10" min="10" style="1" width="7.42"/>
    <col collapsed="false" customWidth="true" hidden="false" outlineLevel="0" max="12" min="11" style="1" width="10.14"/>
    <col collapsed="false" customWidth="true" hidden="false" outlineLevel="0" max="13" min="13" style="1" width="55.86"/>
  </cols>
  <sheetData>
    <row r="1" customFormat="false" ht="12.75" hidden="false" customHeight="false" outlineLevel="0" collapsed="false">
      <c r="A1" s="3" t="s">
        <v>58</v>
      </c>
      <c r="B1" s="3" t="s">
        <v>59</v>
      </c>
      <c r="C1" s="18" t="s">
        <v>60</v>
      </c>
      <c r="D1" s="19" t="s">
        <v>1</v>
      </c>
      <c r="E1" s="20" t="s">
        <v>61</v>
      </c>
      <c r="F1" s="20" t="s">
        <v>62</v>
      </c>
      <c r="G1" s="21" t="s">
        <v>63</v>
      </c>
      <c r="H1" s="3" t="s">
        <v>64</v>
      </c>
      <c r="I1" s="3" t="s">
        <v>65</v>
      </c>
      <c r="J1" s="3" t="s">
        <v>66</v>
      </c>
      <c r="K1" s="3" t="s">
        <v>67</v>
      </c>
      <c r="L1" s="3" t="s">
        <v>68</v>
      </c>
      <c r="M1" s="3" t="s">
        <v>69</v>
      </c>
    </row>
    <row r="2" customFormat="false" ht="12.75" hidden="false" customHeight="false" outlineLevel="0" collapsed="false">
      <c r="A2" s="1" t="s">
        <v>40</v>
      </c>
      <c r="B2" s="1" t="s">
        <v>70</v>
      </c>
      <c r="C2" s="13" t="s">
        <v>71</v>
      </c>
      <c r="D2" s="14" t="n">
        <v>46083</v>
      </c>
      <c r="E2" s="15" t="n">
        <v>0.89375</v>
      </c>
      <c r="F2" s="22" t="n">
        <v>0.999305555555556</v>
      </c>
      <c r="G2" s="16" t="n">
        <f aca="false">F2-E2</f>
        <v>0.105555555555556</v>
      </c>
      <c r="H2" s="23" t="s">
        <v>72</v>
      </c>
      <c r="I2" s="1" t="s">
        <v>73</v>
      </c>
      <c r="J2" s="1" t="n">
        <v>172309</v>
      </c>
      <c r="L2" s="1" t="n">
        <v>3</v>
      </c>
      <c r="M2" s="1" t="s">
        <v>74</v>
      </c>
    </row>
    <row r="3" customFormat="false" ht="12.75" hidden="false" customHeight="false" outlineLevel="0" collapsed="false">
      <c r="A3" s="1" t="s">
        <v>40</v>
      </c>
      <c r="B3" s="1" t="s">
        <v>75</v>
      </c>
      <c r="C3" s="13" t="s">
        <v>76</v>
      </c>
      <c r="D3" s="14" t="n">
        <v>46084</v>
      </c>
      <c r="E3" s="15" t="n">
        <v>0.708333333333333</v>
      </c>
      <c r="F3" s="22" t="n">
        <v>0.779861111111111</v>
      </c>
      <c r="G3" s="16" t="n">
        <f aca="false">F3-E3</f>
        <v>0.0715277777777778</v>
      </c>
      <c r="H3" s="17" t="s">
        <v>77</v>
      </c>
      <c r="I3" s="1" t="s">
        <v>78</v>
      </c>
      <c r="J3" s="1" t="n">
        <v>171915</v>
      </c>
      <c r="L3" s="1" t="n">
        <v>1</v>
      </c>
      <c r="M3" s="1" t="s">
        <v>79</v>
      </c>
    </row>
    <row r="4" customFormat="false" ht="12.75" hidden="false" customHeight="false" outlineLevel="0" collapsed="false">
      <c r="A4" s="1" t="s">
        <v>40</v>
      </c>
      <c r="B4" s="1" t="s">
        <v>80</v>
      </c>
      <c r="C4" s="13" t="s">
        <v>81</v>
      </c>
      <c r="D4" s="14" t="n">
        <v>46085</v>
      </c>
      <c r="E4" s="15" t="n">
        <v>0.28125</v>
      </c>
      <c r="F4" s="22" t="n">
        <v>0.333333333333333</v>
      </c>
      <c r="G4" s="16" t="n">
        <f aca="false">F4-E4</f>
        <v>0.0520833333333333</v>
      </c>
      <c r="H4" s="23" t="s">
        <v>82</v>
      </c>
      <c r="I4" s="1" t="s">
        <v>78</v>
      </c>
      <c r="J4" s="1" t="n">
        <v>172008</v>
      </c>
      <c r="L4" s="1" t="n">
        <v>2</v>
      </c>
      <c r="M4" s="1" t="s">
        <v>83</v>
      </c>
    </row>
    <row r="5" customFormat="false" ht="12.75" hidden="false" customHeight="false" outlineLevel="0" collapsed="false">
      <c r="A5" s="1" t="s">
        <v>40</v>
      </c>
      <c r="B5" s="1" t="s">
        <v>70</v>
      </c>
      <c r="C5" s="13" t="s">
        <v>81</v>
      </c>
      <c r="D5" s="14" t="n">
        <v>46085</v>
      </c>
      <c r="E5" s="15" t="n">
        <v>0.852083333333333</v>
      </c>
      <c r="F5" s="22" t="n">
        <v>0.914583333333333</v>
      </c>
      <c r="G5" s="16" t="n">
        <f aca="false">F5-E5</f>
        <v>0.0625</v>
      </c>
      <c r="H5" s="23" t="s">
        <v>84</v>
      </c>
      <c r="I5" s="1" t="s">
        <v>73</v>
      </c>
      <c r="J5" s="1" t="n">
        <v>172310</v>
      </c>
      <c r="L5" s="1" t="n">
        <v>3</v>
      </c>
      <c r="M5" s="1" t="s">
        <v>85</v>
      </c>
    </row>
    <row r="6" customFormat="false" ht="34.5" hidden="false" customHeight="true" outlineLevel="0" collapsed="false">
      <c r="A6" s="1" t="s">
        <v>40</v>
      </c>
      <c r="B6" s="1" t="s">
        <v>70</v>
      </c>
      <c r="C6" s="13" t="s">
        <v>8</v>
      </c>
      <c r="D6" s="14" t="n">
        <v>46088</v>
      </c>
      <c r="E6" s="15" t="n">
        <v>0.423611111111111</v>
      </c>
      <c r="F6" s="22" t="n">
        <v>0.567361111111111</v>
      </c>
      <c r="G6" s="16" t="n">
        <f aca="false">F6-E6</f>
        <v>0.14375</v>
      </c>
      <c r="H6" s="24" t="s">
        <v>86</v>
      </c>
      <c r="I6" s="1" t="s">
        <v>78</v>
      </c>
      <c r="J6" s="1" t="n">
        <v>172367</v>
      </c>
      <c r="L6" s="1" t="n">
        <v>3</v>
      </c>
      <c r="M6" s="1" t="s">
        <v>87</v>
      </c>
    </row>
    <row r="7" customFormat="false" ht="23.85" hidden="false" customHeight="false" outlineLevel="0" collapsed="false">
      <c r="A7" s="1" t="s">
        <v>40</v>
      </c>
      <c r="B7" s="1" t="s">
        <v>70</v>
      </c>
      <c r="C7" s="13" t="s">
        <v>8</v>
      </c>
      <c r="D7" s="14" t="n">
        <v>46088</v>
      </c>
      <c r="E7" s="15" t="n">
        <v>0.684027777777778</v>
      </c>
      <c r="F7" s="22" t="n">
        <v>0.778472222222222</v>
      </c>
      <c r="G7" s="16" t="n">
        <f aca="false">F7-E7</f>
        <v>0.0944444444444444</v>
      </c>
      <c r="H7" s="24" t="s">
        <v>88</v>
      </c>
      <c r="I7" s="1" t="s">
        <v>73</v>
      </c>
      <c r="J7" s="1" t="n">
        <v>172367</v>
      </c>
      <c r="L7" s="1" t="n">
        <v>3</v>
      </c>
      <c r="M7" s="1" t="s">
        <v>87</v>
      </c>
    </row>
    <row r="8" customFormat="false" ht="31.5" hidden="false" customHeight="true" outlineLevel="0" collapsed="false">
      <c r="A8" s="1" t="s">
        <v>40</v>
      </c>
      <c r="B8" s="1" t="s">
        <v>70</v>
      </c>
      <c r="C8" s="13" t="s">
        <v>11</v>
      </c>
      <c r="D8" s="14" t="n">
        <v>46089</v>
      </c>
      <c r="E8" s="15" t="n">
        <v>0.470833333333333</v>
      </c>
      <c r="F8" s="22" t="n">
        <v>0.583333333333333</v>
      </c>
      <c r="G8" s="16" t="n">
        <f aca="false">F8-E8</f>
        <v>0.1125</v>
      </c>
      <c r="H8" s="24" t="s">
        <v>89</v>
      </c>
      <c r="I8" s="1" t="s">
        <v>78</v>
      </c>
      <c r="J8" s="1" t="n">
        <v>172769</v>
      </c>
      <c r="L8" s="1" t="n">
        <v>12</v>
      </c>
      <c r="M8" s="1" t="s">
        <v>90</v>
      </c>
    </row>
    <row r="9" customFormat="false" ht="34.5" hidden="false" customHeight="true" outlineLevel="0" collapsed="false">
      <c r="A9" s="1" t="s">
        <v>40</v>
      </c>
      <c r="B9" s="1" t="s">
        <v>70</v>
      </c>
      <c r="C9" s="13" t="s">
        <v>11</v>
      </c>
      <c r="D9" s="14" t="n">
        <v>46089</v>
      </c>
      <c r="E9" s="15" t="n">
        <v>0.625</v>
      </c>
      <c r="F9" s="22" t="n">
        <v>0.780555555555556</v>
      </c>
      <c r="G9" s="16" t="n">
        <f aca="false">F9-E9</f>
        <v>0.155555555555556</v>
      </c>
      <c r="H9" s="24" t="s">
        <v>91</v>
      </c>
      <c r="I9" s="1" t="s">
        <v>78</v>
      </c>
      <c r="J9" s="1" t="n">
        <v>172769</v>
      </c>
      <c r="L9" s="1" t="n">
        <v>12</v>
      </c>
      <c r="M9" s="1" t="s">
        <v>90</v>
      </c>
    </row>
    <row r="10" customFormat="false" ht="12.75" hidden="false" customHeight="false" outlineLevel="0" collapsed="false">
      <c r="A10" s="1" t="s">
        <v>40</v>
      </c>
      <c r="B10" s="1" t="s">
        <v>70</v>
      </c>
      <c r="C10" s="13" t="s">
        <v>11</v>
      </c>
      <c r="D10" s="14" t="n">
        <v>46089</v>
      </c>
      <c r="E10" s="15" t="n">
        <v>0.996527777777778</v>
      </c>
      <c r="F10" s="22" t="n">
        <v>0.999305555555556</v>
      </c>
      <c r="G10" s="16" t="n">
        <f aca="false">F10-E10</f>
        <v>0.00277777777777778</v>
      </c>
      <c r="H10" s="23" t="s">
        <v>92</v>
      </c>
      <c r="I10" s="1" t="s">
        <v>73</v>
      </c>
      <c r="J10" s="1" t="n">
        <v>172769</v>
      </c>
      <c r="L10" s="1" t="n">
        <v>1</v>
      </c>
      <c r="M10" s="1" t="s">
        <v>90</v>
      </c>
    </row>
    <row r="11" customFormat="false" ht="12.75" hidden="false" customHeight="false" outlineLevel="0" collapsed="false">
      <c r="A11" s="1" t="s">
        <v>40</v>
      </c>
      <c r="B11" s="1" t="s">
        <v>70</v>
      </c>
      <c r="C11" s="13" t="s">
        <v>71</v>
      </c>
      <c r="D11" s="14" t="n">
        <v>46090</v>
      </c>
      <c r="E11" s="15" t="n">
        <v>0</v>
      </c>
      <c r="F11" s="22" t="n">
        <v>0.0340277777777778</v>
      </c>
      <c r="G11" s="16" t="n">
        <f aca="false">F11-E11</f>
        <v>0.0340277777777778</v>
      </c>
      <c r="H11" s="23" t="s">
        <v>93</v>
      </c>
      <c r="I11" s="1" t="s">
        <v>73</v>
      </c>
      <c r="J11" s="1" t="n">
        <v>172862</v>
      </c>
      <c r="L11" s="1" t="n">
        <v>2</v>
      </c>
      <c r="M11" s="1" t="s">
        <v>94</v>
      </c>
    </row>
    <row r="12" customFormat="false" ht="12.75" hidden="false" customHeight="false" outlineLevel="0" collapsed="false">
      <c r="A12" s="1" t="s">
        <v>40</v>
      </c>
      <c r="B12" s="1" t="s">
        <v>95</v>
      </c>
      <c r="C12" s="13" t="s">
        <v>81</v>
      </c>
      <c r="D12" s="14" t="n">
        <v>46092</v>
      </c>
      <c r="E12" s="15" t="n">
        <v>0.291666666666667</v>
      </c>
      <c r="F12" s="22" t="n">
        <v>0.333333333333333</v>
      </c>
      <c r="G12" s="16" t="n">
        <f aca="false">F12-E12</f>
        <v>0.0416666666666667</v>
      </c>
      <c r="H12" s="23" t="s">
        <v>96</v>
      </c>
      <c r="I12" s="1" t="s">
        <v>78</v>
      </c>
      <c r="J12" s="1" t="n">
        <v>172478</v>
      </c>
      <c r="L12" s="1" t="n">
        <v>2</v>
      </c>
      <c r="M12" s="1" t="s">
        <v>97</v>
      </c>
    </row>
    <row r="13" customFormat="false" ht="30" hidden="false" customHeight="true" outlineLevel="0" collapsed="false">
      <c r="A13" s="1" t="s">
        <v>40</v>
      </c>
      <c r="B13" s="1" t="s">
        <v>95</v>
      </c>
      <c r="C13" s="13" t="s">
        <v>81</v>
      </c>
      <c r="D13" s="14" t="n">
        <v>46092</v>
      </c>
      <c r="E13" s="15" t="n">
        <v>0.729166666666667</v>
      </c>
      <c r="F13" s="22" t="n">
        <v>0.800694444444445</v>
      </c>
      <c r="G13" s="16" t="n">
        <f aca="false">F13-E13</f>
        <v>0.0715277777777778</v>
      </c>
      <c r="H13" s="24" t="s">
        <v>98</v>
      </c>
      <c r="I13" s="1" t="s">
        <v>78</v>
      </c>
      <c r="J13" s="1" t="n">
        <v>172478</v>
      </c>
      <c r="L13" s="1" t="n">
        <v>3</v>
      </c>
      <c r="M13" s="1" t="s">
        <v>97</v>
      </c>
    </row>
    <row r="14" customFormat="false" ht="23.85" hidden="false" customHeight="false" outlineLevel="0" collapsed="false">
      <c r="A14" s="1" t="s">
        <v>40</v>
      </c>
      <c r="B14" s="1" t="s">
        <v>99</v>
      </c>
      <c r="C14" s="13" t="s">
        <v>100</v>
      </c>
      <c r="D14" s="14" t="n">
        <v>46094</v>
      </c>
      <c r="E14" s="15" t="n">
        <v>0.253472222222222</v>
      </c>
      <c r="F14" s="22" t="n">
        <v>0.333333333333333</v>
      </c>
      <c r="G14" s="16" t="n">
        <f aca="false">F14-E14</f>
        <v>0.0798611111111111</v>
      </c>
      <c r="H14" s="24" t="s">
        <v>101</v>
      </c>
      <c r="I14" s="1" t="s">
        <v>78</v>
      </c>
      <c r="J14" s="1" t="n">
        <v>172720</v>
      </c>
      <c r="L14" s="1" t="n">
        <v>2</v>
      </c>
      <c r="M14" s="1" t="s">
        <v>102</v>
      </c>
    </row>
    <row r="15" customFormat="false" ht="12.75" hidden="false" customHeight="false" outlineLevel="0" collapsed="false">
      <c r="A15" s="1" t="s">
        <v>40</v>
      </c>
      <c r="B15" s="1" t="s">
        <v>103</v>
      </c>
      <c r="C15" s="13" t="s">
        <v>71</v>
      </c>
      <c r="D15" s="14" t="n">
        <v>46097</v>
      </c>
      <c r="E15" s="15" t="n">
        <v>0.711805555555556</v>
      </c>
      <c r="F15" s="22" t="n">
        <v>0.777083333333333</v>
      </c>
      <c r="G15" s="16" t="n">
        <f aca="false">F15-E15</f>
        <v>0.0652777777777778</v>
      </c>
      <c r="H15" s="23" t="s">
        <v>104</v>
      </c>
      <c r="I15" s="1" t="s">
        <v>73</v>
      </c>
      <c r="J15" s="1" t="n">
        <v>172774</v>
      </c>
      <c r="L15" s="1" t="n">
        <v>1</v>
      </c>
      <c r="M15" s="1" t="s">
        <v>105</v>
      </c>
    </row>
    <row r="16" customFormat="false" ht="12.75" hidden="false" customHeight="false" outlineLevel="0" collapsed="false">
      <c r="A16" s="1" t="s">
        <v>40</v>
      </c>
      <c r="B16" s="1" t="s">
        <v>103</v>
      </c>
      <c r="C16" s="13" t="s">
        <v>81</v>
      </c>
      <c r="D16" s="14" t="n">
        <v>46099</v>
      </c>
      <c r="E16" s="15" t="n">
        <v>0.708333333333333</v>
      </c>
      <c r="F16" s="22" t="n">
        <v>0.854861111111111</v>
      </c>
      <c r="G16" s="16" t="n">
        <f aca="false">F16-E16</f>
        <v>0.146527777777778</v>
      </c>
      <c r="H16" s="23" t="s">
        <v>106</v>
      </c>
      <c r="I16" s="1" t="s">
        <v>73</v>
      </c>
      <c r="J16" s="1" t="n">
        <v>172973</v>
      </c>
      <c r="L16" s="1" t="n">
        <v>3</v>
      </c>
      <c r="M16" s="1" t="s">
        <v>107</v>
      </c>
    </row>
    <row r="17" customFormat="false" ht="12.75" hidden="false" customHeight="false" outlineLevel="0" collapsed="false">
      <c r="A17" s="1" t="s">
        <v>40</v>
      </c>
      <c r="B17" s="1" t="s">
        <v>103</v>
      </c>
      <c r="C17" s="13" t="s">
        <v>108</v>
      </c>
      <c r="D17" s="14" t="n">
        <v>46100</v>
      </c>
      <c r="E17" s="15" t="n">
        <v>0.750694444444444</v>
      </c>
      <c r="F17" s="22" t="n">
        <v>0.881944444444444</v>
      </c>
      <c r="G17" s="16" t="n">
        <f aca="false">F17-E17</f>
        <v>0.13125</v>
      </c>
      <c r="H17" s="23" t="s">
        <v>109</v>
      </c>
      <c r="I17" s="1" t="s">
        <v>110</v>
      </c>
      <c r="J17" s="1" t="n">
        <v>173013</v>
      </c>
      <c r="L17" s="1" t="n">
        <v>2</v>
      </c>
      <c r="M17" s="1" t="s">
        <v>111</v>
      </c>
    </row>
    <row r="18" customFormat="false" ht="57.45" hidden="false" customHeight="false" outlineLevel="0" collapsed="false">
      <c r="A18" s="1" t="s">
        <v>40</v>
      </c>
      <c r="B18" s="1" t="s">
        <v>112</v>
      </c>
      <c r="C18" s="13" t="s">
        <v>100</v>
      </c>
      <c r="D18" s="14" t="n">
        <v>46101</v>
      </c>
      <c r="E18" s="15" t="n">
        <v>0.708333333333333</v>
      </c>
      <c r="F18" s="22" t="n">
        <v>0.989583333333333</v>
      </c>
      <c r="G18" s="16" t="n">
        <f aca="false">F18-E18</f>
        <v>0.28125</v>
      </c>
      <c r="H18" s="24" t="s">
        <v>113</v>
      </c>
      <c r="I18" s="1" t="s">
        <v>114</v>
      </c>
      <c r="J18" s="1" t="n">
        <v>173131</v>
      </c>
      <c r="L18" s="1" t="n">
        <v>7</v>
      </c>
      <c r="M18" s="1" t="s">
        <v>115</v>
      </c>
    </row>
    <row r="19" customFormat="false" ht="23.85" hidden="false" customHeight="false" outlineLevel="0" collapsed="false">
      <c r="A19" s="1" t="s">
        <v>40</v>
      </c>
      <c r="B19" s="1" t="s">
        <v>116</v>
      </c>
      <c r="C19" s="13" t="s">
        <v>8</v>
      </c>
      <c r="D19" s="14" t="n">
        <v>46102</v>
      </c>
      <c r="E19" s="15" t="n">
        <v>0.274305555555556</v>
      </c>
      <c r="F19" s="22" t="n">
        <v>0.625</v>
      </c>
      <c r="G19" s="16" t="n">
        <f aca="false">F19-E19</f>
        <v>0.350694444444444</v>
      </c>
      <c r="H19" s="24" t="s">
        <v>117</v>
      </c>
      <c r="I19" s="1" t="s">
        <v>118</v>
      </c>
      <c r="J19" s="1" t="n">
        <v>173245</v>
      </c>
      <c r="L19" s="1" t="n">
        <v>5</v>
      </c>
      <c r="M19" s="1" t="s">
        <v>119</v>
      </c>
    </row>
    <row r="20" customFormat="false" ht="12.75" hidden="false" customHeight="false" outlineLevel="0" collapsed="false">
      <c r="A20" s="1" t="s">
        <v>40</v>
      </c>
      <c r="B20" s="1" t="s">
        <v>116</v>
      </c>
      <c r="C20" s="13" t="s">
        <v>8</v>
      </c>
      <c r="D20" s="14" t="n">
        <v>46102</v>
      </c>
      <c r="E20" s="15" t="n">
        <v>0.666666666666667</v>
      </c>
      <c r="F20" s="22" t="n">
        <v>0.697916666666667</v>
      </c>
      <c r="G20" s="16" t="n">
        <f aca="false">F20-E20</f>
        <v>0.03125</v>
      </c>
      <c r="H20" s="24" t="s">
        <v>120</v>
      </c>
      <c r="I20" s="1" t="s">
        <v>118</v>
      </c>
      <c r="J20" s="1" t="n">
        <v>173245</v>
      </c>
      <c r="L20" s="1" t="n">
        <v>5</v>
      </c>
      <c r="M20" s="1" t="s">
        <v>119</v>
      </c>
    </row>
    <row r="21" customFormat="false" ht="23.85" hidden="false" customHeight="false" outlineLevel="0" collapsed="false">
      <c r="A21" s="1" t="s">
        <v>40</v>
      </c>
      <c r="B21" s="1" t="s">
        <v>103</v>
      </c>
      <c r="C21" s="13" t="s">
        <v>8</v>
      </c>
      <c r="D21" s="14" t="n">
        <v>46102</v>
      </c>
      <c r="E21" s="15" t="n">
        <v>0.333333333333333</v>
      </c>
      <c r="F21" s="22" t="n">
        <v>0.541666666666667</v>
      </c>
      <c r="G21" s="16" t="n">
        <f aca="false">F21-E21</f>
        <v>0.208333333333333</v>
      </c>
      <c r="H21" s="24" t="s">
        <v>121</v>
      </c>
      <c r="I21" s="1" t="s">
        <v>78</v>
      </c>
      <c r="J21" s="1" t="n">
        <v>173244</v>
      </c>
      <c r="L21" s="1" t="n">
        <v>8</v>
      </c>
      <c r="M21" s="1" t="s">
        <v>122</v>
      </c>
    </row>
    <row r="22" customFormat="false" ht="23.85" hidden="false" customHeight="false" outlineLevel="0" collapsed="false">
      <c r="A22" s="1" t="s">
        <v>40</v>
      </c>
      <c r="B22" s="1" t="s">
        <v>103</v>
      </c>
      <c r="C22" s="13" t="s">
        <v>8</v>
      </c>
      <c r="D22" s="14" t="n">
        <v>46102</v>
      </c>
      <c r="E22" s="15" t="n">
        <v>0.583333333333333</v>
      </c>
      <c r="F22" s="22" t="n">
        <v>0.718055555555556</v>
      </c>
      <c r="G22" s="16" t="n">
        <f aca="false">F22-E22</f>
        <v>0.134722222222222</v>
      </c>
      <c r="H22" s="24" t="s">
        <v>123</v>
      </c>
      <c r="I22" s="1" t="s">
        <v>78</v>
      </c>
      <c r="J22" s="1" t="n">
        <v>173244</v>
      </c>
      <c r="L22" s="1" t="n">
        <v>8</v>
      </c>
      <c r="M22" s="1" t="s">
        <v>122</v>
      </c>
    </row>
    <row r="23" customFormat="false" ht="23.85" hidden="false" customHeight="false" outlineLevel="0" collapsed="false">
      <c r="A23" s="1" t="s">
        <v>40</v>
      </c>
      <c r="B23" s="1" t="s">
        <v>103</v>
      </c>
      <c r="C23" s="13" t="s">
        <v>8</v>
      </c>
      <c r="D23" s="14" t="n">
        <v>46102</v>
      </c>
      <c r="E23" s="15" t="n">
        <v>0.794444444444444</v>
      </c>
      <c r="F23" s="22" t="n">
        <v>0.911111111111111</v>
      </c>
      <c r="G23" s="16" t="n">
        <f aca="false">F23-E23</f>
        <v>0.116666666666667</v>
      </c>
      <c r="H23" s="24" t="s">
        <v>124</v>
      </c>
      <c r="I23" s="1" t="s">
        <v>78</v>
      </c>
      <c r="J23" s="1" t="n">
        <v>173244</v>
      </c>
      <c r="L23" s="1" t="n">
        <v>2</v>
      </c>
      <c r="M23" s="1" t="s">
        <v>122</v>
      </c>
    </row>
    <row r="24" customFormat="false" ht="23.85" hidden="false" customHeight="false" outlineLevel="0" collapsed="false">
      <c r="A24" s="1" t="s">
        <v>40</v>
      </c>
      <c r="B24" s="1" t="s">
        <v>116</v>
      </c>
      <c r="C24" s="13" t="s">
        <v>11</v>
      </c>
      <c r="D24" s="14" t="n">
        <v>46103</v>
      </c>
      <c r="E24" s="15" t="n">
        <v>0.277777777777778</v>
      </c>
      <c r="F24" s="22" t="n">
        <v>0.580555555555556</v>
      </c>
      <c r="G24" s="16" t="n">
        <f aca="false">F24-E24</f>
        <v>0.302777777777778</v>
      </c>
      <c r="H24" s="24" t="s">
        <v>125</v>
      </c>
      <c r="I24" s="1" t="s">
        <v>118</v>
      </c>
      <c r="J24" s="1" t="n">
        <v>173247</v>
      </c>
      <c r="L24" s="1" t="n">
        <v>5</v>
      </c>
      <c r="M24" s="1" t="s">
        <v>126</v>
      </c>
    </row>
    <row r="25" customFormat="false" ht="23.85" hidden="false" customHeight="false" outlineLevel="0" collapsed="false">
      <c r="A25" s="1" t="s">
        <v>40</v>
      </c>
      <c r="B25" s="1" t="s">
        <v>103</v>
      </c>
      <c r="C25" s="13" t="s">
        <v>11</v>
      </c>
      <c r="D25" s="14" t="n">
        <v>46103</v>
      </c>
      <c r="E25" s="15" t="n">
        <v>0.270833333333333</v>
      </c>
      <c r="F25" s="22" t="n">
        <v>0.5625</v>
      </c>
      <c r="G25" s="16" t="n">
        <f aca="false">F25-E25</f>
        <v>0.291666666666667</v>
      </c>
      <c r="H25" s="24" t="s">
        <v>125</v>
      </c>
      <c r="I25" s="1" t="s">
        <v>118</v>
      </c>
      <c r="J25" s="1" t="n">
        <v>173284</v>
      </c>
      <c r="L25" s="1" t="n">
        <v>6</v>
      </c>
      <c r="M25" s="1" t="s">
        <v>127</v>
      </c>
    </row>
    <row r="26" customFormat="false" ht="12.75" hidden="false" customHeight="false" outlineLevel="0" collapsed="false">
      <c r="A26" s="1" t="s">
        <v>40</v>
      </c>
      <c r="B26" s="1" t="s">
        <v>103</v>
      </c>
      <c r="C26" s="13" t="s">
        <v>11</v>
      </c>
      <c r="D26" s="14" t="n">
        <v>46103</v>
      </c>
      <c r="E26" s="15" t="n">
        <v>0.604166666666667</v>
      </c>
      <c r="F26" s="22" t="n">
        <v>0.681944444444445</v>
      </c>
      <c r="G26" s="16" t="n">
        <f aca="false">F26-E26</f>
        <v>0.0777777777777778</v>
      </c>
      <c r="H26" s="24" t="s">
        <v>128</v>
      </c>
      <c r="I26" s="1" t="s">
        <v>78</v>
      </c>
      <c r="J26" s="1" t="n">
        <v>173284</v>
      </c>
      <c r="L26" s="1" t="n">
        <v>6</v>
      </c>
      <c r="M26" s="1" t="s">
        <v>127</v>
      </c>
    </row>
    <row r="27" customFormat="false" ht="12.75" hidden="false" customHeight="false" outlineLevel="0" collapsed="false">
      <c r="A27" s="1" t="s">
        <v>43</v>
      </c>
      <c r="B27" s="1" t="s">
        <v>129</v>
      </c>
      <c r="C27" s="13" t="s">
        <v>76</v>
      </c>
      <c r="D27" s="14" t="n">
        <v>46091</v>
      </c>
      <c r="E27" s="15" t="n">
        <v>0.716666666666667</v>
      </c>
      <c r="F27" s="22" t="n">
        <v>0.901388888888889</v>
      </c>
      <c r="G27" s="16" t="n">
        <f aca="false">F27-E27</f>
        <v>0.184722222222222</v>
      </c>
      <c r="H27" s="24" t="s">
        <v>130</v>
      </c>
      <c r="I27" s="1" t="s">
        <v>110</v>
      </c>
      <c r="J27" s="1" t="n">
        <v>172425</v>
      </c>
      <c r="L27" s="1" t="n">
        <v>5</v>
      </c>
      <c r="M27" s="1" t="s">
        <v>131</v>
      </c>
    </row>
    <row r="28" customFormat="false" ht="12.75" hidden="false" customHeight="false" outlineLevel="0" collapsed="false">
      <c r="A28" s="1" t="s">
        <v>43</v>
      </c>
      <c r="B28" s="1" t="s">
        <v>129</v>
      </c>
      <c r="C28" s="13" t="s">
        <v>81</v>
      </c>
      <c r="D28" s="14" t="n">
        <v>46092</v>
      </c>
      <c r="E28" s="15" t="n">
        <v>0.708333333333333</v>
      </c>
      <c r="F28" s="22" t="n">
        <v>0.799305555555556</v>
      </c>
      <c r="G28" s="16" t="n">
        <f aca="false">F28-E28</f>
        <v>0.0909722222222222</v>
      </c>
      <c r="H28" s="23" t="s">
        <v>132</v>
      </c>
      <c r="I28" s="1" t="s">
        <v>133</v>
      </c>
      <c r="J28" s="1" t="n">
        <v>172427</v>
      </c>
      <c r="L28" s="1" t="n">
        <v>1</v>
      </c>
      <c r="M28" s="1" t="s">
        <v>134</v>
      </c>
    </row>
    <row r="29" customFormat="false" ht="12.75" hidden="false" customHeight="false" outlineLevel="0" collapsed="false">
      <c r="A29" s="1" t="s">
        <v>43</v>
      </c>
      <c r="B29" s="1" t="s">
        <v>129</v>
      </c>
      <c r="C29" s="13" t="s">
        <v>81</v>
      </c>
      <c r="D29" s="14" t="n">
        <v>46092</v>
      </c>
      <c r="E29" s="15" t="n">
        <v>0.988194444444445</v>
      </c>
      <c r="F29" s="22" t="n">
        <v>0.999305555555556</v>
      </c>
      <c r="G29" s="16" t="n">
        <f aca="false">F29-E29</f>
        <v>0.0111111111111111</v>
      </c>
      <c r="H29" s="23" t="s">
        <v>135</v>
      </c>
      <c r="I29" s="1" t="s">
        <v>78</v>
      </c>
      <c r="J29" s="1" t="n">
        <v>172427</v>
      </c>
      <c r="L29" s="1" t="n">
        <v>1</v>
      </c>
      <c r="M29" s="1" t="s">
        <v>134</v>
      </c>
    </row>
    <row r="30" customFormat="false" ht="12.75" hidden="false" customHeight="false" outlineLevel="0" collapsed="false">
      <c r="A30" s="1" t="s">
        <v>43</v>
      </c>
      <c r="B30" s="1" t="s">
        <v>129</v>
      </c>
      <c r="C30" s="13" t="s">
        <v>108</v>
      </c>
      <c r="D30" s="14" t="n">
        <v>46093</v>
      </c>
      <c r="E30" s="15" t="n">
        <v>0.000694444444444445</v>
      </c>
      <c r="F30" s="22" t="n">
        <v>0.0298611111111111</v>
      </c>
      <c r="G30" s="16" t="n">
        <f aca="false">F30-E30</f>
        <v>0.0291666666666667</v>
      </c>
      <c r="H30" s="23" t="s">
        <v>136</v>
      </c>
      <c r="I30" s="1" t="s">
        <v>78</v>
      </c>
      <c r="J30" s="1" t="n">
        <v>172582</v>
      </c>
      <c r="L30" s="1" t="n">
        <v>1</v>
      </c>
      <c r="M30" s="1" t="s">
        <v>137</v>
      </c>
    </row>
    <row r="31" customFormat="false" ht="12.75" hidden="false" customHeight="false" outlineLevel="0" collapsed="false">
      <c r="A31" s="1" t="s">
        <v>43</v>
      </c>
      <c r="B31" s="1" t="s">
        <v>138</v>
      </c>
      <c r="C31" s="13" t="s">
        <v>8</v>
      </c>
      <c r="D31" s="14" t="n">
        <v>46095</v>
      </c>
      <c r="E31" s="15" t="n">
        <v>0.333333333333333</v>
      </c>
      <c r="F31" s="22" t="n">
        <v>0.479861111111111</v>
      </c>
      <c r="G31" s="16" t="n">
        <f aca="false">F31-E31</f>
        <v>0.146527777777778</v>
      </c>
      <c r="H31" s="23" t="s">
        <v>139</v>
      </c>
      <c r="I31" s="1" t="s">
        <v>78</v>
      </c>
      <c r="J31" s="1" t="n">
        <v>172759</v>
      </c>
      <c r="L31" s="1" t="n">
        <v>3</v>
      </c>
      <c r="M31" s="1" t="s">
        <v>140</v>
      </c>
    </row>
    <row r="32" customFormat="false" ht="23.85" hidden="false" customHeight="false" outlineLevel="0" collapsed="false">
      <c r="A32" s="1" t="s">
        <v>43</v>
      </c>
      <c r="B32" s="1" t="s">
        <v>141</v>
      </c>
      <c r="C32" s="13" t="s">
        <v>11</v>
      </c>
      <c r="D32" s="14" t="n">
        <v>46096</v>
      </c>
      <c r="E32" s="15" t="n">
        <v>0.435416666666667</v>
      </c>
      <c r="F32" s="22" t="n">
        <v>0.542361111111111</v>
      </c>
      <c r="G32" s="16" t="n">
        <f aca="false">F32-E32</f>
        <v>0.106944444444444</v>
      </c>
      <c r="H32" s="24" t="s">
        <v>142</v>
      </c>
      <c r="I32" s="1" t="s">
        <v>78</v>
      </c>
      <c r="J32" s="1" t="n">
        <v>172766</v>
      </c>
      <c r="L32" s="1" t="n">
        <v>4</v>
      </c>
      <c r="M32" s="1" t="s">
        <v>143</v>
      </c>
    </row>
    <row r="33" customFormat="false" ht="23.85" hidden="false" customHeight="false" outlineLevel="0" collapsed="false">
      <c r="A33" s="1" t="s">
        <v>43</v>
      </c>
      <c r="B33" s="1" t="s">
        <v>144</v>
      </c>
      <c r="C33" s="13" t="s">
        <v>108</v>
      </c>
      <c r="D33" s="14" t="n">
        <v>46100</v>
      </c>
      <c r="E33" s="15" t="n">
        <v>0.708333333333333</v>
      </c>
      <c r="F33" s="22" t="n">
        <v>0.770833333333333</v>
      </c>
      <c r="G33" s="16" t="n">
        <f aca="false">F33-E33</f>
        <v>0.0625</v>
      </c>
      <c r="H33" s="24" t="s">
        <v>145</v>
      </c>
      <c r="I33" s="1" t="s">
        <v>133</v>
      </c>
      <c r="J33" s="1" t="n">
        <v>172959</v>
      </c>
      <c r="L33" s="1" t="n">
        <v>2</v>
      </c>
      <c r="M33" s="1" t="s">
        <v>146</v>
      </c>
    </row>
    <row r="34" customFormat="false" ht="12.75" hidden="false" customHeight="false" outlineLevel="0" collapsed="false">
      <c r="A34" s="1" t="s">
        <v>43</v>
      </c>
      <c r="B34" s="1" t="s">
        <v>141</v>
      </c>
      <c r="C34" s="13" t="s">
        <v>108</v>
      </c>
      <c r="D34" s="14" t="n">
        <v>46100</v>
      </c>
      <c r="E34" s="15" t="n">
        <v>0.708333333333333</v>
      </c>
      <c r="F34" s="22" t="n">
        <v>0.75</v>
      </c>
      <c r="G34" s="16" t="n">
        <f aca="false">F34-E34</f>
        <v>0.0416666666666667</v>
      </c>
      <c r="H34" s="24" t="s">
        <v>147</v>
      </c>
      <c r="I34" s="1" t="s">
        <v>133</v>
      </c>
      <c r="J34" s="1" t="n">
        <v>172959</v>
      </c>
      <c r="L34" s="1" t="n">
        <v>2</v>
      </c>
      <c r="M34" s="1" t="s">
        <v>146</v>
      </c>
    </row>
    <row r="35" customFormat="false" ht="12.75" hidden="false" customHeight="false" outlineLevel="0" collapsed="false">
      <c r="A35" s="1" t="s">
        <v>43</v>
      </c>
      <c r="B35" s="1" t="s">
        <v>148</v>
      </c>
      <c r="C35" s="13" t="s">
        <v>100</v>
      </c>
      <c r="D35" s="14" t="n">
        <v>46101</v>
      </c>
      <c r="E35" s="15" t="n">
        <v>0.708333333333333</v>
      </c>
      <c r="F35" s="22" t="n">
        <v>0.8875</v>
      </c>
      <c r="G35" s="16" t="n">
        <f aca="false">F35-E35</f>
        <v>0.179166666666667</v>
      </c>
      <c r="H35" s="24" t="s">
        <v>149</v>
      </c>
      <c r="I35" s="1" t="s">
        <v>133</v>
      </c>
      <c r="J35" s="1" t="n">
        <v>173125</v>
      </c>
      <c r="L35" s="1" t="n">
        <v>3</v>
      </c>
      <c r="M35" s="1" t="s">
        <v>150</v>
      </c>
    </row>
    <row r="36" customFormat="false" ht="12.75" hidden="false" customHeight="false" outlineLevel="0" collapsed="false">
      <c r="A36" s="1" t="s">
        <v>47</v>
      </c>
      <c r="B36" s="1" t="s">
        <v>151</v>
      </c>
      <c r="C36" s="13" t="s">
        <v>8</v>
      </c>
      <c r="D36" s="14" t="n">
        <v>46088</v>
      </c>
      <c r="E36" s="15" t="n">
        <v>0.593055555555556</v>
      </c>
      <c r="F36" s="22" t="n">
        <v>0.673611111111111</v>
      </c>
      <c r="G36" s="16" t="n">
        <f aca="false">F36-E36</f>
        <v>0.0805555555555556</v>
      </c>
      <c r="H36" s="23" t="s">
        <v>152</v>
      </c>
      <c r="I36" s="1" t="s">
        <v>73</v>
      </c>
      <c r="J36" s="1" t="n">
        <v>172297</v>
      </c>
      <c r="L36" s="1" t="n">
        <v>4</v>
      </c>
      <c r="M36" s="1" t="s">
        <v>153</v>
      </c>
    </row>
    <row r="37" customFormat="false" ht="12.75" hidden="false" customHeight="false" outlineLevel="0" collapsed="false">
      <c r="A37" s="1" t="s">
        <v>47</v>
      </c>
      <c r="B37" s="1" t="s">
        <v>151</v>
      </c>
      <c r="C37" s="13" t="s">
        <v>11</v>
      </c>
      <c r="D37" s="14" t="n">
        <v>46089</v>
      </c>
      <c r="E37" s="15" t="n">
        <v>0.425</v>
      </c>
      <c r="F37" s="22" t="n">
        <v>0.541666666666667</v>
      </c>
      <c r="G37" s="16" t="n">
        <f aca="false">F37-E37</f>
        <v>0.116666666666667</v>
      </c>
      <c r="H37" s="24" t="s">
        <v>154</v>
      </c>
      <c r="I37" s="1" t="s">
        <v>78</v>
      </c>
      <c r="J37" s="1" t="n">
        <v>172299</v>
      </c>
      <c r="L37" s="1" t="n">
        <v>6</v>
      </c>
      <c r="M37" s="1" t="s">
        <v>155</v>
      </c>
    </row>
    <row r="38" customFormat="false" ht="23.85" hidden="false" customHeight="false" outlineLevel="0" collapsed="false">
      <c r="A38" s="1" t="s">
        <v>47</v>
      </c>
      <c r="B38" s="1" t="s">
        <v>156</v>
      </c>
      <c r="C38" s="13" t="s">
        <v>76</v>
      </c>
      <c r="D38" s="14" t="n">
        <v>46091</v>
      </c>
      <c r="E38" s="15" t="n">
        <v>0.708333333333333</v>
      </c>
      <c r="F38" s="22" t="n">
        <v>0.802777777777778</v>
      </c>
      <c r="G38" s="16" t="n">
        <f aca="false">F38-E38</f>
        <v>0.0944444444444444</v>
      </c>
      <c r="H38" s="24" t="s">
        <v>157</v>
      </c>
      <c r="I38" s="1" t="s">
        <v>78</v>
      </c>
      <c r="J38" s="1" t="n">
        <v>172434</v>
      </c>
      <c r="L38" s="1" t="n">
        <v>2</v>
      </c>
      <c r="M38" s="1" t="s">
        <v>158</v>
      </c>
    </row>
    <row r="39" customFormat="false" ht="35.05" hidden="false" customHeight="false" outlineLevel="0" collapsed="false">
      <c r="A39" s="1" t="s">
        <v>47</v>
      </c>
      <c r="B39" s="1" t="s">
        <v>156</v>
      </c>
      <c r="C39" s="13" t="s">
        <v>81</v>
      </c>
      <c r="D39" s="14" t="n">
        <v>46092</v>
      </c>
      <c r="E39" s="15" t="n">
        <v>0.708333333333333</v>
      </c>
      <c r="F39" s="22" t="n">
        <v>0.858333333333333</v>
      </c>
      <c r="G39" s="16" t="n">
        <f aca="false">F39-E39</f>
        <v>0.15</v>
      </c>
      <c r="H39" s="24" t="s">
        <v>159</v>
      </c>
      <c r="I39" s="1" t="s">
        <v>73</v>
      </c>
      <c r="J39" s="1" t="n">
        <v>172556</v>
      </c>
      <c r="L39" s="1" t="n">
        <v>2</v>
      </c>
      <c r="M39" s="1" t="s">
        <v>160</v>
      </c>
    </row>
    <row r="40" customFormat="false" ht="12.75" hidden="false" customHeight="false" outlineLevel="0" collapsed="false">
      <c r="A40" s="1" t="s">
        <v>47</v>
      </c>
      <c r="B40" s="1" t="s">
        <v>161</v>
      </c>
      <c r="C40" s="13" t="s">
        <v>100</v>
      </c>
      <c r="D40" s="14" t="n">
        <v>46094</v>
      </c>
      <c r="E40" s="15" t="n">
        <v>0.708333333333333</v>
      </c>
      <c r="F40" s="22" t="n">
        <v>0.791666666666667</v>
      </c>
      <c r="G40" s="16" t="n">
        <f aca="false">F40-E40</f>
        <v>0.0833333333333333</v>
      </c>
      <c r="H40" s="23" t="s">
        <v>162</v>
      </c>
      <c r="I40" s="1" t="s">
        <v>73</v>
      </c>
      <c r="J40" s="1" t="n">
        <v>172665</v>
      </c>
      <c r="L40" s="1" t="n">
        <v>3</v>
      </c>
      <c r="M40" s="1" t="s">
        <v>163</v>
      </c>
    </row>
    <row r="41" customFormat="false" ht="12.75" hidden="false" customHeight="false" outlineLevel="0" collapsed="false">
      <c r="A41" s="1" t="s">
        <v>47</v>
      </c>
      <c r="B41" s="1" t="s">
        <v>161</v>
      </c>
      <c r="C41" s="13" t="s">
        <v>71</v>
      </c>
      <c r="D41" s="14" t="n">
        <v>46097</v>
      </c>
      <c r="E41" s="15" t="n">
        <v>0.708333333333333</v>
      </c>
      <c r="F41" s="22" t="n">
        <v>0.758333333333333</v>
      </c>
      <c r="G41" s="16" t="n">
        <f aca="false">F41-E41</f>
        <v>0.05</v>
      </c>
      <c r="H41" s="23" t="s">
        <v>164</v>
      </c>
      <c r="I41" s="1" t="s">
        <v>78</v>
      </c>
      <c r="J41" s="1" t="n">
        <v>172803</v>
      </c>
      <c r="L41" s="1" t="n">
        <v>2</v>
      </c>
      <c r="M41" s="1" t="s">
        <v>165</v>
      </c>
    </row>
    <row r="42" customFormat="false" ht="23.85" hidden="false" customHeight="false" outlineLevel="0" collapsed="false">
      <c r="A42" s="1" t="s">
        <v>47</v>
      </c>
      <c r="B42" s="1" t="s">
        <v>161</v>
      </c>
      <c r="C42" s="13" t="s">
        <v>100</v>
      </c>
      <c r="D42" s="14" t="n">
        <v>46101</v>
      </c>
      <c r="E42" s="15" t="n">
        <v>0.708333333333333</v>
      </c>
      <c r="F42" s="22" t="n">
        <v>0.791666666666667</v>
      </c>
      <c r="G42" s="16" t="n">
        <f aca="false">F42-E42</f>
        <v>0.0833333333333333</v>
      </c>
      <c r="H42" s="24" t="s">
        <v>166</v>
      </c>
      <c r="I42" s="1" t="s">
        <v>167</v>
      </c>
      <c r="J42" s="1" t="n">
        <v>173113</v>
      </c>
      <c r="L42" s="1" t="n">
        <v>4</v>
      </c>
      <c r="M42" s="1" t="s">
        <v>168</v>
      </c>
    </row>
    <row r="43" customFormat="false" ht="23.85" hidden="false" customHeight="false" outlineLevel="0" collapsed="false">
      <c r="A43" s="1" t="s">
        <v>47</v>
      </c>
      <c r="B43" s="1" t="s">
        <v>156</v>
      </c>
      <c r="C43" s="13" t="s">
        <v>8</v>
      </c>
      <c r="D43" s="14" t="n">
        <v>46102</v>
      </c>
      <c r="E43" s="15" t="n">
        <v>0.270833333333333</v>
      </c>
      <c r="F43" s="22" t="n">
        <v>0.541666666666667</v>
      </c>
      <c r="G43" s="16" t="n">
        <f aca="false">F43-E43</f>
        <v>0.270833333333333</v>
      </c>
      <c r="H43" s="24" t="s">
        <v>169</v>
      </c>
      <c r="I43" s="1" t="s">
        <v>118</v>
      </c>
      <c r="J43" s="1" t="n">
        <v>173299</v>
      </c>
      <c r="L43" s="1" t="n">
        <v>4</v>
      </c>
      <c r="M43" s="1" t="s">
        <v>170</v>
      </c>
    </row>
    <row r="44" customFormat="false" ht="12.75" hidden="false" customHeight="false" outlineLevel="0" collapsed="false">
      <c r="A44" s="1" t="s">
        <v>47</v>
      </c>
      <c r="B44" s="1" t="s">
        <v>156</v>
      </c>
      <c r="C44" s="13" t="s">
        <v>8</v>
      </c>
      <c r="D44" s="14" t="n">
        <v>46102</v>
      </c>
      <c r="E44" s="15" t="n">
        <v>0.583333333333333</v>
      </c>
      <c r="F44" s="22" t="n">
        <v>0.708333333333333</v>
      </c>
      <c r="G44" s="16" t="n">
        <f aca="false">F44-E44</f>
        <v>0.125</v>
      </c>
      <c r="H44" s="24" t="s">
        <v>171</v>
      </c>
      <c r="I44" s="1" t="s">
        <v>118</v>
      </c>
      <c r="J44" s="1" t="n">
        <v>173299</v>
      </c>
      <c r="L44" s="1" t="n">
        <v>4</v>
      </c>
      <c r="M44" s="1" t="s">
        <v>170</v>
      </c>
    </row>
    <row r="45" customFormat="false" ht="23.85" hidden="false" customHeight="false" outlineLevel="0" collapsed="false">
      <c r="A45" s="1" t="s">
        <v>47</v>
      </c>
      <c r="B45" s="1" t="s">
        <v>156</v>
      </c>
      <c r="C45" s="13" t="s">
        <v>11</v>
      </c>
      <c r="D45" s="14" t="n">
        <v>46103</v>
      </c>
      <c r="E45" s="15" t="n">
        <v>0.270833333333333</v>
      </c>
      <c r="F45" s="22" t="n">
        <v>0.583333333333333</v>
      </c>
      <c r="G45" s="16" t="n">
        <f aca="false">F45-E45</f>
        <v>0.3125</v>
      </c>
      <c r="H45" s="24" t="s">
        <v>169</v>
      </c>
      <c r="I45" s="1" t="s">
        <v>118</v>
      </c>
      <c r="J45" s="1" t="n">
        <v>173351</v>
      </c>
      <c r="L45" s="1" t="n">
        <v>4</v>
      </c>
      <c r="M45" s="1" t="s">
        <v>172</v>
      </c>
    </row>
    <row r="46" customFormat="false" ht="12.75" hidden="false" customHeight="false" outlineLevel="0" collapsed="false">
      <c r="A46" s="1" t="s">
        <v>47</v>
      </c>
      <c r="B46" s="1" t="s">
        <v>156</v>
      </c>
      <c r="C46" s="13" t="s">
        <v>11</v>
      </c>
      <c r="D46" s="14" t="n">
        <v>46103</v>
      </c>
      <c r="E46" s="15" t="n">
        <v>0.625</v>
      </c>
      <c r="F46" s="22" t="n">
        <v>0.736111111111111</v>
      </c>
      <c r="G46" s="16" t="n">
        <f aca="false">F46-E46</f>
        <v>0.111111111111111</v>
      </c>
      <c r="H46" s="24" t="s">
        <v>171</v>
      </c>
      <c r="I46" s="1" t="s">
        <v>118</v>
      </c>
      <c r="J46" s="1" t="n">
        <v>173351</v>
      </c>
      <c r="L46" s="1" t="n">
        <v>4</v>
      </c>
      <c r="M46" s="1" t="s">
        <v>172</v>
      </c>
    </row>
    <row r="47" customFormat="false" ht="12.75" hidden="false" customHeight="false" outlineLevel="0" collapsed="false">
      <c r="A47" s="1" t="s">
        <v>47</v>
      </c>
      <c r="B47" s="1" t="s">
        <v>173</v>
      </c>
      <c r="C47" s="13" t="s">
        <v>11</v>
      </c>
      <c r="D47" s="14" t="n">
        <v>46103</v>
      </c>
      <c r="E47" s="15" t="n">
        <v>0.777777777777778</v>
      </c>
      <c r="F47" s="22" t="n">
        <v>0.90625</v>
      </c>
      <c r="G47" s="16" t="n">
        <f aca="false">F47-E47</f>
        <v>0.128472222222222</v>
      </c>
      <c r="H47" s="24" t="s">
        <v>174</v>
      </c>
      <c r="I47" s="1" t="s">
        <v>78</v>
      </c>
      <c r="J47" s="1" t="n">
        <v>173346</v>
      </c>
      <c r="L47" s="1" t="n">
        <v>4</v>
      </c>
      <c r="M47" s="1" t="s">
        <v>175</v>
      </c>
    </row>
    <row r="48" customFormat="false" ht="12.75" hidden="false" customHeight="false" outlineLevel="0" collapsed="false">
      <c r="A48" s="1" t="s">
        <v>48</v>
      </c>
      <c r="B48" s="1" t="s">
        <v>176</v>
      </c>
      <c r="C48" s="13" t="s">
        <v>11</v>
      </c>
      <c r="D48" s="14" t="n">
        <v>46082</v>
      </c>
      <c r="E48" s="15" t="n">
        <v>0.647222222222222</v>
      </c>
      <c r="F48" s="22" t="n">
        <v>0.669444444444444</v>
      </c>
      <c r="G48" s="16" t="n">
        <f aca="false">F48-E48</f>
        <v>0.0222222222222222</v>
      </c>
      <c r="H48" s="23" t="s">
        <v>177</v>
      </c>
      <c r="I48" s="1" t="s">
        <v>73</v>
      </c>
      <c r="J48" s="1" t="n">
        <v>171790</v>
      </c>
      <c r="L48" s="1" t="n">
        <v>2</v>
      </c>
      <c r="M48" s="1" t="s">
        <v>178</v>
      </c>
    </row>
    <row r="49" customFormat="false" ht="12.75" hidden="false" customHeight="false" outlineLevel="0" collapsed="false">
      <c r="A49" s="1" t="s">
        <v>48</v>
      </c>
      <c r="B49" s="1" t="s">
        <v>176</v>
      </c>
      <c r="C49" s="13" t="s">
        <v>11</v>
      </c>
      <c r="D49" s="14" t="n">
        <v>46082</v>
      </c>
      <c r="E49" s="15" t="n">
        <v>0.799305555555556</v>
      </c>
      <c r="F49" s="22" t="n">
        <v>0.864583333333333</v>
      </c>
      <c r="G49" s="16" t="n">
        <f aca="false">F49-E49</f>
        <v>0.0652777777777778</v>
      </c>
      <c r="H49" s="23" t="s">
        <v>179</v>
      </c>
      <c r="I49" s="1" t="s">
        <v>78</v>
      </c>
      <c r="J49" s="1" t="n">
        <v>171790</v>
      </c>
      <c r="L49" s="1" t="n">
        <v>3</v>
      </c>
      <c r="M49" s="1" t="s">
        <v>178</v>
      </c>
    </row>
    <row r="50" customFormat="false" ht="12.75" hidden="false" customHeight="false" outlineLevel="0" collapsed="false">
      <c r="A50" s="1" t="s">
        <v>48</v>
      </c>
      <c r="B50" s="1" t="s">
        <v>180</v>
      </c>
      <c r="C50" s="13" t="s">
        <v>71</v>
      </c>
      <c r="D50" s="14" t="n">
        <v>46090</v>
      </c>
      <c r="E50" s="15" t="n">
        <v>0.78125</v>
      </c>
      <c r="F50" s="22" t="n">
        <v>0.802777777777778</v>
      </c>
      <c r="G50" s="16" t="n">
        <f aca="false">F50-E50</f>
        <v>0.0215277777777778</v>
      </c>
      <c r="H50" s="23" t="s">
        <v>181</v>
      </c>
      <c r="I50" s="1" t="s">
        <v>78</v>
      </c>
      <c r="J50" s="1" t="n">
        <v>172573</v>
      </c>
      <c r="L50" s="1" t="n">
        <v>3</v>
      </c>
      <c r="M50" s="1" t="s">
        <v>182</v>
      </c>
    </row>
    <row r="51" customFormat="false" ht="12.75" hidden="false" customHeight="false" outlineLevel="0" collapsed="false">
      <c r="A51" s="1" t="s">
        <v>48</v>
      </c>
      <c r="B51" s="1" t="s">
        <v>180</v>
      </c>
      <c r="C51" s="13" t="s">
        <v>71</v>
      </c>
      <c r="D51" s="14" t="n">
        <v>46090</v>
      </c>
      <c r="E51" s="15" t="n">
        <v>0.861111111111111</v>
      </c>
      <c r="F51" s="22" t="n">
        <v>0.90625</v>
      </c>
      <c r="G51" s="16" t="n">
        <f aca="false">F51-E51</f>
        <v>0.0451388888888889</v>
      </c>
      <c r="H51" s="23" t="s">
        <v>183</v>
      </c>
      <c r="I51" s="1" t="s">
        <v>73</v>
      </c>
      <c r="J51" s="1" t="n">
        <v>172573</v>
      </c>
      <c r="L51" s="1" t="n">
        <v>3</v>
      </c>
      <c r="M51" s="1" t="s">
        <v>182</v>
      </c>
    </row>
    <row r="52" customFormat="false" ht="12.75" hidden="false" customHeight="false" outlineLevel="0" collapsed="false">
      <c r="A52" s="1" t="s">
        <v>48</v>
      </c>
      <c r="B52" s="1" t="s">
        <v>180</v>
      </c>
      <c r="C52" s="13" t="s">
        <v>108</v>
      </c>
      <c r="D52" s="14" t="n">
        <v>46093</v>
      </c>
      <c r="E52" s="15" t="n">
        <v>0.895138888888889</v>
      </c>
      <c r="F52" s="22" t="n">
        <v>0.929166666666667</v>
      </c>
      <c r="G52" s="16" t="n">
        <f aca="false">F52-E52</f>
        <v>0.0340277777777778</v>
      </c>
      <c r="H52" s="23" t="s">
        <v>184</v>
      </c>
      <c r="I52" s="1" t="s">
        <v>78</v>
      </c>
      <c r="J52" s="1" t="n">
        <v>172695</v>
      </c>
      <c r="L52" s="1" t="n">
        <v>3</v>
      </c>
      <c r="M52" s="1" t="s">
        <v>185</v>
      </c>
    </row>
    <row r="53" customFormat="false" ht="12.75" hidden="false" customHeight="false" outlineLevel="0" collapsed="false">
      <c r="A53" s="1" t="s">
        <v>48</v>
      </c>
      <c r="B53" s="1" t="s">
        <v>180</v>
      </c>
      <c r="C53" s="13" t="s">
        <v>100</v>
      </c>
      <c r="D53" s="14" t="n">
        <v>46094</v>
      </c>
      <c r="E53" s="15" t="n">
        <v>0.823611111111111</v>
      </c>
      <c r="F53" s="22" t="n">
        <v>0.872916666666667</v>
      </c>
      <c r="G53" s="16" t="n">
        <f aca="false">F53-E53</f>
        <v>0.0493055555555556</v>
      </c>
      <c r="H53" s="23" t="s">
        <v>186</v>
      </c>
      <c r="I53" s="1" t="s">
        <v>73</v>
      </c>
      <c r="J53" s="1" t="n">
        <v>172697</v>
      </c>
      <c r="L53" s="1" t="n">
        <v>1</v>
      </c>
      <c r="M53" s="1" t="s">
        <v>187</v>
      </c>
    </row>
    <row r="54" customFormat="false" ht="12.75" hidden="false" customHeight="false" outlineLevel="0" collapsed="false">
      <c r="A54" s="1" t="s">
        <v>48</v>
      </c>
      <c r="B54" s="1" t="s">
        <v>180</v>
      </c>
      <c r="C54" s="13" t="s">
        <v>100</v>
      </c>
      <c r="D54" s="14" t="n">
        <v>46094</v>
      </c>
      <c r="E54" s="15" t="n">
        <v>0.938194444444444</v>
      </c>
      <c r="F54" s="22" t="n">
        <v>0.999305555555556</v>
      </c>
      <c r="G54" s="16" t="n">
        <f aca="false">F54-E54</f>
        <v>0.0611111111111111</v>
      </c>
      <c r="H54" s="23" t="s">
        <v>188</v>
      </c>
      <c r="I54" s="1" t="s">
        <v>78</v>
      </c>
      <c r="J54" s="1" t="n">
        <v>172697</v>
      </c>
      <c r="L54" s="1" t="n">
        <v>1</v>
      </c>
      <c r="M54" s="1" t="s">
        <v>187</v>
      </c>
    </row>
    <row r="55" customFormat="false" ht="23.85" hidden="false" customHeight="false" outlineLevel="0" collapsed="false">
      <c r="A55" s="1" t="s">
        <v>48</v>
      </c>
      <c r="B55" s="1" t="s">
        <v>180</v>
      </c>
      <c r="C55" s="13" t="s">
        <v>8</v>
      </c>
      <c r="D55" s="14" t="n">
        <v>46095</v>
      </c>
      <c r="E55" s="15" t="n">
        <v>0</v>
      </c>
      <c r="F55" s="22" t="n">
        <v>0.0659722222222222</v>
      </c>
      <c r="G55" s="16" t="n">
        <f aca="false">F55-E55</f>
        <v>0.0659722222222222</v>
      </c>
      <c r="H55" s="24" t="s">
        <v>189</v>
      </c>
      <c r="I55" s="1" t="s">
        <v>78</v>
      </c>
      <c r="J55" s="1" t="n">
        <v>172699</v>
      </c>
      <c r="L55" s="1" t="n">
        <v>2</v>
      </c>
      <c r="M55" s="1" t="s">
        <v>190</v>
      </c>
    </row>
    <row r="56" customFormat="false" ht="23.85" hidden="false" customHeight="false" outlineLevel="0" collapsed="false">
      <c r="A56" s="1" t="s">
        <v>48</v>
      </c>
      <c r="B56" s="1" t="s">
        <v>180</v>
      </c>
      <c r="C56" s="13" t="s">
        <v>8</v>
      </c>
      <c r="D56" s="14" t="n">
        <v>46095</v>
      </c>
      <c r="E56" s="15" t="n">
        <v>0.374305555555556</v>
      </c>
      <c r="F56" s="22" t="n">
        <v>0.541666666666667</v>
      </c>
      <c r="G56" s="16" t="n">
        <f aca="false">F56-E56</f>
        <v>0.167361111111111</v>
      </c>
      <c r="H56" s="24" t="s">
        <v>191</v>
      </c>
      <c r="I56" s="1" t="s">
        <v>78</v>
      </c>
      <c r="J56" s="1" t="n">
        <v>172699</v>
      </c>
      <c r="L56" s="1" t="n">
        <v>9</v>
      </c>
      <c r="M56" s="1" t="s">
        <v>190</v>
      </c>
    </row>
    <row r="57" customFormat="false" ht="38.25" hidden="false" customHeight="true" outlineLevel="0" collapsed="false">
      <c r="A57" s="1" t="s">
        <v>48</v>
      </c>
      <c r="B57" s="1" t="s">
        <v>180</v>
      </c>
      <c r="C57" s="13" t="s">
        <v>8</v>
      </c>
      <c r="D57" s="14" t="n">
        <v>46095</v>
      </c>
      <c r="E57" s="15" t="n">
        <v>0.583333333333333</v>
      </c>
      <c r="F57" s="22" t="n">
        <v>0.699305555555556</v>
      </c>
      <c r="G57" s="16" t="n">
        <f aca="false">F57-E57</f>
        <v>0.115972222222222</v>
      </c>
      <c r="H57" s="24" t="s">
        <v>192</v>
      </c>
      <c r="I57" s="1" t="s">
        <v>78</v>
      </c>
      <c r="J57" s="1" t="n">
        <v>172699</v>
      </c>
      <c r="L57" s="1" t="n">
        <v>9</v>
      </c>
      <c r="M57" s="1" t="s">
        <v>190</v>
      </c>
    </row>
    <row r="58" customFormat="false" ht="23.85" hidden="false" customHeight="false" outlineLevel="0" collapsed="false">
      <c r="A58" s="1" t="s">
        <v>48</v>
      </c>
      <c r="B58" s="1" t="s">
        <v>180</v>
      </c>
      <c r="C58" s="13" t="s">
        <v>11</v>
      </c>
      <c r="D58" s="14" t="n">
        <v>46096</v>
      </c>
      <c r="E58" s="15" t="n">
        <v>0.333333333333333</v>
      </c>
      <c r="F58" s="22" t="n">
        <v>0.493055555555556</v>
      </c>
      <c r="G58" s="16" t="n">
        <f aca="false">F58-E58</f>
        <v>0.159722222222222</v>
      </c>
      <c r="H58" s="24" t="s">
        <v>193</v>
      </c>
      <c r="I58" s="1" t="s">
        <v>78</v>
      </c>
      <c r="J58" s="1" t="n">
        <v>172758</v>
      </c>
      <c r="L58" s="1" t="n">
        <v>5</v>
      </c>
      <c r="M58" s="1" t="s">
        <v>194</v>
      </c>
    </row>
    <row r="59" customFormat="false" ht="12.75" hidden="false" customHeight="false" outlineLevel="0" collapsed="false">
      <c r="A59" s="1" t="s">
        <v>48</v>
      </c>
      <c r="B59" s="1" t="s">
        <v>180</v>
      </c>
      <c r="C59" s="13" t="s">
        <v>11</v>
      </c>
      <c r="D59" s="14" t="n">
        <v>46096</v>
      </c>
      <c r="E59" s="15" t="n">
        <v>0.606944444444444</v>
      </c>
      <c r="F59" s="22" t="n">
        <v>0.628472222222222</v>
      </c>
      <c r="G59" s="16" t="n">
        <f aca="false">F59-E59</f>
        <v>0.0215277777777778</v>
      </c>
      <c r="H59" s="23" t="s">
        <v>195</v>
      </c>
      <c r="I59" s="1" t="s">
        <v>73</v>
      </c>
      <c r="J59" s="1" t="n">
        <v>172758</v>
      </c>
      <c r="L59" s="1" t="n">
        <v>3</v>
      </c>
      <c r="M59" s="1" t="s">
        <v>194</v>
      </c>
    </row>
    <row r="60" customFormat="false" ht="12.75" hidden="false" customHeight="false" outlineLevel="0" collapsed="false">
      <c r="A60" s="1" t="s">
        <v>48</v>
      </c>
      <c r="B60" s="1" t="s">
        <v>196</v>
      </c>
      <c r="C60" s="13" t="s">
        <v>71</v>
      </c>
      <c r="D60" s="14" t="n">
        <v>46097</v>
      </c>
      <c r="E60" s="15" t="n">
        <v>0.757638888888889</v>
      </c>
      <c r="F60" s="22" t="n">
        <v>0.833333333333333</v>
      </c>
      <c r="G60" s="16" t="n">
        <f aca="false">F60-E60</f>
        <v>0.0756944444444444</v>
      </c>
      <c r="H60" s="23" t="s">
        <v>197</v>
      </c>
      <c r="I60" s="1" t="s">
        <v>78</v>
      </c>
      <c r="J60" s="1" t="n">
        <v>172782</v>
      </c>
      <c r="L60" s="1" t="n">
        <v>3</v>
      </c>
      <c r="M60" s="1" t="s">
        <v>198</v>
      </c>
    </row>
    <row r="61" customFormat="false" ht="23.85" hidden="false" customHeight="false" outlineLevel="0" collapsed="false">
      <c r="A61" s="1" t="s">
        <v>48</v>
      </c>
      <c r="B61" s="1" t="s">
        <v>196</v>
      </c>
      <c r="C61" s="13" t="s">
        <v>76</v>
      </c>
      <c r="D61" s="14" t="n">
        <v>46098</v>
      </c>
      <c r="E61" s="15" t="n">
        <v>0.802777777777778</v>
      </c>
      <c r="F61" s="22" t="n">
        <v>0.90625</v>
      </c>
      <c r="G61" s="16" t="n">
        <f aca="false">F61-E61</f>
        <v>0.103472222222222</v>
      </c>
      <c r="H61" s="24" t="s">
        <v>199</v>
      </c>
      <c r="I61" s="1" t="s">
        <v>73</v>
      </c>
      <c r="J61" s="1" t="n">
        <v>172872</v>
      </c>
      <c r="L61" s="1" t="n">
        <v>5</v>
      </c>
      <c r="M61" s="1" t="s">
        <v>200</v>
      </c>
    </row>
    <row r="62" customFormat="false" ht="23.85" hidden="false" customHeight="false" outlineLevel="0" collapsed="false">
      <c r="A62" s="1" t="s">
        <v>48</v>
      </c>
      <c r="B62" s="1" t="s">
        <v>196</v>
      </c>
      <c r="C62" s="13" t="s">
        <v>81</v>
      </c>
      <c r="D62" s="14" t="n">
        <v>46099</v>
      </c>
      <c r="E62" s="15" t="n">
        <v>0.833333333333333</v>
      </c>
      <c r="F62" s="22" t="n">
        <v>0.9375</v>
      </c>
      <c r="G62" s="16" t="n">
        <f aca="false">F62-E62</f>
        <v>0.104166666666667</v>
      </c>
      <c r="H62" s="24" t="s">
        <v>201</v>
      </c>
      <c r="I62" s="1" t="s">
        <v>78</v>
      </c>
      <c r="J62" s="1" t="n">
        <v>172976</v>
      </c>
      <c r="L62" s="1" t="n">
        <v>3</v>
      </c>
      <c r="M62" s="1" t="s">
        <v>202</v>
      </c>
    </row>
    <row r="63" customFormat="false" ht="27" hidden="false" customHeight="true" outlineLevel="0" collapsed="false">
      <c r="A63" s="1" t="s">
        <v>48</v>
      </c>
      <c r="B63" s="1" t="s">
        <v>196</v>
      </c>
      <c r="C63" s="13" t="s">
        <v>108</v>
      </c>
      <c r="D63" s="14" t="n">
        <v>46100</v>
      </c>
      <c r="E63" s="15" t="n">
        <v>0.708333333333333</v>
      </c>
      <c r="F63" s="22" t="n">
        <v>0.958333333333333</v>
      </c>
      <c r="G63" s="16" t="n">
        <f aca="false">F63-E63</f>
        <v>0.25</v>
      </c>
      <c r="H63" s="24" t="s">
        <v>203</v>
      </c>
      <c r="I63" s="1" t="s">
        <v>78</v>
      </c>
      <c r="J63" s="1" t="n">
        <v>173044</v>
      </c>
      <c r="L63" s="1" t="n">
        <v>9</v>
      </c>
      <c r="M63" s="1" t="s">
        <v>204</v>
      </c>
    </row>
    <row r="64" customFormat="false" ht="23.85" hidden="false" customHeight="false" outlineLevel="0" collapsed="false">
      <c r="A64" s="1" t="s">
        <v>48</v>
      </c>
      <c r="B64" s="1" t="s">
        <v>196</v>
      </c>
      <c r="C64" s="13" t="s">
        <v>100</v>
      </c>
      <c r="D64" s="14" t="n">
        <v>46101</v>
      </c>
      <c r="E64" s="15" t="n">
        <v>0.857638888888889</v>
      </c>
      <c r="F64" s="22" t="n">
        <v>0.940972222222222</v>
      </c>
      <c r="G64" s="16" t="n">
        <f aca="false">F64-E64</f>
        <v>0.0833333333333333</v>
      </c>
      <c r="H64" s="24" t="s">
        <v>205</v>
      </c>
      <c r="I64" s="1" t="s">
        <v>110</v>
      </c>
      <c r="J64" s="1" t="n">
        <v>173139</v>
      </c>
      <c r="L64" s="1" t="n">
        <v>7</v>
      </c>
      <c r="M64" s="1" t="s">
        <v>206</v>
      </c>
    </row>
    <row r="65" customFormat="false" ht="12.75" hidden="false" customHeight="false" outlineLevel="0" collapsed="false">
      <c r="A65" s="1" t="s">
        <v>48</v>
      </c>
      <c r="B65" s="1" t="s">
        <v>207</v>
      </c>
      <c r="C65" s="13" t="s">
        <v>8</v>
      </c>
      <c r="D65" s="14" t="n">
        <v>46102</v>
      </c>
      <c r="E65" s="15" t="n">
        <v>0.270833333333333</v>
      </c>
      <c r="F65" s="22" t="n">
        <v>0.666666666666667</v>
      </c>
      <c r="G65" s="16" t="n">
        <f aca="false">F65-E65</f>
        <v>0.395833333333333</v>
      </c>
      <c r="H65" s="24" t="s">
        <v>208</v>
      </c>
      <c r="I65" s="1" t="s">
        <v>118</v>
      </c>
      <c r="J65" s="1" t="n">
        <v>173193</v>
      </c>
      <c r="L65" s="1" t="n">
        <v>4</v>
      </c>
      <c r="M65" s="1" t="s">
        <v>209</v>
      </c>
    </row>
    <row r="66" customFormat="false" ht="12.75" hidden="false" customHeight="false" outlineLevel="0" collapsed="false">
      <c r="A66" s="1" t="s">
        <v>48</v>
      </c>
      <c r="B66" s="1" t="s">
        <v>196</v>
      </c>
      <c r="C66" s="13" t="s">
        <v>8</v>
      </c>
      <c r="D66" s="14" t="n">
        <v>46102</v>
      </c>
      <c r="E66" s="15" t="n">
        <v>0.739583333333333</v>
      </c>
      <c r="F66" s="22" t="n">
        <v>0.770833333333333</v>
      </c>
      <c r="G66" s="16" t="n">
        <f aca="false">F66-E66</f>
        <v>0.03125</v>
      </c>
      <c r="H66" s="23" t="s">
        <v>210</v>
      </c>
      <c r="I66" s="1" t="s">
        <v>73</v>
      </c>
      <c r="J66" s="1" t="n">
        <v>173193</v>
      </c>
      <c r="L66" s="1" t="n">
        <v>1</v>
      </c>
      <c r="M66" s="1" t="s">
        <v>209</v>
      </c>
    </row>
    <row r="67" customFormat="false" ht="12.75" hidden="false" customHeight="false" outlineLevel="0" collapsed="false">
      <c r="A67" s="1" t="s">
        <v>48</v>
      </c>
      <c r="B67" s="1" t="s">
        <v>196</v>
      </c>
      <c r="C67" s="13" t="s">
        <v>8</v>
      </c>
      <c r="D67" s="14" t="n">
        <v>46102</v>
      </c>
      <c r="E67" s="15" t="n">
        <v>0.809722222222222</v>
      </c>
      <c r="F67" s="22" t="n">
        <v>0.902777777777778</v>
      </c>
      <c r="G67" s="16" t="n">
        <f aca="false">F67-E67</f>
        <v>0.0930555555555556</v>
      </c>
      <c r="H67" s="24" t="s">
        <v>211</v>
      </c>
      <c r="I67" s="1" t="s">
        <v>73</v>
      </c>
      <c r="J67" s="1" t="n">
        <v>173193</v>
      </c>
      <c r="L67" s="1" t="n">
        <v>3</v>
      </c>
      <c r="M67" s="1" t="s">
        <v>209</v>
      </c>
    </row>
    <row r="68" customFormat="false" ht="23.85" hidden="false" customHeight="false" outlineLevel="0" collapsed="false">
      <c r="A68" s="1" t="s">
        <v>48</v>
      </c>
      <c r="B68" s="1" t="s">
        <v>180</v>
      </c>
      <c r="C68" s="13" t="s">
        <v>8</v>
      </c>
      <c r="D68" s="14" t="n">
        <v>46102</v>
      </c>
      <c r="E68" s="15" t="n">
        <v>0.270833333333333</v>
      </c>
      <c r="F68" s="22" t="n">
        <v>0.417361111111111</v>
      </c>
      <c r="G68" s="16" t="n">
        <f aca="false">F68-E68</f>
        <v>0.146527777777778</v>
      </c>
      <c r="H68" s="24" t="s">
        <v>212</v>
      </c>
      <c r="I68" s="1" t="s">
        <v>78</v>
      </c>
      <c r="J68" s="1" t="n">
        <v>173194</v>
      </c>
      <c r="L68" s="1" t="n">
        <v>5</v>
      </c>
      <c r="M68" s="1" t="s">
        <v>213</v>
      </c>
    </row>
    <row r="69" customFormat="false" ht="12.75" hidden="false" customHeight="false" outlineLevel="0" collapsed="false">
      <c r="A69" s="1" t="s">
        <v>48</v>
      </c>
      <c r="B69" s="1" t="s">
        <v>180</v>
      </c>
      <c r="C69" s="13" t="s">
        <v>8</v>
      </c>
      <c r="D69" s="14" t="n">
        <v>46102</v>
      </c>
      <c r="E69" s="15" t="n">
        <v>0.450694444444444</v>
      </c>
      <c r="F69" s="22" t="n">
        <v>0.548611111111111</v>
      </c>
      <c r="G69" s="16" t="n">
        <f aca="false">F69-E69</f>
        <v>0.0979166666666667</v>
      </c>
      <c r="H69" s="24" t="s">
        <v>214</v>
      </c>
      <c r="I69" s="1" t="s">
        <v>78</v>
      </c>
      <c r="J69" s="1" t="n">
        <v>173194</v>
      </c>
      <c r="L69" s="1" t="n">
        <v>3</v>
      </c>
      <c r="M69" s="1" t="s">
        <v>213</v>
      </c>
    </row>
    <row r="70" customFormat="false" ht="12.75" hidden="false" customHeight="false" outlineLevel="0" collapsed="false">
      <c r="A70" s="1" t="s">
        <v>48</v>
      </c>
      <c r="B70" s="1" t="s">
        <v>180</v>
      </c>
      <c r="C70" s="13" t="s">
        <v>8</v>
      </c>
      <c r="D70" s="14" t="n">
        <v>46102</v>
      </c>
      <c r="E70" s="15" t="n">
        <v>0.636111111111111</v>
      </c>
      <c r="F70" s="22" t="n">
        <v>0.668055555555556</v>
      </c>
      <c r="G70" s="16" t="n">
        <f aca="false">F70-E70</f>
        <v>0.0319444444444444</v>
      </c>
      <c r="H70" s="23" t="s">
        <v>215</v>
      </c>
      <c r="I70" s="1" t="s">
        <v>78</v>
      </c>
      <c r="J70" s="1" t="n">
        <v>173194</v>
      </c>
      <c r="L70" s="1" t="n">
        <v>1</v>
      </c>
      <c r="M70" s="1" t="s">
        <v>213</v>
      </c>
    </row>
    <row r="71" customFormat="false" ht="12.75" hidden="false" customHeight="false" outlineLevel="0" collapsed="false">
      <c r="A71" s="1" t="s">
        <v>48</v>
      </c>
      <c r="B71" s="1" t="s">
        <v>207</v>
      </c>
      <c r="C71" s="13" t="s">
        <v>11</v>
      </c>
      <c r="D71" s="14" t="n">
        <v>46103</v>
      </c>
      <c r="E71" s="15" t="n">
        <v>0.291666666666667</v>
      </c>
      <c r="F71" s="22" t="n">
        <v>0.59375</v>
      </c>
      <c r="G71" s="16" t="n">
        <f aca="false">F71-E71</f>
        <v>0.302083333333333</v>
      </c>
      <c r="H71" s="23" t="s">
        <v>216</v>
      </c>
      <c r="I71" s="1" t="s">
        <v>78</v>
      </c>
      <c r="J71" s="1" t="n">
        <v>173223</v>
      </c>
      <c r="L71" s="1" t="n">
        <v>4</v>
      </c>
      <c r="M71" s="1" t="s">
        <v>217</v>
      </c>
    </row>
    <row r="72" customFormat="false" ht="12.75" hidden="false" customHeight="false" outlineLevel="0" collapsed="false">
      <c r="A72" s="1" t="s">
        <v>48</v>
      </c>
      <c r="B72" s="1" t="s">
        <v>196</v>
      </c>
      <c r="C72" s="13" t="s">
        <v>11</v>
      </c>
      <c r="D72" s="14" t="n">
        <v>46103</v>
      </c>
      <c r="E72" s="15" t="n">
        <v>0.726388888888889</v>
      </c>
      <c r="F72" s="22" t="n">
        <v>0.770833333333333</v>
      </c>
      <c r="G72" s="16" t="n">
        <f aca="false">F72-E72</f>
        <v>0.0444444444444444</v>
      </c>
      <c r="H72" s="23" t="s">
        <v>218</v>
      </c>
      <c r="I72" s="1" t="s">
        <v>78</v>
      </c>
      <c r="J72" s="1" t="n">
        <v>173223</v>
      </c>
      <c r="L72" s="1" t="n">
        <v>3</v>
      </c>
      <c r="M72" s="1" t="s">
        <v>217</v>
      </c>
    </row>
    <row r="73" customFormat="false" ht="12.75" hidden="false" customHeight="false" outlineLevel="0" collapsed="false">
      <c r="A73" s="1" t="s">
        <v>49</v>
      </c>
      <c r="B73" s="1" t="s">
        <v>219</v>
      </c>
      <c r="C73" s="13" t="s">
        <v>71</v>
      </c>
      <c r="D73" s="14" t="n">
        <v>46083</v>
      </c>
      <c r="E73" s="15" t="n">
        <v>0.666666666666667</v>
      </c>
      <c r="F73" s="22" t="n">
        <v>0.791666666666667</v>
      </c>
      <c r="G73" s="16" t="n">
        <f aca="false">F73-E73</f>
        <v>0.125</v>
      </c>
      <c r="H73" s="17" t="s">
        <v>220</v>
      </c>
      <c r="I73" s="1" t="s">
        <v>221</v>
      </c>
      <c r="J73" s="1" t="n">
        <v>171799</v>
      </c>
      <c r="L73" s="1" t="n">
        <v>2</v>
      </c>
      <c r="M73" s="1" t="s">
        <v>222</v>
      </c>
    </row>
    <row r="74" customFormat="false" ht="12.75" hidden="false" customHeight="false" outlineLevel="0" collapsed="false">
      <c r="A74" s="1" t="s">
        <v>49</v>
      </c>
      <c r="B74" s="1" t="s">
        <v>219</v>
      </c>
      <c r="C74" s="13" t="s">
        <v>76</v>
      </c>
      <c r="D74" s="14" t="n">
        <v>46084</v>
      </c>
      <c r="E74" s="15" t="n">
        <v>0.277777777777778</v>
      </c>
      <c r="F74" s="22" t="n">
        <v>0.333333333333333</v>
      </c>
      <c r="G74" s="16" t="n">
        <f aca="false">F74-E74</f>
        <v>0.0555555555555556</v>
      </c>
      <c r="H74" s="17" t="s">
        <v>223</v>
      </c>
      <c r="I74" s="1" t="s">
        <v>78</v>
      </c>
      <c r="J74" s="1" t="n">
        <v>171894</v>
      </c>
      <c r="L74" s="1" t="n">
        <v>1</v>
      </c>
      <c r="M74" s="1" t="s">
        <v>224</v>
      </c>
    </row>
    <row r="75" customFormat="false" ht="12.75" hidden="false" customHeight="false" outlineLevel="0" collapsed="false">
      <c r="A75" s="1" t="s">
        <v>49</v>
      </c>
      <c r="B75" s="1" t="s">
        <v>219</v>
      </c>
      <c r="C75" s="13" t="s">
        <v>76</v>
      </c>
      <c r="D75" s="14" t="n">
        <v>46084</v>
      </c>
      <c r="E75" s="15" t="n">
        <v>0.666666666666667</v>
      </c>
      <c r="F75" s="22" t="n">
        <v>0.75</v>
      </c>
      <c r="G75" s="16" t="n">
        <f aca="false">F75-E75</f>
        <v>0.0833333333333333</v>
      </c>
      <c r="H75" s="17" t="s">
        <v>225</v>
      </c>
      <c r="I75" s="1" t="s">
        <v>226</v>
      </c>
      <c r="J75" s="1" t="n">
        <v>171894</v>
      </c>
      <c r="L75" s="1" t="n">
        <v>1</v>
      </c>
      <c r="M75" s="1" t="s">
        <v>224</v>
      </c>
    </row>
    <row r="76" customFormat="false" ht="12.75" hidden="false" customHeight="false" outlineLevel="0" collapsed="false">
      <c r="A76" s="1" t="s">
        <v>49</v>
      </c>
      <c r="B76" s="1" t="s">
        <v>219</v>
      </c>
      <c r="C76" s="13" t="s">
        <v>81</v>
      </c>
      <c r="D76" s="14" t="n">
        <v>46085</v>
      </c>
      <c r="E76" s="15" t="n">
        <v>0.666666666666667</v>
      </c>
      <c r="F76" s="22" t="n">
        <v>0.777777777777778</v>
      </c>
      <c r="G76" s="16" t="n">
        <f aca="false">F76-E76</f>
        <v>0.111111111111111</v>
      </c>
      <c r="H76" s="17" t="s">
        <v>227</v>
      </c>
      <c r="I76" s="1" t="s">
        <v>78</v>
      </c>
      <c r="J76" s="1" t="n">
        <v>171993</v>
      </c>
      <c r="L76" s="1" t="n">
        <v>1</v>
      </c>
      <c r="M76" s="1" t="s">
        <v>228</v>
      </c>
    </row>
    <row r="77" customFormat="false" ht="12.75" hidden="false" customHeight="false" outlineLevel="0" collapsed="false">
      <c r="A77" s="1" t="s">
        <v>49</v>
      </c>
      <c r="B77" s="1" t="s">
        <v>219</v>
      </c>
      <c r="C77" s="13" t="s">
        <v>108</v>
      </c>
      <c r="D77" s="14" t="n">
        <v>46086</v>
      </c>
      <c r="E77" s="15" t="n">
        <v>0.666666666666667</v>
      </c>
      <c r="F77" s="22" t="n">
        <v>0.75</v>
      </c>
      <c r="G77" s="16" t="n">
        <f aca="false">F77-E77</f>
        <v>0.0833333333333333</v>
      </c>
      <c r="H77" s="17" t="s">
        <v>229</v>
      </c>
      <c r="I77" s="1" t="s">
        <v>78</v>
      </c>
      <c r="J77" s="1" t="n">
        <v>172093</v>
      </c>
      <c r="L77" s="1" t="n">
        <v>1</v>
      </c>
      <c r="M77" s="1" t="s">
        <v>230</v>
      </c>
    </row>
    <row r="78" customFormat="false" ht="12.75" hidden="false" customHeight="false" outlineLevel="0" collapsed="false">
      <c r="A78" s="1" t="s">
        <v>49</v>
      </c>
      <c r="B78" s="1" t="s">
        <v>219</v>
      </c>
      <c r="C78" s="13" t="s">
        <v>100</v>
      </c>
      <c r="D78" s="14" t="n">
        <v>46087</v>
      </c>
      <c r="E78" s="15" t="n">
        <v>0.666666666666667</v>
      </c>
      <c r="F78" s="22" t="n">
        <v>0.75</v>
      </c>
      <c r="G78" s="16" t="n">
        <f aca="false">F78-E78</f>
        <v>0.0833333333333333</v>
      </c>
      <c r="H78" s="17" t="s">
        <v>231</v>
      </c>
      <c r="I78" s="1" t="s">
        <v>78</v>
      </c>
      <c r="J78" s="1" t="n">
        <v>172165</v>
      </c>
      <c r="L78" s="1" t="n">
        <v>1</v>
      </c>
      <c r="M78" s="1" t="s">
        <v>232</v>
      </c>
    </row>
    <row r="79" customFormat="false" ht="12.75" hidden="false" customHeight="false" outlineLevel="0" collapsed="false">
      <c r="A79" s="1" t="s">
        <v>49</v>
      </c>
      <c r="B79" s="1" t="s">
        <v>219</v>
      </c>
      <c r="C79" s="13" t="s">
        <v>71</v>
      </c>
      <c r="D79" s="14" t="n">
        <v>46090</v>
      </c>
      <c r="E79" s="15" t="n">
        <v>0.666666666666667</v>
      </c>
      <c r="F79" s="22" t="n">
        <v>0.770833333333333</v>
      </c>
      <c r="G79" s="16" t="n">
        <f aca="false">F79-E79</f>
        <v>0.104166666666667</v>
      </c>
      <c r="H79" s="17" t="s">
        <v>233</v>
      </c>
      <c r="I79" s="1" t="s">
        <v>234</v>
      </c>
      <c r="J79" s="1" t="n">
        <v>172274</v>
      </c>
      <c r="L79" s="1" t="n">
        <v>1</v>
      </c>
      <c r="M79" s="1" t="s">
        <v>235</v>
      </c>
    </row>
    <row r="80" customFormat="false" ht="12.75" hidden="false" customHeight="false" outlineLevel="0" collapsed="false">
      <c r="A80" s="1" t="s">
        <v>49</v>
      </c>
      <c r="B80" s="1" t="s">
        <v>219</v>
      </c>
      <c r="C80" s="13" t="s">
        <v>76</v>
      </c>
      <c r="D80" s="14" t="n">
        <v>46091</v>
      </c>
      <c r="E80" s="15" t="n">
        <v>0.666666666666667</v>
      </c>
      <c r="F80" s="22" t="n">
        <v>0.770833333333333</v>
      </c>
      <c r="G80" s="16" t="n">
        <f aca="false">F80-E80</f>
        <v>0.104166666666667</v>
      </c>
      <c r="H80" s="17" t="s">
        <v>236</v>
      </c>
      <c r="I80" s="1" t="s">
        <v>221</v>
      </c>
      <c r="J80" s="1" t="n">
        <v>172404</v>
      </c>
      <c r="L80" s="1" t="n">
        <v>2</v>
      </c>
      <c r="M80" s="1" t="s">
        <v>237</v>
      </c>
    </row>
    <row r="81" customFormat="false" ht="12.75" hidden="false" customHeight="false" outlineLevel="0" collapsed="false">
      <c r="A81" s="1" t="s">
        <v>49</v>
      </c>
      <c r="B81" s="1" t="s">
        <v>219</v>
      </c>
      <c r="C81" s="13" t="s">
        <v>81</v>
      </c>
      <c r="D81" s="14" t="n">
        <v>46092</v>
      </c>
      <c r="E81" s="15" t="n">
        <v>0.666666666666667</v>
      </c>
      <c r="F81" s="22" t="n">
        <v>0.8125</v>
      </c>
      <c r="G81" s="16" t="n">
        <f aca="false">F81-E81</f>
        <v>0.145833333333333</v>
      </c>
      <c r="H81" s="17" t="s">
        <v>238</v>
      </c>
      <c r="I81" s="1" t="s">
        <v>78</v>
      </c>
      <c r="J81" s="1" t="n">
        <v>172473</v>
      </c>
      <c r="L81" s="1" t="n">
        <v>1</v>
      </c>
      <c r="M81" s="1" t="s">
        <v>239</v>
      </c>
    </row>
    <row r="82" customFormat="false" ht="12.75" hidden="false" customHeight="false" outlineLevel="0" collapsed="false">
      <c r="A82" s="1" t="s">
        <v>49</v>
      </c>
      <c r="B82" s="1" t="s">
        <v>219</v>
      </c>
      <c r="C82" s="13" t="s">
        <v>71</v>
      </c>
      <c r="D82" s="14" t="n">
        <v>46097</v>
      </c>
      <c r="E82" s="15" t="n">
        <v>0.666666666666667</v>
      </c>
      <c r="F82" s="22" t="n">
        <v>0.875</v>
      </c>
      <c r="G82" s="16" t="n">
        <f aca="false">F82-E82</f>
        <v>0.208333333333333</v>
      </c>
      <c r="H82" s="17" t="s">
        <v>240</v>
      </c>
      <c r="I82" s="1" t="s">
        <v>226</v>
      </c>
      <c r="J82" s="1" t="n">
        <v>172700</v>
      </c>
      <c r="L82" s="1" t="n">
        <v>1</v>
      </c>
      <c r="M82" s="1" t="s">
        <v>241</v>
      </c>
    </row>
    <row r="83" customFormat="false" ht="12.75" hidden="false" customHeight="false" outlineLevel="0" collapsed="false">
      <c r="A83" s="1" t="s">
        <v>49</v>
      </c>
      <c r="B83" s="1" t="s">
        <v>219</v>
      </c>
      <c r="C83" s="13" t="s">
        <v>76</v>
      </c>
      <c r="D83" s="14" t="n">
        <v>46098</v>
      </c>
      <c r="E83" s="15" t="n">
        <v>0.260416666666667</v>
      </c>
      <c r="F83" s="22" t="n">
        <v>0.333333333333333</v>
      </c>
      <c r="G83" s="16" t="n">
        <f aca="false">F83-E83</f>
        <v>0.0729166666666667</v>
      </c>
      <c r="H83" s="17" t="s">
        <v>242</v>
      </c>
      <c r="I83" s="1" t="s">
        <v>243</v>
      </c>
      <c r="J83" s="1" t="n">
        <v>172868</v>
      </c>
      <c r="L83" s="1" t="n">
        <v>1</v>
      </c>
      <c r="M83" s="1" t="s">
        <v>244</v>
      </c>
    </row>
    <row r="84" customFormat="false" ht="12.75" hidden="false" customHeight="false" outlineLevel="0" collapsed="false">
      <c r="A84" s="1" t="s">
        <v>49</v>
      </c>
      <c r="B84" s="1" t="s">
        <v>219</v>
      </c>
      <c r="C84" s="13" t="s">
        <v>76</v>
      </c>
      <c r="D84" s="14" t="n">
        <v>46098</v>
      </c>
      <c r="E84" s="15" t="n">
        <v>0.666666666666667</v>
      </c>
      <c r="F84" s="22" t="n">
        <v>0.75</v>
      </c>
      <c r="G84" s="16" t="n">
        <f aca="false">F84-E84</f>
        <v>0.0833333333333333</v>
      </c>
      <c r="H84" s="17" t="s">
        <v>245</v>
      </c>
      <c r="I84" s="1" t="s">
        <v>78</v>
      </c>
      <c r="J84" s="1" t="n">
        <v>172868</v>
      </c>
      <c r="L84" s="1" t="n">
        <v>1</v>
      </c>
      <c r="M84" s="1" t="s">
        <v>244</v>
      </c>
    </row>
    <row r="85" customFormat="false" ht="12.75" hidden="false" customHeight="false" outlineLevel="0" collapsed="false">
      <c r="A85" s="1" t="s">
        <v>49</v>
      </c>
      <c r="B85" s="1" t="s">
        <v>219</v>
      </c>
      <c r="C85" s="13" t="s">
        <v>81</v>
      </c>
      <c r="D85" s="14" t="n">
        <v>46099</v>
      </c>
      <c r="E85" s="15" t="n">
        <v>0.666666666666667</v>
      </c>
      <c r="F85" s="22" t="n">
        <v>0.791666666666667</v>
      </c>
      <c r="G85" s="16" t="n">
        <f aca="false">F85-E85</f>
        <v>0.125</v>
      </c>
      <c r="H85" s="17" t="s">
        <v>246</v>
      </c>
      <c r="I85" s="1" t="s">
        <v>234</v>
      </c>
      <c r="J85" s="1" t="n">
        <v>172944</v>
      </c>
      <c r="L85" s="1" t="n">
        <v>1</v>
      </c>
      <c r="M85" s="1" t="s">
        <v>247</v>
      </c>
    </row>
    <row r="86" customFormat="false" ht="12.75" hidden="false" customHeight="false" outlineLevel="0" collapsed="false">
      <c r="A86" s="1" t="s">
        <v>49</v>
      </c>
      <c r="B86" s="1" t="s">
        <v>219</v>
      </c>
      <c r="C86" s="13" t="s">
        <v>108</v>
      </c>
      <c r="D86" s="14" t="n">
        <v>46100</v>
      </c>
      <c r="E86" s="15" t="n">
        <v>0.666666666666667</v>
      </c>
      <c r="F86" s="22" t="n">
        <v>0.75</v>
      </c>
      <c r="G86" s="16" t="n">
        <f aca="false">F86-E86</f>
        <v>0.0833333333333333</v>
      </c>
      <c r="H86" s="17" t="s">
        <v>248</v>
      </c>
      <c r="I86" s="1" t="s">
        <v>78</v>
      </c>
      <c r="J86" s="1" t="n">
        <v>173010</v>
      </c>
      <c r="L86" s="1" t="n">
        <v>1</v>
      </c>
      <c r="M86" s="1" t="s">
        <v>249</v>
      </c>
    </row>
    <row r="87" customFormat="false" ht="12.75" hidden="false" customHeight="false" outlineLevel="0" collapsed="false">
      <c r="A87" s="1" t="s">
        <v>49</v>
      </c>
      <c r="B87" s="1" t="s">
        <v>219</v>
      </c>
      <c r="C87" s="13" t="s">
        <v>100</v>
      </c>
      <c r="D87" s="14" t="n">
        <v>46101</v>
      </c>
      <c r="E87" s="15" t="n">
        <v>0.291666666666667</v>
      </c>
      <c r="F87" s="22" t="n">
        <v>0.368055555555556</v>
      </c>
      <c r="G87" s="16" t="n">
        <f aca="false">F87-E87</f>
        <v>0.0763888888888889</v>
      </c>
      <c r="H87" s="17" t="s">
        <v>250</v>
      </c>
      <c r="I87" s="1" t="s">
        <v>221</v>
      </c>
      <c r="J87" s="1" t="n">
        <v>173089</v>
      </c>
      <c r="L87" s="1" t="n">
        <v>2</v>
      </c>
      <c r="M87" s="1" t="s">
        <v>251</v>
      </c>
    </row>
    <row r="88" customFormat="false" ht="12.75" hidden="false" customHeight="false" outlineLevel="0" collapsed="false">
      <c r="A88" s="1" t="s">
        <v>49</v>
      </c>
      <c r="B88" s="1" t="s">
        <v>219</v>
      </c>
      <c r="C88" s="13" t="s">
        <v>100</v>
      </c>
      <c r="D88" s="14" t="n">
        <v>46101</v>
      </c>
      <c r="E88" s="15" t="n">
        <v>0.739583333333333</v>
      </c>
      <c r="F88" s="22" t="n">
        <v>0.822916666666667</v>
      </c>
      <c r="G88" s="16" t="n">
        <f aca="false">F88-E88</f>
        <v>0.0833333333333333</v>
      </c>
      <c r="H88" s="17" t="s">
        <v>252</v>
      </c>
      <c r="I88" s="1" t="s">
        <v>243</v>
      </c>
      <c r="J88" s="1" t="n">
        <v>173089</v>
      </c>
      <c r="L88" s="1" t="n">
        <v>1</v>
      </c>
      <c r="M88" s="1" t="s">
        <v>251</v>
      </c>
    </row>
    <row r="89" customFormat="false" ht="12.75" hidden="false" customHeight="false" outlineLevel="0" collapsed="false">
      <c r="A89" s="1" t="s">
        <v>49</v>
      </c>
      <c r="B89" s="1" t="s">
        <v>219</v>
      </c>
      <c r="C89" s="13" t="s">
        <v>8</v>
      </c>
      <c r="D89" s="14" t="n">
        <v>46102</v>
      </c>
      <c r="E89" s="15" t="n">
        <v>0.302083333333333</v>
      </c>
      <c r="F89" s="22" t="n">
        <v>0.666666666666667</v>
      </c>
      <c r="G89" s="16" t="n">
        <f aca="false">F89-E89</f>
        <v>0.364583333333333</v>
      </c>
      <c r="H89" s="17" t="s">
        <v>253</v>
      </c>
      <c r="I89" s="1" t="s">
        <v>78</v>
      </c>
      <c r="J89" s="1" t="n">
        <v>173192</v>
      </c>
      <c r="L89" s="1" t="n">
        <v>1</v>
      </c>
      <c r="M89" s="1" t="s">
        <v>254</v>
      </c>
    </row>
    <row r="90" customFormat="false" ht="12.75" hidden="false" customHeight="false" outlineLevel="0" collapsed="false">
      <c r="A90" s="1" t="s">
        <v>51</v>
      </c>
      <c r="B90" s="1" t="s">
        <v>255</v>
      </c>
      <c r="C90" s="13" t="s">
        <v>71</v>
      </c>
      <c r="D90" s="14" t="n">
        <v>46083</v>
      </c>
      <c r="E90" s="15" t="n">
        <v>0.708333333333333</v>
      </c>
      <c r="F90" s="22" t="n">
        <v>0.8125</v>
      </c>
      <c r="G90" s="16" t="n">
        <f aca="false">F90-E90</f>
        <v>0.104166666666667</v>
      </c>
      <c r="H90" s="23" t="s">
        <v>256</v>
      </c>
      <c r="I90" s="1" t="s">
        <v>73</v>
      </c>
      <c r="J90" s="1" t="n">
        <v>171816</v>
      </c>
      <c r="L90" s="1" t="n">
        <v>3</v>
      </c>
      <c r="M90" s="1" t="s">
        <v>257</v>
      </c>
    </row>
    <row r="91" customFormat="false" ht="23.85" hidden="false" customHeight="false" outlineLevel="0" collapsed="false">
      <c r="A91" s="1" t="s">
        <v>51</v>
      </c>
      <c r="B91" s="1" t="s">
        <v>258</v>
      </c>
      <c r="C91" s="13" t="s">
        <v>8</v>
      </c>
      <c r="D91" s="14" t="n">
        <v>46088</v>
      </c>
      <c r="E91" s="15" t="n">
        <v>0.335416666666667</v>
      </c>
      <c r="F91" s="22" t="n">
        <v>0.525694444444445</v>
      </c>
      <c r="G91" s="16" t="n">
        <f aca="false">F91-E91</f>
        <v>0.190277777777778</v>
      </c>
      <c r="H91" s="24" t="s">
        <v>259</v>
      </c>
      <c r="I91" s="1" t="s">
        <v>73</v>
      </c>
      <c r="J91" s="1" t="n">
        <v>172277</v>
      </c>
      <c r="L91" s="1" t="n">
        <v>5</v>
      </c>
      <c r="M91" s="1" t="s">
        <v>260</v>
      </c>
    </row>
    <row r="92" customFormat="false" ht="12.75" hidden="false" customHeight="false" outlineLevel="0" collapsed="false">
      <c r="A92" s="1" t="s">
        <v>51</v>
      </c>
      <c r="B92" s="1" t="s">
        <v>255</v>
      </c>
      <c r="C92" s="13" t="s">
        <v>8</v>
      </c>
      <c r="D92" s="14" t="n">
        <v>46095</v>
      </c>
      <c r="E92" s="15" t="n">
        <v>0.525</v>
      </c>
      <c r="F92" s="22" t="n">
        <v>0.633333333333333</v>
      </c>
      <c r="G92" s="16" t="n">
        <f aca="false">F92-E92</f>
        <v>0.108333333333333</v>
      </c>
      <c r="H92" s="17" t="s">
        <v>261</v>
      </c>
      <c r="I92" s="1" t="s">
        <v>78</v>
      </c>
      <c r="J92" s="1" t="n">
        <v>172714</v>
      </c>
      <c r="L92" s="1" t="n">
        <v>3</v>
      </c>
      <c r="M92" s="1" t="s">
        <v>262</v>
      </c>
    </row>
    <row r="93" customFormat="false" ht="46.25" hidden="false" customHeight="false" outlineLevel="0" collapsed="false">
      <c r="A93" s="1" t="s">
        <v>51</v>
      </c>
      <c r="B93" s="1" t="s">
        <v>255</v>
      </c>
      <c r="C93" s="13" t="s">
        <v>11</v>
      </c>
      <c r="D93" s="14" t="n">
        <v>46096</v>
      </c>
      <c r="E93" s="15" t="n">
        <v>0.333333333333333</v>
      </c>
      <c r="F93" s="22" t="n">
        <v>0.614583333333333</v>
      </c>
      <c r="G93" s="16" t="n">
        <f aca="false">F93-E93</f>
        <v>0.28125</v>
      </c>
      <c r="H93" s="24" t="s">
        <v>263</v>
      </c>
      <c r="I93" s="1" t="s">
        <v>78</v>
      </c>
      <c r="J93" s="1" t="n">
        <v>172716</v>
      </c>
      <c r="L93" s="1" t="n">
        <v>9</v>
      </c>
      <c r="M93" s="1" t="s">
        <v>264</v>
      </c>
    </row>
    <row r="94" customFormat="false" ht="23.85" hidden="false" customHeight="false" outlineLevel="0" collapsed="false">
      <c r="A94" s="1" t="s">
        <v>51</v>
      </c>
      <c r="B94" s="1" t="s">
        <v>265</v>
      </c>
      <c r="C94" s="13" t="s">
        <v>76</v>
      </c>
      <c r="D94" s="14" t="n">
        <v>46098</v>
      </c>
      <c r="E94" s="15" t="n">
        <v>0.756944444444444</v>
      </c>
      <c r="F94" s="22" t="n">
        <v>0.925</v>
      </c>
      <c r="G94" s="16" t="n">
        <f aca="false">F94-E94</f>
        <v>0.168055555555556</v>
      </c>
      <c r="H94" s="24" t="s">
        <v>266</v>
      </c>
      <c r="I94" s="1" t="s">
        <v>73</v>
      </c>
      <c r="J94" s="1" t="n">
        <v>173005</v>
      </c>
      <c r="L94" s="1" t="n">
        <v>5</v>
      </c>
      <c r="M94" s="1" t="s">
        <v>267</v>
      </c>
    </row>
    <row r="95" customFormat="false" ht="12.75" hidden="false" customHeight="false" outlineLevel="0" collapsed="false">
      <c r="A95" s="1" t="s">
        <v>51</v>
      </c>
      <c r="B95" s="1" t="s">
        <v>265</v>
      </c>
      <c r="C95" s="13" t="s">
        <v>81</v>
      </c>
      <c r="D95" s="14" t="n">
        <v>46099</v>
      </c>
      <c r="E95" s="15" t="n">
        <v>0.902777777777778</v>
      </c>
      <c r="F95" s="22" t="n">
        <v>0.941666666666667</v>
      </c>
      <c r="G95" s="16" t="n">
        <f aca="false">F95-E95</f>
        <v>0.0388888888888889</v>
      </c>
      <c r="H95" s="23" t="s">
        <v>268</v>
      </c>
      <c r="I95" s="1" t="s">
        <v>78</v>
      </c>
      <c r="J95" s="1" t="n">
        <v>173135</v>
      </c>
      <c r="L95" s="1" t="n">
        <v>3</v>
      </c>
      <c r="M95" s="1" t="s">
        <v>269</v>
      </c>
    </row>
    <row r="96" customFormat="false" ht="12.75" hidden="false" customHeight="false" outlineLevel="0" collapsed="false">
      <c r="A96" s="1" t="s">
        <v>51</v>
      </c>
      <c r="B96" s="1" t="s">
        <v>265</v>
      </c>
      <c r="C96" s="13" t="s">
        <v>108</v>
      </c>
      <c r="D96" s="14" t="n">
        <v>46100</v>
      </c>
      <c r="E96" s="15" t="n">
        <v>0.708333333333333</v>
      </c>
      <c r="F96" s="22" t="n">
        <v>0.763194444444444</v>
      </c>
      <c r="G96" s="16" t="n">
        <f aca="false">F96-E96</f>
        <v>0.0548611111111111</v>
      </c>
      <c r="H96" s="23" t="s">
        <v>270</v>
      </c>
      <c r="I96" s="1" t="s">
        <v>78</v>
      </c>
      <c r="J96" s="1" t="n">
        <v>173140</v>
      </c>
      <c r="L96" s="1" t="n">
        <v>3</v>
      </c>
      <c r="M96" s="1" t="s">
        <v>271</v>
      </c>
    </row>
    <row r="97" customFormat="false" ht="12.75" hidden="false" customHeight="false" outlineLevel="0" collapsed="false">
      <c r="A97" s="1" t="s">
        <v>51</v>
      </c>
      <c r="B97" s="1" t="s">
        <v>272</v>
      </c>
      <c r="C97" s="13" t="s">
        <v>8</v>
      </c>
      <c r="D97" s="14" t="n">
        <v>46102</v>
      </c>
      <c r="E97" s="15" t="n">
        <v>0.25</v>
      </c>
      <c r="F97" s="22" t="n">
        <v>0.541666666666667</v>
      </c>
      <c r="G97" s="16" t="n">
        <f aca="false">F97-E97</f>
        <v>0.291666666666667</v>
      </c>
      <c r="H97" s="23" t="s">
        <v>273</v>
      </c>
      <c r="I97" s="1" t="s">
        <v>118</v>
      </c>
      <c r="J97" s="1" t="n">
        <v>173191</v>
      </c>
      <c r="L97" s="1" t="n">
        <v>1</v>
      </c>
      <c r="M97" s="1" t="s">
        <v>274</v>
      </c>
    </row>
    <row r="98" customFormat="false" ht="23.85" hidden="false" customHeight="false" outlineLevel="0" collapsed="false">
      <c r="A98" s="1" t="s">
        <v>51</v>
      </c>
      <c r="B98" s="1" t="s">
        <v>272</v>
      </c>
      <c r="C98" s="13" t="s">
        <v>8</v>
      </c>
      <c r="D98" s="14" t="n">
        <v>46102</v>
      </c>
      <c r="E98" s="15" t="n">
        <v>0.583333333333333</v>
      </c>
      <c r="F98" s="22" t="n">
        <v>0.697916666666667</v>
      </c>
      <c r="G98" s="16" t="n">
        <f aca="false">F98-E98</f>
        <v>0.114583333333333</v>
      </c>
      <c r="H98" s="24" t="s">
        <v>275</v>
      </c>
      <c r="I98" s="1" t="s">
        <v>226</v>
      </c>
      <c r="J98" s="1" t="n">
        <v>173191</v>
      </c>
      <c r="L98" s="1" t="n">
        <v>1</v>
      </c>
      <c r="M98" s="1" t="s">
        <v>274</v>
      </c>
    </row>
    <row r="99" customFormat="false" ht="12.75" hidden="false" customHeight="false" outlineLevel="0" collapsed="false">
      <c r="A99" s="1" t="s">
        <v>51</v>
      </c>
      <c r="B99" s="1" t="s">
        <v>265</v>
      </c>
      <c r="C99" s="13" t="s">
        <v>11</v>
      </c>
      <c r="D99" s="14" t="n">
        <v>46103</v>
      </c>
      <c r="E99" s="15" t="n">
        <v>0.263194444444444</v>
      </c>
      <c r="F99" s="22" t="n">
        <v>0.375</v>
      </c>
      <c r="G99" s="16" t="n">
        <f aca="false">F99-E99</f>
        <v>0.111805555555556</v>
      </c>
      <c r="H99" s="23" t="s">
        <v>276</v>
      </c>
      <c r="I99" s="1" t="s">
        <v>78</v>
      </c>
      <c r="J99" s="1" t="n">
        <v>173222</v>
      </c>
      <c r="L99" s="1" t="n">
        <v>5</v>
      </c>
      <c r="M99" s="1" t="s">
        <v>277</v>
      </c>
    </row>
    <row r="100" customFormat="false" ht="12.75" hidden="false" customHeight="false" outlineLevel="0" collapsed="false">
      <c r="A100" s="1" t="s">
        <v>51</v>
      </c>
      <c r="B100" s="1" t="s">
        <v>265</v>
      </c>
      <c r="C100" s="13" t="s">
        <v>11</v>
      </c>
      <c r="D100" s="14" t="n">
        <v>46103</v>
      </c>
      <c r="E100" s="15" t="n">
        <v>0.645138888888889</v>
      </c>
      <c r="F100" s="22" t="n">
        <v>0.698611111111111</v>
      </c>
      <c r="G100" s="16" t="n">
        <f aca="false">F100-E100</f>
        <v>0.0534722222222222</v>
      </c>
      <c r="H100" s="23" t="s">
        <v>278</v>
      </c>
      <c r="I100" s="1" t="s">
        <v>78</v>
      </c>
      <c r="J100" s="1" t="n">
        <v>173222</v>
      </c>
      <c r="L100" s="1" t="n">
        <v>4</v>
      </c>
      <c r="M100" s="1" t="s">
        <v>277</v>
      </c>
    </row>
    <row r="101" customFormat="false" ht="12.75" hidden="false" customHeight="false" outlineLevel="0" collapsed="false">
      <c r="A101" s="1" t="s">
        <v>52</v>
      </c>
      <c r="B101" s="1" t="s">
        <v>279</v>
      </c>
      <c r="C101" s="13" t="s">
        <v>71</v>
      </c>
      <c r="D101" s="14" t="n">
        <v>46083</v>
      </c>
      <c r="E101" s="15" t="n">
        <v>0.784027777777778</v>
      </c>
      <c r="F101" s="22" t="n">
        <v>0.8875</v>
      </c>
      <c r="G101" s="16" t="n">
        <f aca="false">F101-E101</f>
        <v>0.103472222222222</v>
      </c>
      <c r="H101" s="23" t="s">
        <v>280</v>
      </c>
      <c r="I101" s="1" t="s">
        <v>133</v>
      </c>
      <c r="J101" s="1" t="n">
        <v>171804</v>
      </c>
      <c r="L101" s="1" t="n">
        <v>1</v>
      </c>
      <c r="M101" s="1" t="s">
        <v>281</v>
      </c>
    </row>
    <row r="102" customFormat="false" ht="12.75" hidden="false" customHeight="false" outlineLevel="0" collapsed="false">
      <c r="A102" s="1" t="s">
        <v>52</v>
      </c>
      <c r="B102" s="1" t="s">
        <v>282</v>
      </c>
      <c r="C102" s="13" t="s">
        <v>76</v>
      </c>
      <c r="D102" s="14" t="n">
        <v>46084</v>
      </c>
      <c r="E102" s="15" t="n">
        <v>0.708333333333333</v>
      </c>
      <c r="F102" s="22" t="n">
        <v>0.759722222222222</v>
      </c>
      <c r="G102" s="16" t="n">
        <f aca="false">F102-E102</f>
        <v>0.0513888888888889</v>
      </c>
      <c r="H102" s="23" t="s">
        <v>283</v>
      </c>
      <c r="I102" s="1" t="s">
        <v>73</v>
      </c>
      <c r="J102" s="1" t="n">
        <v>171941</v>
      </c>
      <c r="L102" s="1" t="n">
        <v>2</v>
      </c>
      <c r="M102" s="1" t="s">
        <v>284</v>
      </c>
    </row>
    <row r="103" customFormat="false" ht="12.75" hidden="false" customHeight="false" outlineLevel="0" collapsed="false">
      <c r="A103" s="1" t="s">
        <v>52</v>
      </c>
      <c r="B103" s="1" t="s">
        <v>282</v>
      </c>
      <c r="C103" s="13" t="s">
        <v>81</v>
      </c>
      <c r="D103" s="14" t="n">
        <v>46085</v>
      </c>
      <c r="E103" s="15" t="n">
        <v>0.25</v>
      </c>
      <c r="F103" s="22" t="n">
        <v>0.333333333333333</v>
      </c>
      <c r="G103" s="16" t="n">
        <f aca="false">F103-E103</f>
        <v>0.0833333333333333</v>
      </c>
      <c r="H103" s="24" t="s">
        <v>285</v>
      </c>
      <c r="I103" s="1" t="s">
        <v>78</v>
      </c>
      <c r="J103" s="1" t="n">
        <v>171989</v>
      </c>
      <c r="L103" s="1" t="n">
        <v>1</v>
      </c>
      <c r="M103" s="1" t="s">
        <v>286</v>
      </c>
    </row>
    <row r="104" customFormat="false" ht="12.75" hidden="false" customHeight="false" outlineLevel="0" collapsed="false">
      <c r="A104" s="1" t="s">
        <v>52</v>
      </c>
      <c r="B104" s="1" t="s">
        <v>282</v>
      </c>
      <c r="C104" s="13" t="s">
        <v>81</v>
      </c>
      <c r="D104" s="14" t="n">
        <v>46085</v>
      </c>
      <c r="E104" s="15" t="n">
        <v>0.708333333333333</v>
      </c>
      <c r="F104" s="22" t="n">
        <v>0.875</v>
      </c>
      <c r="G104" s="16" t="n">
        <f aca="false">F104-E104</f>
        <v>0.166666666666667</v>
      </c>
      <c r="H104" s="23" t="s">
        <v>287</v>
      </c>
      <c r="I104" s="1" t="s">
        <v>78</v>
      </c>
      <c r="J104" s="1" t="n">
        <v>171989</v>
      </c>
      <c r="L104" s="1" t="n">
        <v>2</v>
      </c>
      <c r="M104" s="1" t="s">
        <v>286</v>
      </c>
    </row>
    <row r="105" customFormat="false" ht="12.75" hidden="false" customHeight="false" outlineLevel="0" collapsed="false">
      <c r="A105" s="1" t="s">
        <v>52</v>
      </c>
      <c r="B105" s="1" t="s">
        <v>279</v>
      </c>
      <c r="C105" s="13" t="s">
        <v>108</v>
      </c>
      <c r="D105" s="14" t="n">
        <v>46086</v>
      </c>
      <c r="E105" s="15" t="n">
        <v>0.815972222222222</v>
      </c>
      <c r="F105" s="22" t="n">
        <v>0.847222222222222</v>
      </c>
      <c r="G105" s="16" t="n">
        <f aca="false">F105-E105</f>
        <v>0.03125</v>
      </c>
      <c r="H105" s="23" t="s">
        <v>288</v>
      </c>
      <c r="I105" s="1" t="s">
        <v>78</v>
      </c>
      <c r="J105" s="1" t="n">
        <v>172107</v>
      </c>
      <c r="L105" s="1" t="n">
        <v>1</v>
      </c>
      <c r="M105" s="1" t="s">
        <v>289</v>
      </c>
    </row>
    <row r="106" customFormat="false" ht="23.85" hidden="false" customHeight="false" outlineLevel="0" collapsed="false">
      <c r="A106" s="1" t="s">
        <v>52</v>
      </c>
      <c r="B106" s="1" t="s">
        <v>279</v>
      </c>
      <c r="C106" s="13" t="s">
        <v>11</v>
      </c>
      <c r="D106" s="14" t="n">
        <v>46089</v>
      </c>
      <c r="E106" s="15" t="n">
        <v>0.579861111111111</v>
      </c>
      <c r="F106" s="22" t="n">
        <v>0.715277777777778</v>
      </c>
      <c r="G106" s="16" t="n">
        <f aca="false">F106-E106</f>
        <v>0.135416666666667</v>
      </c>
      <c r="H106" s="24" t="s">
        <v>290</v>
      </c>
      <c r="I106" s="1" t="s">
        <v>78</v>
      </c>
      <c r="J106" s="1" t="n">
        <v>172300</v>
      </c>
      <c r="L106" s="1" t="n">
        <v>1</v>
      </c>
      <c r="M106" s="1" t="s">
        <v>291</v>
      </c>
    </row>
    <row r="107" customFormat="false" ht="12.75" hidden="false" customHeight="false" outlineLevel="0" collapsed="false">
      <c r="A107" s="1" t="s">
        <v>52</v>
      </c>
      <c r="B107" s="1" t="s">
        <v>279</v>
      </c>
      <c r="C107" s="13" t="s">
        <v>71</v>
      </c>
      <c r="D107" s="14" t="n">
        <v>46097</v>
      </c>
      <c r="E107" s="15" t="n">
        <v>0.708333333333333</v>
      </c>
      <c r="F107" s="22" t="n">
        <v>0.798611111111111</v>
      </c>
      <c r="G107" s="16" t="n">
        <f aca="false">F107-E107</f>
        <v>0.0902777777777778</v>
      </c>
      <c r="H107" s="23" t="s">
        <v>292</v>
      </c>
      <c r="I107" s="1" t="s">
        <v>78</v>
      </c>
      <c r="J107" s="1" t="n">
        <v>172792</v>
      </c>
      <c r="L107" s="1" t="n">
        <v>1</v>
      </c>
      <c r="M107" s="1" t="s">
        <v>293</v>
      </c>
    </row>
    <row r="108" customFormat="false" ht="23.85" hidden="false" customHeight="false" outlineLevel="0" collapsed="false">
      <c r="A108" s="1" t="s">
        <v>52</v>
      </c>
      <c r="B108" s="1" t="s">
        <v>279</v>
      </c>
      <c r="C108" s="13" t="s">
        <v>76</v>
      </c>
      <c r="D108" s="14" t="n">
        <v>46098</v>
      </c>
      <c r="E108" s="15" t="n">
        <v>0.715277777777778</v>
      </c>
      <c r="F108" s="22" t="n">
        <v>0.8375</v>
      </c>
      <c r="G108" s="16" t="n">
        <f aca="false">F108-E108</f>
        <v>0.122222222222222</v>
      </c>
      <c r="H108" s="24" t="s">
        <v>294</v>
      </c>
      <c r="I108" s="1" t="s">
        <v>73</v>
      </c>
      <c r="J108" s="1" t="n">
        <v>172891</v>
      </c>
      <c r="L108" s="1" t="n">
        <v>2</v>
      </c>
      <c r="M108" s="1" t="s">
        <v>295</v>
      </c>
    </row>
    <row r="109" customFormat="false" ht="12.75" hidden="false" customHeight="false" outlineLevel="0" collapsed="false">
      <c r="A109" s="1" t="s">
        <v>52</v>
      </c>
      <c r="B109" s="1" t="s">
        <v>279</v>
      </c>
      <c r="C109" s="13" t="s">
        <v>100</v>
      </c>
      <c r="D109" s="14" t="n">
        <v>46101</v>
      </c>
      <c r="E109" s="15" t="n">
        <v>0.708333333333333</v>
      </c>
      <c r="F109" s="22" t="n">
        <v>0.765277777777778</v>
      </c>
      <c r="G109" s="16" t="n">
        <f aca="false">F109-E109</f>
        <v>0.0569444444444444</v>
      </c>
      <c r="H109" s="23" t="s">
        <v>296</v>
      </c>
      <c r="I109" s="1" t="s">
        <v>73</v>
      </c>
      <c r="J109" s="1" t="n">
        <v>173118</v>
      </c>
      <c r="L109" s="1" t="n">
        <v>2</v>
      </c>
      <c r="M109" s="1" t="s">
        <v>297</v>
      </c>
    </row>
    <row r="110" customFormat="false" ht="23.85" hidden="false" customHeight="false" outlineLevel="0" collapsed="false">
      <c r="A110" s="1" t="s">
        <v>52</v>
      </c>
      <c r="B110" s="1" t="s">
        <v>298</v>
      </c>
      <c r="C110" s="13" t="s">
        <v>8</v>
      </c>
      <c r="D110" s="14" t="n">
        <v>46102</v>
      </c>
      <c r="E110" s="15" t="n">
        <v>0.506944444444444</v>
      </c>
      <c r="F110" s="22" t="n">
        <v>0.641666666666667</v>
      </c>
      <c r="G110" s="16" t="n">
        <f aca="false">F110-E110</f>
        <v>0.134722222222222</v>
      </c>
      <c r="H110" s="24" t="s">
        <v>299</v>
      </c>
      <c r="I110" s="1" t="s">
        <v>167</v>
      </c>
      <c r="J110" s="1" t="n">
        <v>173212</v>
      </c>
      <c r="L110" s="1" t="n">
        <v>5</v>
      </c>
      <c r="M110" s="1" t="s">
        <v>300</v>
      </c>
    </row>
    <row r="111" customFormat="false" ht="12.75" hidden="false" customHeight="false" outlineLevel="0" collapsed="false">
      <c r="A111" s="1" t="s">
        <v>52</v>
      </c>
      <c r="B111" s="1" t="s">
        <v>298</v>
      </c>
      <c r="C111" s="13" t="s">
        <v>8</v>
      </c>
      <c r="D111" s="14" t="n">
        <v>46102</v>
      </c>
      <c r="E111" s="15" t="n">
        <v>0.647916666666667</v>
      </c>
      <c r="F111" s="22" t="n">
        <v>0.7</v>
      </c>
      <c r="G111" s="16" t="n">
        <f aca="false">F111-E111</f>
        <v>0.0520833333333333</v>
      </c>
      <c r="H111" s="23" t="s">
        <v>301</v>
      </c>
      <c r="I111" s="1" t="s">
        <v>78</v>
      </c>
      <c r="J111" s="1" t="n">
        <v>173212</v>
      </c>
      <c r="L111" s="1" t="n">
        <v>2</v>
      </c>
      <c r="M111" s="1" t="s">
        <v>300</v>
      </c>
    </row>
    <row r="112" customFormat="false" ht="23.85" hidden="false" customHeight="false" outlineLevel="0" collapsed="false">
      <c r="A112" s="1" t="s">
        <v>53</v>
      </c>
      <c r="B112" s="1" t="s">
        <v>302</v>
      </c>
      <c r="C112" s="13" t="s">
        <v>11</v>
      </c>
      <c r="D112" s="14" t="n">
        <v>46082</v>
      </c>
      <c r="E112" s="15" t="n">
        <v>0.520138888888889</v>
      </c>
      <c r="F112" s="22" t="n">
        <v>0.628472222222222</v>
      </c>
      <c r="G112" s="16" t="n">
        <f aca="false">F112-E112</f>
        <v>0.108333333333333</v>
      </c>
      <c r="H112" s="24" t="s">
        <v>303</v>
      </c>
      <c r="I112" s="1" t="s">
        <v>78</v>
      </c>
      <c r="J112" s="1" t="n">
        <v>171751</v>
      </c>
      <c r="L112" s="1" t="n">
        <v>4</v>
      </c>
      <c r="M112" s="1" t="s">
        <v>304</v>
      </c>
    </row>
    <row r="113" customFormat="false" ht="12.75" hidden="false" customHeight="false" outlineLevel="0" collapsed="false">
      <c r="A113" s="1" t="s">
        <v>53</v>
      </c>
      <c r="B113" s="1" t="s">
        <v>302</v>
      </c>
      <c r="C113" s="13" t="s">
        <v>11</v>
      </c>
      <c r="D113" s="14" t="n">
        <v>46082</v>
      </c>
      <c r="E113" s="15" t="n">
        <v>0.847222222222222</v>
      </c>
      <c r="F113" s="22" t="n">
        <v>0.918055555555556</v>
      </c>
      <c r="G113" s="16" t="n">
        <f aca="false">F113-E113</f>
        <v>0.0708333333333333</v>
      </c>
      <c r="H113" s="23" t="s">
        <v>305</v>
      </c>
      <c r="I113" s="1" t="s">
        <v>73</v>
      </c>
      <c r="J113" s="1" t="n">
        <v>171751</v>
      </c>
      <c r="L113" s="1" t="n">
        <v>3</v>
      </c>
      <c r="M113" s="1" t="s">
        <v>304</v>
      </c>
    </row>
    <row r="114" customFormat="false" ht="12.75" hidden="false" customHeight="false" outlineLevel="0" collapsed="false">
      <c r="A114" s="1" t="s">
        <v>53</v>
      </c>
      <c r="B114" s="1" t="s">
        <v>306</v>
      </c>
      <c r="C114" s="13" t="s">
        <v>71</v>
      </c>
      <c r="D114" s="14" t="n">
        <v>46083</v>
      </c>
      <c r="E114" s="15" t="n">
        <v>0.708333333333333</v>
      </c>
      <c r="F114" s="22" t="n">
        <v>0.752083333333333</v>
      </c>
      <c r="G114" s="16" t="n">
        <f aca="false">F114-E114</f>
        <v>0.04375</v>
      </c>
      <c r="H114" s="23" t="s">
        <v>307</v>
      </c>
      <c r="I114" s="1" t="s">
        <v>78</v>
      </c>
      <c r="J114" s="1" t="n">
        <v>171797</v>
      </c>
      <c r="L114" s="1" t="n">
        <v>2</v>
      </c>
      <c r="M114" s="1" t="s">
        <v>308</v>
      </c>
    </row>
    <row r="115" customFormat="false" ht="12.75" hidden="false" customHeight="false" outlineLevel="0" collapsed="false">
      <c r="A115" s="1" t="s">
        <v>53</v>
      </c>
      <c r="B115" s="1" t="s">
        <v>309</v>
      </c>
      <c r="C115" s="13" t="s">
        <v>108</v>
      </c>
      <c r="D115" s="14" t="n">
        <v>46086</v>
      </c>
      <c r="E115" s="15" t="n">
        <v>0.708333333333333</v>
      </c>
      <c r="F115" s="22" t="n">
        <v>0.752083333333333</v>
      </c>
      <c r="G115" s="16" t="n">
        <f aca="false">F115-E115</f>
        <v>0.04375</v>
      </c>
      <c r="H115" s="23" t="s">
        <v>310</v>
      </c>
      <c r="I115" s="1" t="s">
        <v>73</v>
      </c>
      <c r="J115" s="1" t="n">
        <v>172115</v>
      </c>
      <c r="L115" s="1" t="n">
        <v>2</v>
      </c>
      <c r="M115" s="1" t="s">
        <v>311</v>
      </c>
    </row>
    <row r="116" customFormat="false" ht="57.45" hidden="false" customHeight="false" outlineLevel="0" collapsed="false">
      <c r="A116" s="1" t="s">
        <v>53</v>
      </c>
      <c r="B116" s="1" t="s">
        <v>312</v>
      </c>
      <c r="C116" s="13" t="s">
        <v>8</v>
      </c>
      <c r="D116" s="14" t="n">
        <v>46088</v>
      </c>
      <c r="E116" s="15" t="n">
        <v>0.315277777777778</v>
      </c>
      <c r="F116" s="22" t="n">
        <v>0.709722222222222</v>
      </c>
      <c r="G116" s="16" t="n">
        <f aca="false">F116-E116</f>
        <v>0.394444444444444</v>
      </c>
      <c r="H116" s="24" t="s">
        <v>313</v>
      </c>
      <c r="I116" s="1" t="s">
        <v>314</v>
      </c>
      <c r="J116" s="1" t="n">
        <v>172250</v>
      </c>
      <c r="L116" s="1" t="n">
        <v>7</v>
      </c>
      <c r="M116" s="1" t="s">
        <v>315</v>
      </c>
    </row>
    <row r="117" customFormat="false" ht="35.05" hidden="false" customHeight="false" outlineLevel="0" collapsed="false">
      <c r="A117" s="1" t="s">
        <v>53</v>
      </c>
      <c r="B117" s="1" t="s">
        <v>312</v>
      </c>
      <c r="C117" s="13" t="s">
        <v>11</v>
      </c>
      <c r="D117" s="14" t="n">
        <v>46089</v>
      </c>
      <c r="E117" s="15" t="n">
        <v>0.582638888888889</v>
      </c>
      <c r="F117" s="22" t="n">
        <v>0.711111111111111</v>
      </c>
      <c r="G117" s="16" t="n">
        <f aca="false">F117-E117</f>
        <v>0.128472222222222</v>
      </c>
      <c r="H117" s="24" t="s">
        <v>316</v>
      </c>
      <c r="I117" s="1" t="s">
        <v>78</v>
      </c>
      <c r="J117" s="1" t="n">
        <v>172287</v>
      </c>
      <c r="L117" s="1" t="n">
        <v>4</v>
      </c>
      <c r="M117" s="1" t="s">
        <v>317</v>
      </c>
    </row>
    <row r="118" customFormat="false" ht="12.75" hidden="false" customHeight="false" outlineLevel="0" collapsed="false">
      <c r="A118" s="1" t="s">
        <v>53</v>
      </c>
      <c r="B118" s="1" t="s">
        <v>318</v>
      </c>
      <c r="C118" s="13" t="s">
        <v>76</v>
      </c>
      <c r="D118" s="14" t="n">
        <v>46091</v>
      </c>
      <c r="E118" s="15" t="n">
        <v>0.708333333333333</v>
      </c>
      <c r="F118" s="22" t="n">
        <v>0.802777777777778</v>
      </c>
      <c r="G118" s="16" t="n">
        <f aca="false">F118-E118</f>
        <v>0.0944444444444444</v>
      </c>
      <c r="H118" s="23" t="s">
        <v>319</v>
      </c>
      <c r="I118" s="1" t="s">
        <v>73</v>
      </c>
      <c r="J118" s="1" t="n">
        <v>172409</v>
      </c>
      <c r="L118" s="1" t="n">
        <v>3</v>
      </c>
      <c r="M118" s="1" t="s">
        <v>320</v>
      </c>
    </row>
    <row r="119" customFormat="false" ht="12.75" hidden="false" customHeight="false" outlineLevel="0" collapsed="false">
      <c r="A119" s="1" t="s">
        <v>53</v>
      </c>
      <c r="B119" s="1" t="s">
        <v>321</v>
      </c>
      <c r="C119" s="13" t="s">
        <v>8</v>
      </c>
      <c r="D119" s="14" t="n">
        <v>46095</v>
      </c>
      <c r="E119" s="15" t="n">
        <v>0.0444444444444444</v>
      </c>
      <c r="F119" s="22" t="n">
        <v>0.0868055555555556</v>
      </c>
      <c r="G119" s="16" t="n">
        <f aca="false">F119-E119</f>
        <v>0.0423611111111111</v>
      </c>
      <c r="H119" s="23" t="s">
        <v>322</v>
      </c>
      <c r="I119" s="1" t="s">
        <v>78</v>
      </c>
      <c r="J119" s="1" t="n">
        <v>172693</v>
      </c>
      <c r="L119" s="1" t="n">
        <v>3</v>
      </c>
      <c r="M119" s="1" t="s">
        <v>323</v>
      </c>
    </row>
    <row r="120" customFormat="false" ht="23.85" hidden="false" customHeight="false" outlineLevel="0" collapsed="false">
      <c r="A120" s="1" t="s">
        <v>53</v>
      </c>
      <c r="B120" s="1" t="s">
        <v>324</v>
      </c>
      <c r="C120" s="13" t="s">
        <v>8</v>
      </c>
      <c r="D120" s="14" t="n">
        <v>46095</v>
      </c>
      <c r="E120" s="15" t="n">
        <v>0.328472222222222</v>
      </c>
      <c r="F120" s="22" t="n">
        <v>0.736805555555556</v>
      </c>
      <c r="G120" s="16" t="n">
        <f aca="false">F120-E120</f>
        <v>0.408333333333333</v>
      </c>
      <c r="H120" s="24" t="s">
        <v>325</v>
      </c>
      <c r="I120" s="1" t="s">
        <v>78</v>
      </c>
      <c r="J120" s="1" t="n">
        <v>172693</v>
      </c>
      <c r="L120" s="1" t="n">
        <v>6</v>
      </c>
      <c r="M120" s="1" t="s">
        <v>323</v>
      </c>
    </row>
    <row r="121" customFormat="false" ht="12.75" hidden="false" customHeight="false" outlineLevel="0" collapsed="false">
      <c r="A121" s="1" t="s">
        <v>53</v>
      </c>
      <c r="B121" s="1" t="s">
        <v>321</v>
      </c>
      <c r="C121" s="13" t="s">
        <v>11</v>
      </c>
      <c r="D121" s="14" t="n">
        <v>46096</v>
      </c>
      <c r="E121" s="15" t="n">
        <v>0.371527777777778</v>
      </c>
      <c r="F121" s="22" t="n">
        <v>0.541666666666667</v>
      </c>
      <c r="G121" s="16" t="n">
        <f aca="false">F121-E121</f>
        <v>0.170138888888889</v>
      </c>
      <c r="H121" s="23" t="s">
        <v>326</v>
      </c>
      <c r="I121" s="1" t="s">
        <v>78</v>
      </c>
      <c r="J121" s="1" t="n">
        <v>172909</v>
      </c>
      <c r="L121" s="1" t="n">
        <v>7</v>
      </c>
      <c r="M121" s="1" t="s">
        <v>327</v>
      </c>
    </row>
    <row r="122" customFormat="false" ht="23.85" hidden="false" customHeight="false" outlineLevel="0" collapsed="false">
      <c r="A122" s="1" t="s">
        <v>53</v>
      </c>
      <c r="B122" s="1" t="s">
        <v>321</v>
      </c>
      <c r="C122" s="13" t="s">
        <v>11</v>
      </c>
      <c r="D122" s="14" t="n">
        <v>46096</v>
      </c>
      <c r="E122" s="15" t="n">
        <v>0.583333333333333</v>
      </c>
      <c r="F122" s="22" t="n">
        <v>0.770833333333333</v>
      </c>
      <c r="G122" s="16" t="n">
        <f aca="false">F122-E122</f>
        <v>0.1875</v>
      </c>
      <c r="H122" s="24" t="s">
        <v>328</v>
      </c>
      <c r="I122" s="1" t="s">
        <v>78</v>
      </c>
      <c r="J122" s="1" t="n">
        <v>172909</v>
      </c>
      <c r="L122" s="1" t="n">
        <v>7</v>
      </c>
      <c r="M122" s="1" t="s">
        <v>327</v>
      </c>
    </row>
    <row r="123" customFormat="false" ht="12.75" hidden="false" customHeight="false" outlineLevel="0" collapsed="false">
      <c r="A123" s="1" t="s">
        <v>53</v>
      </c>
      <c r="B123" s="1" t="s">
        <v>329</v>
      </c>
      <c r="C123" s="13" t="s">
        <v>71</v>
      </c>
      <c r="D123" s="14" t="n">
        <v>46097</v>
      </c>
      <c r="E123" s="15" t="n">
        <v>0.811111111111111</v>
      </c>
      <c r="F123" s="22" t="n">
        <v>0.831944444444445</v>
      </c>
      <c r="G123" s="16" t="n">
        <f aca="false">F123-E123</f>
        <v>0.0208333333333333</v>
      </c>
      <c r="H123" s="23" t="s">
        <v>330</v>
      </c>
      <c r="I123" s="1" t="s">
        <v>78</v>
      </c>
      <c r="J123" s="1" t="n">
        <v>172771</v>
      </c>
      <c r="L123" s="1" t="n">
        <v>3</v>
      </c>
      <c r="M123" s="1" t="s">
        <v>331</v>
      </c>
    </row>
    <row r="124" customFormat="false" ht="12.75" hidden="false" customHeight="false" outlineLevel="0" collapsed="false">
      <c r="A124" s="1" t="s">
        <v>53</v>
      </c>
      <c r="B124" s="1" t="s">
        <v>332</v>
      </c>
      <c r="C124" s="13" t="s">
        <v>76</v>
      </c>
      <c r="D124" s="14" t="n">
        <v>46098</v>
      </c>
      <c r="E124" s="15" t="n">
        <v>0.708333333333333</v>
      </c>
      <c r="F124" s="22" t="n">
        <v>0.75625</v>
      </c>
      <c r="G124" s="16" t="n">
        <f aca="false">F124-E124</f>
        <v>0.0479166666666667</v>
      </c>
      <c r="H124" s="24" t="s">
        <v>333</v>
      </c>
      <c r="I124" s="1" t="s">
        <v>78</v>
      </c>
      <c r="J124" s="1" t="n">
        <v>172875</v>
      </c>
      <c r="L124" s="1" t="n">
        <v>2</v>
      </c>
      <c r="M124" s="1" t="s">
        <v>334</v>
      </c>
    </row>
    <row r="125" customFormat="false" ht="23.85" hidden="false" customHeight="false" outlineLevel="0" collapsed="false">
      <c r="A125" s="1" t="s">
        <v>53</v>
      </c>
      <c r="B125" s="1" t="s">
        <v>329</v>
      </c>
      <c r="C125" s="13" t="s">
        <v>108</v>
      </c>
      <c r="D125" s="14" t="n">
        <v>46100</v>
      </c>
      <c r="E125" s="15" t="n">
        <v>0.708333333333333</v>
      </c>
      <c r="F125" s="22" t="n">
        <v>0.814583333333333</v>
      </c>
      <c r="G125" s="16" t="n">
        <f aca="false">F125-E125</f>
        <v>0.10625</v>
      </c>
      <c r="H125" s="24" t="s">
        <v>335</v>
      </c>
      <c r="I125" s="1" t="s">
        <v>78</v>
      </c>
      <c r="J125" s="1" t="n">
        <v>173041</v>
      </c>
      <c r="L125" s="1" t="n">
        <v>2</v>
      </c>
      <c r="M125" s="1" t="s">
        <v>336</v>
      </c>
    </row>
    <row r="126" customFormat="false" ht="12.75" hidden="false" customHeight="false" outlineLevel="0" collapsed="false">
      <c r="A126" s="1" t="s">
        <v>53</v>
      </c>
      <c r="B126" s="1" t="s">
        <v>329</v>
      </c>
      <c r="C126" s="13" t="s">
        <v>100</v>
      </c>
      <c r="D126" s="14" t="n">
        <v>46101</v>
      </c>
      <c r="E126" s="15" t="n">
        <v>0.286111111111111</v>
      </c>
      <c r="F126" s="22" t="n">
        <v>0.333333333333333</v>
      </c>
      <c r="G126" s="16" t="n">
        <f aca="false">F126-E126</f>
        <v>0.0472222222222222</v>
      </c>
      <c r="H126" s="23" t="s">
        <v>337</v>
      </c>
      <c r="I126" s="1" t="s">
        <v>78</v>
      </c>
      <c r="J126" s="1" t="n">
        <v>173109</v>
      </c>
      <c r="L126" s="1" t="n">
        <v>1</v>
      </c>
      <c r="M126" s="1" t="s">
        <v>338</v>
      </c>
    </row>
    <row r="127" customFormat="false" ht="12.75" hidden="false" customHeight="false" outlineLevel="0" collapsed="false">
      <c r="A127" s="1" t="s">
        <v>53</v>
      </c>
      <c r="B127" s="1" t="s">
        <v>312</v>
      </c>
      <c r="C127" s="13" t="s">
        <v>100</v>
      </c>
      <c r="D127" s="14" t="n">
        <v>46101</v>
      </c>
      <c r="E127" s="15" t="n">
        <v>0.828472222222222</v>
      </c>
      <c r="F127" s="22" t="n">
        <v>0.859027777777778</v>
      </c>
      <c r="G127" s="16" t="n">
        <f aca="false">F127-E127</f>
        <v>0.0305555555555556</v>
      </c>
      <c r="H127" s="24" t="s">
        <v>339</v>
      </c>
      <c r="I127" s="1" t="s">
        <v>78</v>
      </c>
      <c r="J127" s="1" t="n">
        <v>173109</v>
      </c>
      <c r="L127" s="1" t="n">
        <v>3</v>
      </c>
      <c r="M127" s="1" t="s">
        <v>338</v>
      </c>
    </row>
    <row r="128" customFormat="false" ht="12.75" hidden="false" customHeight="false" outlineLevel="0" collapsed="false">
      <c r="A128" s="1" t="s">
        <v>55</v>
      </c>
      <c r="B128" s="1" t="s">
        <v>340</v>
      </c>
      <c r="C128" s="13" t="s">
        <v>11</v>
      </c>
      <c r="D128" s="14" t="n">
        <v>46082</v>
      </c>
      <c r="E128" s="15" t="n">
        <v>0.51875</v>
      </c>
      <c r="F128" s="22" t="n">
        <v>0.602777777777778</v>
      </c>
      <c r="G128" s="16" t="n">
        <f aca="false">F128-E128</f>
        <v>0.0840277777777778</v>
      </c>
      <c r="H128" s="23" t="s">
        <v>341</v>
      </c>
      <c r="I128" s="1" t="s">
        <v>78</v>
      </c>
      <c r="J128" s="1" t="n">
        <v>171753</v>
      </c>
      <c r="L128" s="1" t="n">
        <v>3</v>
      </c>
      <c r="M128" s="1" t="s">
        <v>342</v>
      </c>
    </row>
    <row r="129" customFormat="false" ht="12.75" hidden="false" customHeight="false" outlineLevel="0" collapsed="false">
      <c r="A129" s="1" t="s">
        <v>55</v>
      </c>
      <c r="B129" s="1" t="s">
        <v>340</v>
      </c>
      <c r="C129" s="13" t="s">
        <v>11</v>
      </c>
      <c r="D129" s="14" t="n">
        <v>46082</v>
      </c>
      <c r="E129" s="15" t="n">
        <v>0.665972222222222</v>
      </c>
      <c r="F129" s="22" t="n">
        <v>0.791666666666667</v>
      </c>
      <c r="G129" s="16" t="n">
        <f aca="false">F129-E129</f>
        <v>0.125694444444444</v>
      </c>
      <c r="H129" s="24" t="s">
        <v>343</v>
      </c>
      <c r="I129" s="1" t="s">
        <v>78</v>
      </c>
      <c r="J129" s="1" t="n">
        <v>171753</v>
      </c>
      <c r="L129" s="1" t="n">
        <v>3</v>
      </c>
      <c r="M129" s="1" t="s">
        <v>342</v>
      </c>
    </row>
    <row r="130" customFormat="false" ht="23.85" hidden="false" customHeight="false" outlineLevel="0" collapsed="false">
      <c r="A130" s="1" t="s">
        <v>55</v>
      </c>
      <c r="B130" s="1" t="s">
        <v>340</v>
      </c>
      <c r="C130" s="13" t="s">
        <v>11</v>
      </c>
      <c r="D130" s="14" t="n">
        <v>46082</v>
      </c>
      <c r="E130" s="15" t="n">
        <v>0.845138888888889</v>
      </c>
      <c r="F130" s="22" t="n">
        <v>0.947916666666667</v>
      </c>
      <c r="G130" s="16" t="n">
        <f aca="false">F130-E130</f>
        <v>0.102777777777778</v>
      </c>
      <c r="H130" s="24" t="s">
        <v>344</v>
      </c>
      <c r="I130" s="1" t="s">
        <v>78</v>
      </c>
      <c r="J130" s="1" t="n">
        <v>171753</v>
      </c>
      <c r="L130" s="1" t="n">
        <v>1</v>
      </c>
      <c r="M130" s="1" t="s">
        <v>342</v>
      </c>
    </row>
    <row r="131" customFormat="false" ht="23.85" hidden="false" customHeight="false" outlineLevel="0" collapsed="false">
      <c r="A131" s="1" t="s">
        <v>55</v>
      </c>
      <c r="B131" s="1" t="s">
        <v>345</v>
      </c>
      <c r="C131" s="13" t="s">
        <v>71</v>
      </c>
      <c r="D131" s="14" t="n">
        <v>46083</v>
      </c>
      <c r="E131" s="15" t="n">
        <v>0.708333333333333</v>
      </c>
      <c r="F131" s="22" t="n">
        <v>0.753472222222222</v>
      </c>
      <c r="G131" s="16" t="n">
        <f aca="false">F131-E131</f>
        <v>0.0451388888888889</v>
      </c>
      <c r="H131" s="24" t="s">
        <v>346</v>
      </c>
      <c r="I131" s="1" t="s">
        <v>78</v>
      </c>
      <c r="J131" s="1" t="n">
        <v>171814</v>
      </c>
      <c r="L131" s="1" t="n">
        <v>2</v>
      </c>
      <c r="M131" s="1" t="s">
        <v>347</v>
      </c>
    </row>
    <row r="132" customFormat="false" ht="12.75" hidden="false" customHeight="false" outlineLevel="0" collapsed="false">
      <c r="A132" s="1" t="s">
        <v>55</v>
      </c>
      <c r="B132" s="1" t="s">
        <v>345</v>
      </c>
      <c r="C132" s="13" t="s">
        <v>76</v>
      </c>
      <c r="D132" s="14" t="n">
        <v>46084</v>
      </c>
      <c r="E132" s="15" t="n">
        <v>0.708333333333333</v>
      </c>
      <c r="F132" s="22" t="n">
        <v>0.815277777777778</v>
      </c>
      <c r="G132" s="16" t="n">
        <f aca="false">F132-E132</f>
        <v>0.106944444444444</v>
      </c>
      <c r="H132" s="24" t="s">
        <v>348</v>
      </c>
      <c r="I132" s="1" t="s">
        <v>78</v>
      </c>
      <c r="J132" s="1" t="n">
        <v>171926</v>
      </c>
      <c r="L132" s="1" t="n">
        <v>3</v>
      </c>
      <c r="M132" s="1" t="s">
        <v>349</v>
      </c>
    </row>
    <row r="133" customFormat="false" ht="12.75" hidden="false" customHeight="false" outlineLevel="0" collapsed="false">
      <c r="A133" s="1" t="s">
        <v>55</v>
      </c>
      <c r="B133" s="1" t="s">
        <v>350</v>
      </c>
      <c r="C133" s="13" t="s">
        <v>81</v>
      </c>
      <c r="D133" s="14" t="n">
        <v>46085</v>
      </c>
      <c r="E133" s="15" t="n">
        <v>0.813194444444444</v>
      </c>
      <c r="F133" s="22" t="n">
        <v>0.86875</v>
      </c>
      <c r="G133" s="16" t="n">
        <f aca="false">F133-E133</f>
        <v>0.0555555555555556</v>
      </c>
      <c r="H133" s="23" t="s">
        <v>351</v>
      </c>
      <c r="I133" s="1" t="s">
        <v>78</v>
      </c>
      <c r="J133" s="1" t="n">
        <v>172010</v>
      </c>
      <c r="L133" s="1" t="n">
        <v>3</v>
      </c>
      <c r="M133" s="1" t="s">
        <v>352</v>
      </c>
    </row>
    <row r="134" customFormat="false" ht="12.75" hidden="false" customHeight="false" outlineLevel="0" collapsed="false">
      <c r="A134" s="1" t="s">
        <v>55</v>
      </c>
      <c r="B134" s="1" t="s">
        <v>345</v>
      </c>
      <c r="C134" s="13" t="s">
        <v>108</v>
      </c>
      <c r="D134" s="14" t="n">
        <v>46086</v>
      </c>
      <c r="E134" s="15" t="n">
        <v>0.708333333333333</v>
      </c>
      <c r="F134" s="22" t="n">
        <v>0.752083333333333</v>
      </c>
      <c r="G134" s="16" t="n">
        <f aca="false">F134-E134</f>
        <v>0.04375</v>
      </c>
      <c r="H134" s="23" t="s">
        <v>353</v>
      </c>
      <c r="I134" s="1" t="s">
        <v>78</v>
      </c>
      <c r="J134" s="1" t="n">
        <v>172104</v>
      </c>
      <c r="L134" s="1" t="n">
        <v>2</v>
      </c>
      <c r="M134" s="1" t="s">
        <v>354</v>
      </c>
    </row>
    <row r="135" customFormat="false" ht="12.75" hidden="false" customHeight="false" outlineLevel="0" collapsed="false">
      <c r="A135" s="1" t="s">
        <v>55</v>
      </c>
      <c r="B135" s="1" t="s">
        <v>355</v>
      </c>
      <c r="C135" s="13" t="s">
        <v>100</v>
      </c>
      <c r="D135" s="14" t="n">
        <v>46087</v>
      </c>
      <c r="E135" s="15" t="n">
        <v>0.804861111111111</v>
      </c>
      <c r="F135" s="22" t="n">
        <v>0.860416666666667</v>
      </c>
      <c r="G135" s="16" t="n">
        <f aca="false">F135-E135</f>
        <v>0.0555555555555556</v>
      </c>
      <c r="H135" s="23" t="s">
        <v>356</v>
      </c>
      <c r="I135" s="1" t="s">
        <v>78</v>
      </c>
      <c r="J135" s="1" t="n">
        <v>172194</v>
      </c>
      <c r="L135" s="1" t="n">
        <v>3</v>
      </c>
      <c r="M135" s="1" t="s">
        <v>357</v>
      </c>
    </row>
    <row r="136" customFormat="false" ht="35.05" hidden="false" customHeight="false" outlineLevel="0" collapsed="false">
      <c r="A136" s="1" t="s">
        <v>55</v>
      </c>
      <c r="B136" s="1" t="s">
        <v>355</v>
      </c>
      <c r="C136" s="13" t="s">
        <v>8</v>
      </c>
      <c r="D136" s="14" t="n">
        <v>46088</v>
      </c>
      <c r="E136" s="15" t="n">
        <v>0.473611111111111</v>
      </c>
      <c r="F136" s="22" t="n">
        <v>0.639583333333333</v>
      </c>
      <c r="G136" s="16" t="n">
        <f aca="false">F136-E136</f>
        <v>0.165972222222222</v>
      </c>
      <c r="H136" s="24" t="s">
        <v>358</v>
      </c>
      <c r="I136" s="1" t="s">
        <v>73</v>
      </c>
      <c r="J136" s="1" t="n">
        <v>172256</v>
      </c>
      <c r="L136" s="1" t="n">
        <v>6</v>
      </c>
      <c r="M136" s="1" t="s">
        <v>359</v>
      </c>
    </row>
    <row r="137" customFormat="false" ht="12.75" hidden="false" customHeight="false" outlineLevel="0" collapsed="false">
      <c r="A137" s="1" t="s">
        <v>55</v>
      </c>
      <c r="B137" s="1" t="s">
        <v>355</v>
      </c>
      <c r="C137" s="13" t="s">
        <v>11</v>
      </c>
      <c r="D137" s="14" t="n">
        <v>46089</v>
      </c>
      <c r="E137" s="15" t="n">
        <v>0.726388888888889</v>
      </c>
      <c r="F137" s="22" t="n">
        <v>0.816666666666667</v>
      </c>
      <c r="G137" s="16" t="n">
        <f aca="false">F137-E137</f>
        <v>0.0902777777777778</v>
      </c>
      <c r="H137" s="23" t="s">
        <v>360</v>
      </c>
      <c r="I137" s="1" t="s">
        <v>78</v>
      </c>
      <c r="J137" s="1" t="n">
        <v>172301</v>
      </c>
      <c r="L137" s="1" t="n">
        <v>3</v>
      </c>
      <c r="M137" s="1" t="s">
        <v>361</v>
      </c>
    </row>
    <row r="138" customFormat="false" ht="12.75" hidden="false" customHeight="false" outlineLevel="0" collapsed="false">
      <c r="A138" s="1" t="s">
        <v>55</v>
      </c>
      <c r="B138" s="1" t="s">
        <v>345</v>
      </c>
      <c r="C138" s="13" t="s">
        <v>108</v>
      </c>
      <c r="D138" s="14" t="n">
        <v>46093</v>
      </c>
      <c r="E138" s="15" t="n">
        <v>0.71875</v>
      </c>
      <c r="F138" s="22" t="n">
        <v>0.809722222222222</v>
      </c>
      <c r="G138" s="16" t="n">
        <f aca="false">F138-E138</f>
        <v>0.0909722222222222</v>
      </c>
      <c r="H138" s="23" t="s">
        <v>362</v>
      </c>
      <c r="I138" s="1" t="s">
        <v>78</v>
      </c>
      <c r="J138" s="1" t="n">
        <v>172569</v>
      </c>
      <c r="L138" s="1" t="n">
        <v>3</v>
      </c>
      <c r="M138" s="1" t="s">
        <v>363</v>
      </c>
    </row>
    <row r="139" customFormat="false" ht="35.05" hidden="false" customHeight="false" outlineLevel="0" collapsed="false">
      <c r="A139" s="1" t="s">
        <v>55</v>
      </c>
      <c r="B139" s="1" t="s">
        <v>364</v>
      </c>
      <c r="C139" s="13" t="s">
        <v>8</v>
      </c>
      <c r="D139" s="14" t="n">
        <v>46095</v>
      </c>
      <c r="E139" s="15" t="n">
        <v>0.26875</v>
      </c>
      <c r="F139" s="22" t="n">
        <v>0.541666666666667</v>
      </c>
      <c r="G139" s="16" t="n">
        <f aca="false">F139-E139</f>
        <v>0.272916666666667</v>
      </c>
      <c r="H139" s="24" t="s">
        <v>365</v>
      </c>
      <c r="I139" s="1" t="s">
        <v>78</v>
      </c>
      <c r="J139" s="1" t="n">
        <v>172778</v>
      </c>
      <c r="L139" s="1" t="n">
        <v>9</v>
      </c>
      <c r="M139" s="1" t="s">
        <v>366</v>
      </c>
    </row>
    <row r="140" customFormat="false" ht="12.75" hidden="false" customHeight="false" outlineLevel="0" collapsed="false">
      <c r="A140" s="1" t="s">
        <v>55</v>
      </c>
      <c r="B140" s="1" t="s">
        <v>364</v>
      </c>
      <c r="C140" s="13" t="s">
        <v>8</v>
      </c>
      <c r="D140" s="14" t="n">
        <v>46095</v>
      </c>
      <c r="E140" s="15" t="n">
        <v>0.583333333333333</v>
      </c>
      <c r="F140" s="22" t="n">
        <v>0.671527777777778</v>
      </c>
      <c r="G140" s="16" t="n">
        <f aca="false">F140-E140</f>
        <v>0.0881944444444445</v>
      </c>
      <c r="H140" s="24" t="s">
        <v>367</v>
      </c>
      <c r="I140" s="1" t="s">
        <v>78</v>
      </c>
      <c r="J140" s="1" t="n">
        <v>172778</v>
      </c>
      <c r="L140" s="1" t="n">
        <v>9</v>
      </c>
      <c r="M140" s="1" t="s">
        <v>366</v>
      </c>
    </row>
    <row r="141" customFormat="false" ht="12.75" hidden="false" customHeight="false" outlineLevel="0" collapsed="false">
      <c r="A141" s="1" t="s">
        <v>55</v>
      </c>
      <c r="B141" s="1" t="s">
        <v>364</v>
      </c>
      <c r="C141" s="13" t="s">
        <v>8</v>
      </c>
      <c r="D141" s="14" t="n">
        <v>46095</v>
      </c>
      <c r="E141" s="15" t="n">
        <v>0.765972222222222</v>
      </c>
      <c r="F141" s="22" t="n">
        <v>0.810416666666667</v>
      </c>
      <c r="G141" s="16" t="n">
        <f aca="false">F141-E141</f>
        <v>0.0444444444444444</v>
      </c>
      <c r="H141" s="23" t="s">
        <v>368</v>
      </c>
      <c r="I141" s="1" t="s">
        <v>78</v>
      </c>
      <c r="J141" s="1" t="n">
        <v>172778</v>
      </c>
      <c r="L141" s="1" t="n">
        <v>3</v>
      </c>
      <c r="M141" s="1" t="s">
        <v>366</v>
      </c>
    </row>
    <row r="142" customFormat="false" ht="23.85" hidden="false" customHeight="false" outlineLevel="0" collapsed="false">
      <c r="A142" s="1" t="s">
        <v>55</v>
      </c>
      <c r="B142" s="1" t="s">
        <v>364</v>
      </c>
      <c r="C142" s="13" t="s">
        <v>11</v>
      </c>
      <c r="D142" s="14" t="n">
        <v>46096</v>
      </c>
      <c r="E142" s="15" t="n">
        <v>0.336805555555556</v>
      </c>
      <c r="F142" s="22" t="n">
        <v>0.5</v>
      </c>
      <c r="G142" s="16" t="n">
        <f aca="false">F142-E142</f>
        <v>0.163194444444444</v>
      </c>
      <c r="H142" s="24" t="s">
        <v>369</v>
      </c>
      <c r="I142" s="1" t="s">
        <v>78</v>
      </c>
      <c r="J142" s="1" t="n">
        <v>172835</v>
      </c>
      <c r="L142" s="1" t="n">
        <v>5</v>
      </c>
      <c r="M142" s="1" t="s">
        <v>370</v>
      </c>
    </row>
    <row r="143" customFormat="false" ht="23.85" hidden="false" customHeight="false" outlineLevel="0" collapsed="false">
      <c r="A143" s="1" t="s">
        <v>55</v>
      </c>
      <c r="B143" s="1" t="s">
        <v>364</v>
      </c>
      <c r="C143" s="13" t="s">
        <v>11</v>
      </c>
      <c r="D143" s="14" t="n">
        <v>46096</v>
      </c>
      <c r="E143" s="15" t="n">
        <v>0.541666666666667</v>
      </c>
      <c r="F143" s="22" t="n">
        <v>0.647916666666667</v>
      </c>
      <c r="G143" s="16" t="n">
        <f aca="false">F143-E143</f>
        <v>0.10625</v>
      </c>
      <c r="H143" s="24" t="s">
        <v>371</v>
      </c>
      <c r="I143" s="1" t="s">
        <v>78</v>
      </c>
      <c r="J143" s="1" t="n">
        <v>172835</v>
      </c>
      <c r="L143" s="1" t="n">
        <v>5</v>
      </c>
      <c r="M143" s="1" t="s">
        <v>370</v>
      </c>
    </row>
    <row r="144" customFormat="false" ht="12.75" hidden="false" customHeight="false" outlineLevel="0" collapsed="false">
      <c r="A144" s="1" t="s">
        <v>55</v>
      </c>
      <c r="B144" s="1" t="s">
        <v>372</v>
      </c>
      <c r="C144" s="13" t="s">
        <v>81</v>
      </c>
      <c r="D144" s="14" t="n">
        <v>46099</v>
      </c>
      <c r="E144" s="15" t="n">
        <v>0.304166666666667</v>
      </c>
      <c r="F144" s="22" t="n">
        <v>0.333333333333333</v>
      </c>
      <c r="G144" s="16" t="n">
        <f aca="false">F144-E144</f>
        <v>0.0291666666666667</v>
      </c>
      <c r="H144" s="23" t="s">
        <v>373</v>
      </c>
      <c r="I144" s="1" t="s">
        <v>78</v>
      </c>
      <c r="J144" s="1" t="n">
        <v>172943</v>
      </c>
      <c r="L144" s="1" t="n">
        <v>2</v>
      </c>
      <c r="M144" s="1" t="s">
        <v>374</v>
      </c>
    </row>
    <row r="145" customFormat="false" ht="12.75" hidden="false" customHeight="false" outlineLevel="0" collapsed="false">
      <c r="A145" s="1" t="s">
        <v>55</v>
      </c>
      <c r="B145" s="1" t="s">
        <v>375</v>
      </c>
      <c r="C145" s="13" t="s">
        <v>108</v>
      </c>
      <c r="D145" s="14" t="n">
        <v>46099</v>
      </c>
      <c r="E145" s="15" t="n">
        <v>0.821527777777778</v>
      </c>
      <c r="F145" s="22" t="n">
        <v>0.895833333333333</v>
      </c>
      <c r="G145" s="16" t="n">
        <f aca="false">F145-E145</f>
        <v>0.0743055555555556</v>
      </c>
      <c r="H145" s="23" t="s">
        <v>376</v>
      </c>
      <c r="I145" s="1" t="s">
        <v>78</v>
      </c>
      <c r="J145" s="1" t="n">
        <v>173202</v>
      </c>
      <c r="L145" s="1" t="n">
        <v>3</v>
      </c>
      <c r="M145" s="1" t="s">
        <v>377</v>
      </c>
    </row>
    <row r="146" customFormat="false" ht="12.75" hidden="false" customHeight="false" outlineLevel="0" collapsed="false">
      <c r="A146" s="1" t="s">
        <v>55</v>
      </c>
      <c r="B146" s="1" t="s">
        <v>375</v>
      </c>
      <c r="C146" s="13" t="s">
        <v>108</v>
      </c>
      <c r="D146" s="14" t="n">
        <v>46100</v>
      </c>
      <c r="E146" s="15" t="n">
        <v>0.83125</v>
      </c>
      <c r="F146" s="22" t="n">
        <v>0.889583333333333</v>
      </c>
      <c r="G146" s="16" t="n">
        <f aca="false">F146-E146</f>
        <v>0.0583333333333333</v>
      </c>
      <c r="H146" s="17" t="s">
        <v>378</v>
      </c>
      <c r="I146" s="1" t="s">
        <v>78</v>
      </c>
      <c r="J146" s="1" t="n">
        <v>173203</v>
      </c>
      <c r="L146" s="1" t="n">
        <v>3</v>
      </c>
      <c r="M146" s="1" t="s">
        <v>379</v>
      </c>
    </row>
    <row r="147" customFormat="false" ht="23.85" hidden="false" customHeight="false" outlineLevel="0" collapsed="false">
      <c r="A147" s="1" t="s">
        <v>55</v>
      </c>
      <c r="B147" s="1" t="s">
        <v>345</v>
      </c>
      <c r="C147" s="13" t="s">
        <v>100</v>
      </c>
      <c r="D147" s="14" t="n">
        <v>46101</v>
      </c>
      <c r="E147" s="15" t="n">
        <v>0.291666666666667</v>
      </c>
      <c r="F147" s="22" t="n">
        <v>0.333333333333333</v>
      </c>
      <c r="G147" s="16" t="n">
        <f aca="false">F147-E147</f>
        <v>0.0416666666666667</v>
      </c>
      <c r="H147" s="24" t="s">
        <v>380</v>
      </c>
      <c r="I147" s="1" t="s">
        <v>78</v>
      </c>
      <c r="J147" s="1" t="n">
        <v>173104</v>
      </c>
      <c r="L147" s="1" t="n">
        <v>3</v>
      </c>
      <c r="M147" s="1" t="s">
        <v>381</v>
      </c>
    </row>
    <row r="148" customFormat="false" ht="12.75" hidden="false" customHeight="false" outlineLevel="0" collapsed="false">
      <c r="A148" s="1" t="s">
        <v>55</v>
      </c>
      <c r="B148" s="1" t="s">
        <v>345</v>
      </c>
      <c r="C148" s="13" t="s">
        <v>100</v>
      </c>
      <c r="D148" s="14" t="n">
        <v>46101</v>
      </c>
      <c r="E148" s="15" t="n">
        <v>0.708333333333333</v>
      </c>
      <c r="F148" s="22" t="n">
        <v>0.795833333333333</v>
      </c>
      <c r="G148" s="16" t="n">
        <f aca="false">F148-E148</f>
        <v>0.0875</v>
      </c>
      <c r="H148" s="24" t="s">
        <v>382</v>
      </c>
      <c r="I148" s="1" t="s">
        <v>78</v>
      </c>
      <c r="J148" s="1" t="n">
        <v>173104</v>
      </c>
      <c r="L148" s="1" t="n">
        <v>3</v>
      </c>
      <c r="M148" s="1" t="s">
        <v>381</v>
      </c>
    </row>
    <row r="149" customFormat="false" ht="12.75" hidden="false" customHeight="false" outlineLevel="0" collapsed="false">
      <c r="A149" s="1" t="s">
        <v>55</v>
      </c>
      <c r="B149" s="1" t="s">
        <v>355</v>
      </c>
      <c r="C149" s="13" t="s">
        <v>8</v>
      </c>
      <c r="D149" s="14" t="n">
        <v>46102</v>
      </c>
      <c r="E149" s="15" t="n">
        <v>0.0493055555555556</v>
      </c>
      <c r="F149" s="22" t="n">
        <v>0.115972222222222</v>
      </c>
      <c r="G149" s="16" t="n">
        <f aca="false">F149-E149</f>
        <v>0.0666666666666667</v>
      </c>
      <c r="H149" s="23" t="s">
        <v>383</v>
      </c>
      <c r="I149" s="1" t="s">
        <v>78</v>
      </c>
      <c r="J149" s="1" t="n">
        <v>173235</v>
      </c>
      <c r="L149" s="1" t="n">
        <v>6</v>
      </c>
      <c r="M149" s="1" t="s">
        <v>384</v>
      </c>
    </row>
    <row r="150" customFormat="false" ht="23.85" hidden="false" customHeight="false" outlineLevel="0" collapsed="false">
      <c r="A150" s="1" t="s">
        <v>55</v>
      </c>
      <c r="B150" s="1" t="s">
        <v>350</v>
      </c>
      <c r="C150" s="13" t="s">
        <v>8</v>
      </c>
      <c r="D150" s="14" t="n">
        <v>46102</v>
      </c>
      <c r="E150" s="15" t="n">
        <v>0.367361111111111</v>
      </c>
      <c r="F150" s="22" t="n">
        <v>0.525</v>
      </c>
      <c r="G150" s="16" t="n">
        <f aca="false">F150-E150</f>
        <v>0.157638888888889</v>
      </c>
      <c r="H150" s="24" t="s">
        <v>385</v>
      </c>
      <c r="I150" s="1" t="s">
        <v>78</v>
      </c>
      <c r="J150" s="1" t="n">
        <v>173235</v>
      </c>
      <c r="L150" s="1" t="n">
        <v>5</v>
      </c>
      <c r="M150" s="1" t="s">
        <v>384</v>
      </c>
    </row>
    <row r="151" customFormat="false" ht="23.85" hidden="false" customHeight="false" outlineLevel="0" collapsed="false">
      <c r="A151" s="1" t="s">
        <v>55</v>
      </c>
      <c r="B151" s="1" t="s">
        <v>375</v>
      </c>
      <c r="C151" s="13" t="s">
        <v>8</v>
      </c>
      <c r="D151" s="14" t="n">
        <v>46102</v>
      </c>
      <c r="E151" s="15" t="n">
        <v>0.642361111111111</v>
      </c>
      <c r="F151" s="22" t="n">
        <v>0.772916666666667</v>
      </c>
      <c r="G151" s="16" t="n">
        <f aca="false">F151-E151</f>
        <v>0.130555555555556</v>
      </c>
      <c r="H151" s="24" t="s">
        <v>386</v>
      </c>
      <c r="I151" s="1" t="s">
        <v>78</v>
      </c>
      <c r="J151" s="1" t="n">
        <v>173204</v>
      </c>
      <c r="L151" s="1" t="n">
        <v>3</v>
      </c>
      <c r="M151" s="1" t="s">
        <v>387</v>
      </c>
    </row>
    <row r="152" customFormat="false" ht="12.75" hidden="false" customHeight="false" outlineLevel="0" collapsed="false">
      <c r="A152" s="1" t="s">
        <v>55</v>
      </c>
      <c r="B152" s="1" t="s">
        <v>375</v>
      </c>
      <c r="C152" s="13" t="s">
        <v>8</v>
      </c>
      <c r="D152" s="14" t="n">
        <v>46102</v>
      </c>
      <c r="E152" s="15" t="n">
        <v>0.807638888888889</v>
      </c>
      <c r="F152" s="22" t="n">
        <v>0.849305555555556</v>
      </c>
      <c r="G152" s="16" t="n">
        <f aca="false">F152-E152</f>
        <v>0.0416666666666667</v>
      </c>
      <c r="H152" s="23" t="s">
        <v>388</v>
      </c>
      <c r="I152" s="1" t="s">
        <v>73</v>
      </c>
      <c r="J152" s="1" t="n">
        <v>173204</v>
      </c>
      <c r="L152" s="1" t="n">
        <v>3</v>
      </c>
      <c r="M152" s="1" t="s">
        <v>387</v>
      </c>
    </row>
    <row r="153" customFormat="false" ht="23.85" hidden="false" customHeight="false" outlineLevel="0" collapsed="false">
      <c r="A153" s="1" t="s">
        <v>55</v>
      </c>
      <c r="B153" s="1" t="s">
        <v>375</v>
      </c>
      <c r="C153" s="13" t="s">
        <v>8</v>
      </c>
      <c r="D153" s="14" t="n">
        <v>46102</v>
      </c>
      <c r="E153" s="15" t="n">
        <v>0.873611111111111</v>
      </c>
      <c r="F153" s="22" t="n">
        <v>0.9375</v>
      </c>
      <c r="G153" s="16" t="n">
        <f aca="false">F153-E153</f>
        <v>0.0638888888888889</v>
      </c>
      <c r="H153" s="24" t="s">
        <v>389</v>
      </c>
      <c r="I153" s="1" t="s">
        <v>78</v>
      </c>
      <c r="J153" s="1" t="n">
        <v>173204</v>
      </c>
      <c r="L153" s="1" t="n">
        <v>3</v>
      </c>
      <c r="M153" s="1" t="s">
        <v>387</v>
      </c>
    </row>
    <row r="154" customFormat="false" ht="12.75" hidden="false" customHeight="false" outlineLevel="0" collapsed="false">
      <c r="A154" s="1" t="s">
        <v>55</v>
      </c>
      <c r="B154" s="1" t="s">
        <v>375</v>
      </c>
      <c r="C154" s="13" t="s">
        <v>11</v>
      </c>
      <c r="D154" s="14" t="n">
        <v>46103</v>
      </c>
      <c r="E154" s="15" t="n">
        <v>0.39375</v>
      </c>
      <c r="F154" s="22" t="n">
        <v>0.5</v>
      </c>
      <c r="G154" s="16" t="n">
        <f aca="false">F154-E154</f>
        <v>0.10625</v>
      </c>
      <c r="H154" s="23" t="s">
        <v>390</v>
      </c>
      <c r="I154" s="1" t="s">
        <v>78</v>
      </c>
      <c r="J154" s="1" t="n">
        <v>173325</v>
      </c>
      <c r="L154" s="1" t="n">
        <v>3</v>
      </c>
      <c r="M154" s="1" t="s">
        <v>391</v>
      </c>
    </row>
    <row r="155" customFormat="false" ht="12.75" hidden="false" customHeight="false" outlineLevel="0" collapsed="false">
      <c r="A155" s="1" t="s">
        <v>55</v>
      </c>
      <c r="B155" s="1" t="s">
        <v>375</v>
      </c>
      <c r="C155" s="13" t="s">
        <v>11</v>
      </c>
      <c r="D155" s="14" t="n">
        <v>46103</v>
      </c>
      <c r="E155" s="15" t="n">
        <v>0.778472222222222</v>
      </c>
      <c r="F155" s="22" t="n">
        <v>0.868055555555556</v>
      </c>
      <c r="G155" s="16" t="n">
        <f aca="false">F155-E155</f>
        <v>0.0895833333333333</v>
      </c>
      <c r="H155" s="23" t="s">
        <v>392</v>
      </c>
      <c r="I155" s="1" t="s">
        <v>78</v>
      </c>
      <c r="J155" s="1" t="n">
        <v>173325</v>
      </c>
      <c r="L155" s="1" t="n">
        <v>3</v>
      </c>
      <c r="M155" s="1" t="s">
        <v>391</v>
      </c>
    </row>
    <row r="156" customFormat="false" ht="12.75" hidden="false" customHeight="false" outlineLevel="0" collapsed="false">
      <c r="A156" s="1" t="s">
        <v>45</v>
      </c>
      <c r="B156" s="1" t="s">
        <v>393</v>
      </c>
      <c r="C156" s="13" t="s">
        <v>81</v>
      </c>
      <c r="D156" s="14" t="n">
        <v>46085</v>
      </c>
      <c r="E156" s="15" t="n">
        <v>0.708333333333333</v>
      </c>
      <c r="F156" s="22" t="n">
        <v>0.770833333333333</v>
      </c>
      <c r="G156" s="16" t="n">
        <f aca="false">F156-E156</f>
        <v>0.0625</v>
      </c>
      <c r="H156" s="23" t="s">
        <v>394</v>
      </c>
      <c r="I156" s="1" t="s">
        <v>73</v>
      </c>
      <c r="J156" s="1" t="n">
        <v>172001</v>
      </c>
      <c r="L156" s="1" t="n">
        <v>2</v>
      </c>
      <c r="M156" s="1" t="s">
        <v>395</v>
      </c>
    </row>
    <row r="157" customFormat="false" ht="12.75" hidden="false" customHeight="false" outlineLevel="0" collapsed="false">
      <c r="A157" s="1" t="s">
        <v>45</v>
      </c>
      <c r="B157" s="1" t="s">
        <v>396</v>
      </c>
      <c r="C157" s="13" t="s">
        <v>108</v>
      </c>
      <c r="D157" s="14" t="n">
        <v>46086</v>
      </c>
      <c r="E157" s="15" t="n">
        <v>0.708333333333333</v>
      </c>
      <c r="F157" s="22" t="n">
        <v>0.758333333333333</v>
      </c>
      <c r="G157" s="16" t="n">
        <f aca="false">F157-E157</f>
        <v>0.05</v>
      </c>
      <c r="H157" s="23" t="s">
        <v>397</v>
      </c>
      <c r="I157" s="1" t="s">
        <v>78</v>
      </c>
      <c r="J157" s="1" t="n">
        <v>172125</v>
      </c>
      <c r="L157" s="1" t="n">
        <v>1</v>
      </c>
      <c r="M157" s="1" t="s">
        <v>398</v>
      </c>
    </row>
    <row r="158" customFormat="false" ht="23.85" hidden="false" customHeight="false" outlineLevel="0" collapsed="false">
      <c r="A158" s="1" t="s">
        <v>45</v>
      </c>
      <c r="B158" s="1" t="s">
        <v>399</v>
      </c>
      <c r="C158" s="13" t="s">
        <v>100</v>
      </c>
      <c r="D158" s="14" t="n">
        <v>46087</v>
      </c>
      <c r="E158" s="15" t="n">
        <v>0.708333333333333</v>
      </c>
      <c r="F158" s="22" t="n">
        <v>0.892361111111111</v>
      </c>
      <c r="G158" s="16" t="n">
        <f aca="false">F158-E158</f>
        <v>0.184027777777778</v>
      </c>
      <c r="H158" s="24" t="s">
        <v>400</v>
      </c>
      <c r="I158" s="1" t="s">
        <v>78</v>
      </c>
      <c r="J158" s="1" t="n">
        <v>172186</v>
      </c>
      <c r="L158" s="1" t="n">
        <v>8</v>
      </c>
      <c r="M158" s="1" t="s">
        <v>401</v>
      </c>
    </row>
    <row r="159" customFormat="false" ht="12.75" hidden="false" customHeight="false" outlineLevel="0" collapsed="false">
      <c r="A159" s="1" t="s">
        <v>45</v>
      </c>
      <c r="B159" s="1" t="s">
        <v>402</v>
      </c>
      <c r="C159" s="13" t="s">
        <v>108</v>
      </c>
      <c r="D159" s="14" t="n">
        <v>46093</v>
      </c>
      <c r="E159" s="15" t="n">
        <v>0.708333333333333</v>
      </c>
      <c r="F159" s="22" t="n">
        <v>0.761111111111111</v>
      </c>
      <c r="G159" s="16" t="n">
        <f aca="false">F159-E159</f>
        <v>0.0527777777777778</v>
      </c>
      <c r="H159" s="23" t="s">
        <v>403</v>
      </c>
      <c r="I159" s="1" t="s">
        <v>73</v>
      </c>
      <c r="J159" s="1" t="n">
        <v>172600</v>
      </c>
      <c r="L159" s="1" t="n">
        <v>3</v>
      </c>
      <c r="M159" s="1" t="s">
        <v>404</v>
      </c>
    </row>
    <row r="160" customFormat="false" ht="23.85" hidden="false" customHeight="false" outlineLevel="0" collapsed="false">
      <c r="A160" s="1" t="s">
        <v>50</v>
      </c>
      <c r="B160" s="1" t="s">
        <v>405</v>
      </c>
      <c r="C160" s="13" t="s">
        <v>71</v>
      </c>
      <c r="D160" s="14" t="n">
        <v>46083</v>
      </c>
      <c r="E160" s="15" t="n">
        <v>0.711805555555556</v>
      </c>
      <c r="F160" s="22" t="n">
        <v>0.833333333333333</v>
      </c>
      <c r="G160" s="16" t="n">
        <f aca="false">F160-E160</f>
        <v>0.121527777777778</v>
      </c>
      <c r="H160" s="24" t="s">
        <v>406</v>
      </c>
      <c r="I160" s="1" t="s">
        <v>73</v>
      </c>
      <c r="J160" s="1" t="n">
        <v>171811</v>
      </c>
      <c r="L160" s="1" t="n">
        <v>4</v>
      </c>
      <c r="M160" s="1" t="s">
        <v>407</v>
      </c>
    </row>
    <row r="161" customFormat="false" ht="12.75" hidden="false" customHeight="false" outlineLevel="0" collapsed="false">
      <c r="A161" s="1" t="s">
        <v>50</v>
      </c>
      <c r="B161" s="1" t="s">
        <v>408</v>
      </c>
      <c r="C161" s="13" t="s">
        <v>81</v>
      </c>
      <c r="D161" s="14" t="n">
        <v>46085</v>
      </c>
      <c r="E161" s="15" t="n">
        <v>0.836805555555556</v>
      </c>
      <c r="F161" s="22" t="n">
        <v>0.879166666666667</v>
      </c>
      <c r="G161" s="16" t="n">
        <f aca="false">F161-E161</f>
        <v>0.0423611111111111</v>
      </c>
      <c r="H161" s="23" t="s">
        <v>409</v>
      </c>
      <c r="I161" s="1" t="s">
        <v>78</v>
      </c>
      <c r="J161" s="1" t="n">
        <v>172098</v>
      </c>
      <c r="L161" s="1" t="n">
        <v>4</v>
      </c>
      <c r="M161" s="1" t="s">
        <v>410</v>
      </c>
    </row>
    <row r="162" customFormat="false" ht="12.75" hidden="false" customHeight="false" outlineLevel="0" collapsed="false">
      <c r="A162" s="1" t="s">
        <v>50</v>
      </c>
      <c r="B162" s="1" t="s">
        <v>408</v>
      </c>
      <c r="C162" s="13" t="s">
        <v>81</v>
      </c>
      <c r="D162" s="14" t="n">
        <v>46085</v>
      </c>
      <c r="E162" s="15" t="n">
        <v>0.708333333333333</v>
      </c>
      <c r="F162" s="22" t="n">
        <v>0.75</v>
      </c>
      <c r="G162" s="16" t="n">
        <f aca="false">F162-E162</f>
        <v>0.0416666666666667</v>
      </c>
      <c r="H162" s="23" t="s">
        <v>411</v>
      </c>
      <c r="I162" s="1" t="s">
        <v>78</v>
      </c>
      <c r="J162" s="1" t="n">
        <v>172018</v>
      </c>
      <c r="L162" s="1" t="n">
        <v>1</v>
      </c>
      <c r="M162" s="1" t="s">
        <v>412</v>
      </c>
    </row>
    <row r="163" customFormat="false" ht="46.25" hidden="false" customHeight="false" outlineLevel="0" collapsed="false">
      <c r="A163" s="1" t="s">
        <v>50</v>
      </c>
      <c r="B163" s="1" t="s">
        <v>408</v>
      </c>
      <c r="C163" s="13" t="s">
        <v>100</v>
      </c>
      <c r="D163" s="14" t="n">
        <v>46087</v>
      </c>
      <c r="E163" s="15" t="n">
        <v>0.708333333333333</v>
      </c>
      <c r="F163" s="22" t="n">
        <v>0.916666666666667</v>
      </c>
      <c r="G163" s="16" t="n">
        <f aca="false">F163-E163</f>
        <v>0.208333333333333</v>
      </c>
      <c r="H163" s="24" t="s">
        <v>413</v>
      </c>
      <c r="I163" s="1" t="s">
        <v>167</v>
      </c>
      <c r="J163" s="1" t="n">
        <v>172211</v>
      </c>
      <c r="L163" s="1" t="n">
        <v>6</v>
      </c>
      <c r="M163" s="1" t="s">
        <v>414</v>
      </c>
    </row>
    <row r="164" customFormat="false" ht="46.25" hidden="false" customHeight="false" outlineLevel="0" collapsed="false">
      <c r="A164" s="1" t="s">
        <v>50</v>
      </c>
      <c r="B164" s="1" t="s">
        <v>408</v>
      </c>
      <c r="C164" s="13" t="s">
        <v>8</v>
      </c>
      <c r="D164" s="14" t="n">
        <v>46088</v>
      </c>
      <c r="E164" s="15" t="n">
        <v>0.35</v>
      </c>
      <c r="F164" s="22" t="n">
        <v>0.545833333333333</v>
      </c>
      <c r="G164" s="16" t="n">
        <f aca="false">F164-E164</f>
        <v>0.195833333333333</v>
      </c>
      <c r="H164" s="24" t="s">
        <v>415</v>
      </c>
      <c r="I164" s="1" t="s">
        <v>78</v>
      </c>
      <c r="J164" s="1" t="n">
        <v>172258</v>
      </c>
      <c r="L164" s="1" t="n">
        <v>3</v>
      </c>
      <c r="M164" s="1" t="s">
        <v>416</v>
      </c>
    </row>
    <row r="165" customFormat="false" ht="12.75" hidden="false" customHeight="false" outlineLevel="0" collapsed="false">
      <c r="A165" s="1" t="s">
        <v>50</v>
      </c>
      <c r="B165" s="1" t="s">
        <v>417</v>
      </c>
      <c r="C165" s="13" t="s">
        <v>8</v>
      </c>
      <c r="D165" s="14" t="n">
        <v>46088</v>
      </c>
      <c r="E165" s="15" t="n">
        <v>0.928472222222222</v>
      </c>
      <c r="F165" s="22" t="n">
        <v>0.989583333333333</v>
      </c>
      <c r="G165" s="16" t="n">
        <f aca="false">F165-E165</f>
        <v>0.0611111111111111</v>
      </c>
      <c r="H165" s="23" t="s">
        <v>418</v>
      </c>
      <c r="I165" s="1" t="s">
        <v>78</v>
      </c>
      <c r="J165" s="1" t="n">
        <v>172258</v>
      </c>
      <c r="L165" s="1" t="n">
        <v>3</v>
      </c>
      <c r="M165" s="1" t="s">
        <v>416</v>
      </c>
    </row>
    <row r="166" customFormat="false" ht="12.75" hidden="false" customHeight="false" outlineLevel="0" collapsed="false">
      <c r="A166" s="1" t="s">
        <v>50</v>
      </c>
      <c r="B166" s="1" t="s">
        <v>417</v>
      </c>
      <c r="C166" s="13" t="s">
        <v>11</v>
      </c>
      <c r="D166" s="14" t="n">
        <v>46089</v>
      </c>
      <c r="E166" s="15" t="n">
        <v>0.819444444444444</v>
      </c>
      <c r="F166" s="22" t="n">
        <v>0.888888888888889</v>
      </c>
      <c r="G166" s="16" t="n">
        <f aca="false">F166-E166</f>
        <v>0.0694444444444445</v>
      </c>
      <c r="H166" s="23" t="s">
        <v>419</v>
      </c>
      <c r="I166" s="1" t="s">
        <v>73</v>
      </c>
      <c r="J166" s="1" t="n">
        <v>172302</v>
      </c>
      <c r="L166" s="1" t="n">
        <v>4</v>
      </c>
      <c r="M166" s="1" t="s">
        <v>420</v>
      </c>
    </row>
    <row r="167" customFormat="false" ht="12.75" hidden="false" customHeight="false" outlineLevel="0" collapsed="false">
      <c r="A167" s="1" t="s">
        <v>50</v>
      </c>
      <c r="B167" s="1" t="s">
        <v>421</v>
      </c>
      <c r="C167" s="13" t="s">
        <v>81</v>
      </c>
      <c r="D167" s="14" t="n">
        <v>46099</v>
      </c>
      <c r="E167" s="15" t="n">
        <v>0.715972222222222</v>
      </c>
      <c r="F167" s="22" t="n">
        <v>0.760416666666667</v>
      </c>
      <c r="G167" s="16" t="n">
        <f aca="false">F167-E167</f>
        <v>0.0444444444444444</v>
      </c>
      <c r="H167" s="23" t="s">
        <v>422</v>
      </c>
      <c r="I167" s="1" t="s">
        <v>73</v>
      </c>
      <c r="J167" s="1" t="n">
        <v>172978</v>
      </c>
      <c r="L167" s="1" t="n">
        <v>2</v>
      </c>
      <c r="M167" s="1" t="s">
        <v>423</v>
      </c>
    </row>
    <row r="168" customFormat="false" ht="23.85" hidden="false" customHeight="false" outlineLevel="0" collapsed="false">
      <c r="A168" s="1" t="s">
        <v>54</v>
      </c>
      <c r="B168" s="1" t="s">
        <v>424</v>
      </c>
      <c r="C168" s="13" t="s">
        <v>71</v>
      </c>
      <c r="D168" s="14" t="n">
        <v>46083</v>
      </c>
      <c r="E168" s="15" t="n">
        <v>0.708333333333333</v>
      </c>
      <c r="F168" s="22" t="n">
        <v>0.8375</v>
      </c>
      <c r="G168" s="16" t="n">
        <f aca="false">F168-E168</f>
        <v>0.129166666666667</v>
      </c>
      <c r="H168" s="24" t="s">
        <v>425</v>
      </c>
      <c r="I168" s="1" t="s">
        <v>73</v>
      </c>
      <c r="J168" s="1" t="n">
        <v>171784</v>
      </c>
      <c r="L168" s="1" t="n">
        <v>4</v>
      </c>
      <c r="M168" s="1" t="s">
        <v>426</v>
      </c>
    </row>
    <row r="169" customFormat="false" ht="12.75" hidden="false" customHeight="false" outlineLevel="0" collapsed="false">
      <c r="A169" s="1" t="s">
        <v>54</v>
      </c>
      <c r="B169" s="1" t="s">
        <v>424</v>
      </c>
      <c r="C169" s="13" t="s">
        <v>76</v>
      </c>
      <c r="D169" s="14" t="n">
        <v>46084</v>
      </c>
      <c r="E169" s="15" t="n">
        <v>0.8375</v>
      </c>
      <c r="F169" s="22" t="n">
        <v>0.861111111111111</v>
      </c>
      <c r="G169" s="16" t="n">
        <f aca="false">F169-E169</f>
        <v>0.0236111111111111</v>
      </c>
      <c r="H169" s="23" t="s">
        <v>427</v>
      </c>
      <c r="I169" s="1" t="s">
        <v>78</v>
      </c>
      <c r="J169" s="1" t="n">
        <v>171914</v>
      </c>
      <c r="L169" s="1" t="n">
        <v>1</v>
      </c>
      <c r="M169" s="1" t="s">
        <v>428</v>
      </c>
    </row>
    <row r="170" customFormat="false" ht="12.75" hidden="false" customHeight="false" outlineLevel="0" collapsed="false">
      <c r="A170" s="1" t="s">
        <v>57</v>
      </c>
      <c r="B170" s="1" t="s">
        <v>429</v>
      </c>
      <c r="C170" s="13" t="s">
        <v>76</v>
      </c>
      <c r="D170" s="14" t="n">
        <v>46084</v>
      </c>
      <c r="E170" s="15" t="n">
        <v>0.708333333333333</v>
      </c>
      <c r="F170" s="22" t="n">
        <v>0.752083333333333</v>
      </c>
      <c r="G170" s="16" t="n">
        <f aca="false">F170-E170</f>
        <v>0.04375</v>
      </c>
      <c r="H170" s="24" t="s">
        <v>430</v>
      </c>
      <c r="I170" s="1" t="s">
        <v>73</v>
      </c>
      <c r="J170" s="1" t="n">
        <v>171947</v>
      </c>
      <c r="L170" s="1" t="n">
        <v>3</v>
      </c>
      <c r="M170" s="1" t="s">
        <v>431</v>
      </c>
    </row>
    <row r="171" customFormat="false" ht="12.75" hidden="false" customHeight="false" outlineLevel="0" collapsed="false">
      <c r="A171" s="1" t="s">
        <v>57</v>
      </c>
      <c r="B171" s="1" t="s">
        <v>432</v>
      </c>
      <c r="C171" s="13" t="s">
        <v>76</v>
      </c>
      <c r="D171" s="14" t="n">
        <v>46091</v>
      </c>
      <c r="E171" s="15" t="n">
        <v>0.941666666666667</v>
      </c>
      <c r="F171" s="22" t="n">
        <v>0.997916666666667</v>
      </c>
      <c r="G171" s="16" t="n">
        <f aca="false">F171-E171</f>
        <v>0.05625</v>
      </c>
      <c r="H171" s="23" t="s">
        <v>433</v>
      </c>
      <c r="I171" s="1" t="s">
        <v>78</v>
      </c>
      <c r="J171" s="1" t="n">
        <v>172483</v>
      </c>
      <c r="L171" s="1" t="n">
        <v>3</v>
      </c>
      <c r="M171" s="1" t="s">
        <v>431</v>
      </c>
    </row>
    <row r="172" customFormat="false" ht="12.75" hidden="false" customHeight="false" outlineLevel="0" collapsed="false">
      <c r="A172" s="1" t="s">
        <v>57</v>
      </c>
      <c r="B172" s="1" t="s">
        <v>432</v>
      </c>
      <c r="C172" s="13" t="s">
        <v>100</v>
      </c>
      <c r="D172" s="14" t="n">
        <v>46094</v>
      </c>
      <c r="E172" s="15" t="n">
        <v>0.278472222222222</v>
      </c>
      <c r="F172" s="22" t="n">
        <v>0.333333333333333</v>
      </c>
      <c r="G172" s="16" t="n">
        <f aca="false">F172-E172</f>
        <v>0.0548611111111111</v>
      </c>
      <c r="H172" s="23" t="s">
        <v>434</v>
      </c>
      <c r="I172" s="1" t="s">
        <v>78</v>
      </c>
      <c r="J172" s="1" t="n">
        <v>172663</v>
      </c>
      <c r="L172" s="1" t="n">
        <v>1</v>
      </c>
      <c r="M172" s="1" t="s">
        <v>435</v>
      </c>
    </row>
    <row r="173" customFormat="false" ht="23.85" hidden="false" customHeight="false" outlineLevel="0" collapsed="false">
      <c r="A173" s="1" t="s">
        <v>57</v>
      </c>
      <c r="B173" s="1" t="s">
        <v>432</v>
      </c>
      <c r="C173" s="13" t="s">
        <v>100</v>
      </c>
      <c r="D173" s="14" t="n">
        <v>46094</v>
      </c>
      <c r="E173" s="15" t="n">
        <v>0.71875</v>
      </c>
      <c r="F173" s="22" t="n">
        <v>0.816666666666667</v>
      </c>
      <c r="G173" s="16" t="n">
        <f aca="false">F173-E173</f>
        <v>0.0979166666666667</v>
      </c>
      <c r="H173" s="24" t="s">
        <v>436</v>
      </c>
      <c r="I173" s="1" t="s">
        <v>167</v>
      </c>
      <c r="J173" s="1" t="n">
        <v>172663</v>
      </c>
      <c r="L173" s="1" t="n">
        <v>2</v>
      </c>
      <c r="M173" s="1" t="s">
        <v>435</v>
      </c>
    </row>
    <row r="175" customFormat="false" ht="12.75" hidden="false" customHeight="false" outlineLevel="0" collapsed="false">
      <c r="G175" s="25"/>
    </row>
  </sheetData>
  <autoFilter ref="A1:M173"/>
  <conditionalFormatting sqref="A1:M1048576">
    <cfRule type="expression" priority="2" aboveAverage="0" equalAverage="0" bottom="0" percent="0" rank="0" text="" dxfId="6">
      <formula>($A1&lt;&gt;$A2)</formula>
    </cfRule>
    <cfRule type="expression" priority="3" aboveAverage="0" equalAverage="0" bottom="0" percent="0" rank="0" text="" dxfId="7">
      <formula>($C1="sábado")</formula>
    </cfRule>
    <cfRule type="expression" priority="4" aboveAverage="0" equalAverage="0" bottom="0" percent="0" rank="0" text="" dxfId="8">
      <formula>($C1="domingo")</formula>
    </cfRule>
    <cfRule type="expression" priority="7" aboveAverage="0" equalAverage="0" bottom="0" percent="0" rank="0" text="" dxfId="11">
      <formula>($E1&lt;&gt;"")*( HOUR($E1)&lt;6)</formula>
    </cfRule>
  </conditionalFormatting>
  <conditionalFormatting sqref="F1:F1048576">
    <cfRule type="expression" priority="8" aboveAverage="0" equalAverage="0" bottom="0" percent="0" rank="0" text="" dxfId="12">
      <formula>AND(HOUR($E1)&lt;8, HOUR($F1)&gt;8)</formula>
    </cfRule>
  </conditionalFormatting>
  <conditionalFormatting sqref="E1:E1048576">
    <cfRule type="expression" priority="9" aboveAverage="0" equalAverage="0" bottom="0" percent="0" rank="0" text="" dxfId="13">
      <formula>AND(HOUR($E1)&lt;17, HOUR($F1)&gt;17)</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extLst>
    <ext xmlns:x14="http://schemas.microsoft.com/office/spreadsheetml/2009/9/main" uri="{78C0D931-6437-407d-A8EE-F0AAD7539E65}">
      <x14:conditionalFormattings>
        <x14:conditionalFormatting xmlns:xm="http://schemas.microsoft.com/office/excel/2006/main">
          <x14:cfRule type="expression" priority="5" id="{3651F3D6-A31B-401F-8DEA-42E6574B1E95}">
            <xm:f>COUNTIF(Revisar_primero!$B$2:$B$14,$D1)&gt;0</xm:f>
            <x14:dxf>
              <fill>
                <patternFill>
                  <bgColor theme="4" tint="0.7998"/>
                </patternFill>
              </fill>
            </x14:dxf>
          </x14:cfRule>
          <x14:cfRule type="expression" priority="6" id="{7A701A47-982C-44D7-AFF0-9749CCC4ADC0}">
            <xm:f>MATCH(1,(Revisar_primero!$A$15:$A$28=$A1)*(Revisar_primero!$B$15:$B$28=$D1),0)</xm:f>
            <x14:dxf>
              <fill>
                <patternFill>
                  <bgColor theme="4" tint="0.7998"/>
                </patternFill>
              </fill>
            </x14:dxf>
          </x14:cfRule>
          <xm:sqref>A:M</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20</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2026-03-29T13:03:07Z</dcterms:created>
  <dc:creator/>
  <dc:description/>
  <dc:language>es-EC</dc:language>
  <cp:lastModifiedBy>Ernesto Palacios</cp:lastModifiedBy>
  <dcterms:modified xsi:type="dcterms:W3CDTF">2026-04-01T12:53:15Z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