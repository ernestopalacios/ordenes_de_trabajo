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9.xml" ContentType="application/vnd.openxmlformats-officedocument.spreadsheetml.worksheet+xml"/>
  <Override PartName="/xl/worksheets/sheet16.xml" ContentType="application/vnd.openxmlformats-officedocument.spreadsheetml.worksheet+xml"/>
  <Override PartName="/xl/worksheets/sheet37.xml" ContentType="application/vnd.openxmlformats-officedocument.spreadsheetml.worksheet+xml"/>
  <Override PartName="/xl/worksheets/sheet11.xml" ContentType="application/vnd.openxmlformats-officedocument.spreadsheetml.worksheet+xml"/>
  <Override PartName="/xl/worksheets/sheet33.xml" ContentType="application/vnd.openxmlformats-officedocument.spreadsheetml.worksheet+xml"/>
  <Override PartName="/xl/worksheets/sheet24.xml" ContentType="application/vnd.openxmlformats-officedocument.spreadsheetml.worksheet+xml"/>
  <Override PartName="/xl/worksheets/sheet36.xml" ContentType="application/vnd.openxmlformats-officedocument.spreadsheetml.worksheet+xml"/>
  <Override PartName="/xl/worksheets/sheet6.xml" ContentType="application/vnd.openxmlformats-officedocument.spreadsheetml.worksheet+xml"/>
  <Override PartName="/xl/worksheets/sheet38.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9.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32"/>
  </bookViews>
  <sheets>
    <sheet name="FR" sheetId="1" state="visible" r:id="rId3"/>
    <sheet name="RS" sheetId="2" state="visible" r:id="rId4"/>
    <sheet name="LL" sheetId="3" state="visible" r:id="rId5"/>
    <sheet name="JCR" sheetId="4" state="visible" r:id="rId6"/>
    <sheet name="VZH" sheetId="5" state="visible" r:id="rId7"/>
    <sheet name="GJ" sheetId="6" state="visible" r:id="rId8"/>
    <sheet name="SO" sheetId="7" state="visible" r:id="rId9"/>
    <sheet name="LM" sheetId="8" state="visible" r:id="rId10"/>
    <sheet name="RY" sheetId="9" state="visible" r:id="rId11"/>
    <sheet name="JCH" sheetId="10" state="visible" r:id="rId12"/>
    <sheet name="MC" sheetId="11" state="visible" r:id="rId13"/>
    <sheet name="NL" sheetId="12" state="visible" r:id="rId14"/>
    <sheet name="WC" sheetId="13" state="visible" r:id="rId15"/>
    <sheet name="NR" sheetId="14" state="visible" r:id="rId16"/>
    <sheet name="SB" sheetId="15" state="visible" r:id="rId17"/>
    <sheet name="AA" sheetId="16" state="visible" r:id="rId18"/>
    <sheet name="AO" sheetId="17" state="visible" r:id="rId19"/>
    <sheet name="JLC" sheetId="18" state="visible" r:id="rId20"/>
    <sheet name="GT" sheetId="19" state="visible" r:id="rId21"/>
    <sheet name="RCL" sheetId="20" state="visible" r:id="rId22"/>
    <sheet name="PCH" sheetId="21" state="visible" r:id="rId23"/>
    <sheet name="LP" sheetId="22" state="visible" r:id="rId24"/>
    <sheet name="JA" sheetId="23" state="visible" r:id="rId25"/>
    <sheet name="DG" sheetId="24" state="visible" r:id="rId26"/>
    <sheet name="MS" sheetId="25" state="visible" r:id="rId27"/>
    <sheet name="JJ" sheetId="26" state="visible" r:id="rId28"/>
    <sheet name="CQ" sheetId="27" state="visible" r:id="rId29"/>
    <sheet name="AC" sheetId="28" state="visible" r:id="rId30"/>
    <sheet name="JL" sheetId="29" state="visible" r:id="rId31"/>
    <sheet name="HM" sheetId="30" state="visible" r:id="rId32"/>
    <sheet name="LV" sheetId="31" state="visible" r:id="rId33"/>
    <sheet name="AD" sheetId="32" state="visible" r:id="rId34"/>
    <sheet name="FA" sheetId="33" state="visible" r:id="rId35"/>
    <sheet name="AS" sheetId="34" state="visible" r:id="rId36"/>
    <sheet name="FG" sheetId="35" state="visible" r:id="rId37"/>
    <sheet name="CLP" sheetId="36" state="visible" r:id="rId38"/>
    <sheet name="MA" sheetId="37" state="visible" r:id="rId39"/>
    <sheet name="CB" sheetId="38" state="visible" r:id="rId40"/>
    <sheet name="GC" sheetId="39" state="visible" r:id="rId41"/>
  </sheets>
  <definedNames>
    <definedName function="false" hidden="false" name="AREA" vbProcedure="false">NA()</definedName>
    <definedName function="false" hidden="false" name="AREA_2000" vbProcedure="false">NA()</definedName>
    <definedName function="false" hidden="false" name="LISTAMAT" vbProcedure="false">NA()</definedName>
    <definedName function="false" hidden="false" name="Listamateriales" vbProcedure="false">NA()</definedName>
    <definedName function="false" hidden="false" name="_Fill" vbProcedure="false">NA()</definedName>
    <definedName function="false" hidden="false" name="_Key1" vbProcedure="false">NA()</definedName>
    <definedName function="false" hidden="false" name="_Order1" vbProcedure="false">255</definedName>
    <definedName function="false" hidden="false" name="_Sort" vbProcedure="false">NA()</definedName>
    <definedName function="false" hidden="false" name="_xlfn_IFERROR" vbProcedure="false">#REF!</definedName>
    <definedName function="false" hidden="false" name="_xlfn__FV"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<sst xmlns="http://schemas.openxmlformats.org/spreadsheetml/2006/main" count="993" uniqueCount="176">
  <si>
    <t xml:space="preserve">GERENCIA DE OPERACIÓN Y MANTENIMIENTO
SUPERINTENDENCIA DE OPERACIÓN Y MANTENIMIENTO ZONA 1
Reporte Horas Extraordinarias
</t>
  </si>
  <si>
    <t xml:space="preserve">Nombre del trabajador: </t>
  </si>
  <si>
    <t xml:space="preserve">RIOS RIOS FRANCISCO FERNANDO</t>
  </si>
  <si>
    <t xml:space="preserve">TOTAL</t>
  </si>
  <si>
    <t xml:space="preserve">Cuadrilla o Agencia:</t>
  </si>
  <si>
    <t xml:space="preserve">Cuadrilla Zamora</t>
  </si>
  <si>
    <t xml:space="preserve">(horas reloj)</t>
  </si>
  <si>
    <t xml:space="preserve">Parte:</t>
  </si>
  <si>
    <t xml:space="preserve">                      Trabajador                                                         Jefe Zonal                                                          Ingeniero 1                            </t>
  </si>
  <si>
    <t xml:space="preserve">DIA</t>
  </si>
  <si>
    <t xml:space="preserve">FECHA</t>
  </si>
  <si>
    <t xml:space="preserve">Extra 1</t>
  </si>
  <si>
    <t xml:space="preserve">Fin 1</t>
  </si>
  <si>
    <t xml:space="preserve">Extra 2</t>
  </si>
  <si>
    <t xml:space="preserve">Fin 2</t>
  </si>
  <si>
    <t xml:space="preserve">Extra 3</t>
  </si>
  <si>
    <t xml:space="preserve">Fin 3</t>
  </si>
  <si>
    <t xml:space="preserve">Horas</t>
  </si>
  <si>
    <t xml:space="preserve">BREVE EXPLICACION</t>
  </si>
  <si>
    <t xml:space="preserve">OT # 173886. La Península, se aísla transformadores privados en mal estado, Est 70356, cambio de fusible de 8A-T, se normaliza el servicio al trafo # 16926 de 25KVA.</t>
  </si>
  <si>
    <t xml:space="preserve">OT # 174090. DIA FESTIVO “Viernes Santo”. Calle Diego de Vaca, en transformador 13903 se encuentra pararrayo en mal estado, se aisla y reestablece servicio. El Maní, Est 28669 RBV arrancada por conector en mal estado, se empalma y regula, se cambia conectores en bajante del trafo # 24441</t>
  </si>
  <si>
    <t xml:space="preserve">OT # 174212. Nambija, Est 194212 se arregla bajantes del transformador 22182,se rehabilita.</t>
  </si>
  <si>
    <t xml:space="preserve">OT # 175190. San Marcos, Med # 18-219157 falla interna. Jamboe Bajo, Med # 249208 acometida arrancada por vehículo, se empalma.</t>
  </si>
  <si>
    <t xml:space="preserve">OT # 175428. Quebrada de Cumbaratza, Med. 18-208984 acometida arrancada, se empalma.</t>
  </si>
  <si>
    <t xml:space="preserve">OT # 175503. Yaguarzongo, Med. 1000418192 ajustes de conexiones y se normaliza el servicio eléctrico. Nambija Bajo, Med. 18-232857 se cambia 30m de triplex.</t>
  </si>
  <si>
    <t xml:space="preserve">OT # 175529. Namirez Alto, se revisa LMV, no se encuentra novedades, Est 217381 cambio fusible de 25 A-T; Causa: fuertes lluvias</t>
  </si>
  <si>
    <t xml:space="preserve">SILVA ARMIJOS ROMEL EDUARDO</t>
  </si>
  <si>
    <t xml:space="preserve">OT # 174606. San José Alto, se arregla punto caliente de la RBV, y acometida del medidor 18-250523</t>
  </si>
  <si>
    <t xml:space="preserve">OT # 175178. Soñaderos, Est 61916 se cambia tirafusible 25A-T, no se encuentra novedad; posible causa: descargas atmosféricas.</t>
  </si>
  <si>
    <t xml:space="preserve">LEON CUEVA LUIS ALBERTO</t>
  </si>
  <si>
    <t xml:space="preserve">OT # 174649. Namacuntza, se arregla acometida arrancada Med # 1000378694. mismo sector, arreglo de acometida arrancada maquinaria Med # 207282.</t>
  </si>
  <si>
    <t xml:space="preserve">OT # 174705. Barrio Pio Jaramillo, se cambia pararrayo dañado Trafo 19806. Puente Azul, se arregla acometida arrancada Med # 18-207820</t>
  </si>
  <si>
    <t xml:space="preserve">CASTILLO RODRIGUEZ JIMMY LEODAN</t>
  </si>
  <si>
    <t xml:space="preserve">ZHUNAULA GUAMAN VICTOR ANIBAL</t>
  </si>
  <si>
    <t xml:space="preserve">JARA NARVAEZ GALO SILVERIO</t>
  </si>
  <si>
    <t xml:space="preserve">Agencia Zamora</t>
  </si>
  <si>
    <t xml:space="preserve">OT # 174216. Timbara – Bellavista, Med # 276547 conexiones internas recalentadas, se aisla y normaliza el servicio eléctrico</t>
  </si>
  <si>
    <t xml:space="preserve">OT # 174212. Namakuntza, se rehabilita transformador 6420 causa desconocida. </t>
  </si>
  <si>
    <t xml:space="preserve">OT # 174577. En Kurintza se retira 3 medidores para suspensión definitiva Nro. 18-229733 (1653) 18-229734 (967) y 18-229735 (938) solicitado por la Sra. Maribel Tentests Traslado a Yacuambi</t>
  </si>
  <si>
    <t xml:space="preserve">OT # 175122. La Chacra se reubica y Restituye dos medidores de la Est 217884. Urbanización Gálvez, se instala S/O desde Est 36581</t>
  </si>
  <si>
    <t xml:space="preserve">OT # 175166. Kurintza, se instala N/S 18-264157 desde la Est 272136.</t>
  </si>
  <si>
    <t xml:space="preserve">ORTEGA SERRANO STALIN JAVIER</t>
  </si>
  <si>
    <t xml:space="preserve">MORALES RIVERA LUIS ALBERTO</t>
  </si>
  <si>
    <t xml:space="preserve">Alumbrado Zamora</t>
  </si>
  <si>
    <t xml:space="preserve">OT # 174010. Arreglo de luminarias en cambio de horario</t>
  </si>
  <si>
    <t xml:space="preserve">OT # 174101. Arreglo de luminarias en cambio de horario</t>
  </si>
  <si>
    <t xml:space="preserve">OT # 174367. Arreglo de luminarias en cambio de horario</t>
  </si>
  <si>
    <t xml:space="preserve">OT # 174436. Arreglo de luminarias en cambio de horario</t>
  </si>
  <si>
    <t xml:space="preserve">OT # 174518. Arreglo de luminarias en cambio de horario</t>
  </si>
  <si>
    <t xml:space="preserve">OT # 174937. Yantzaza – Chimbutza, aplome de Est 262666 y 262671 (AP Los Encuentros)</t>
  </si>
  <si>
    <t xml:space="preserve">OT # 175593. Zamora vía Zamora a Loja en el trayecto entrada a Zamora se realiza la poda de vegetación que se encontraba alrededor de cable pre ensamblado y con proyección a las luminarias led y ya L/M/M/T Del alumbrado público general, en los tramos entre las estructura. No. 217977, 217937, 217529, 217989, 218679, 218044, 218047, 218045, 218046, 21801, quedando pendiente de continuar con este trabajo. RECORRIDO, Atendido, luminaria Led de 150W, se cambia SPD, estructura 266465, Apagada, 27/04/2026/19:00. Zamora calle Héroes de Paquisha y Amazonas Pausa activa Ciclo vía desde el barrio Santa Elena hacia Timbara, vía Troncal Amazónica desde Zamora hacia Ya Sub Estación Cumbaratza Se hase recorrido nocturno, levantando información de las luminarias Led que se encuentran apagadas Nos trasladamos desde La Sub Estación Cumbaratza hacia Zamora</t>
  </si>
  <si>
    <t xml:space="preserve">YAURE DIAZ RAMIRO GABRIEL</t>
  </si>
  <si>
    <t xml:space="preserve">CHALCO JARAMILLO JOE DAVID</t>
  </si>
  <si>
    <t xml:space="preserve">CABRERA CABRERA MIGUEL ISAURO</t>
  </si>
  <si>
    <t xml:space="preserve">LOZANO SIGCHO NAUN ENRIQUE</t>
  </si>
  <si>
    <t xml:space="preserve">Cuadrilla Yacuambi</t>
  </si>
  <si>
    <t xml:space="preserve">OT # 173911. Chapintza Bajo, se remolca el vehiculo 4-52 en mal estado hasta la agencia Zamora, se equipa al vehículo 4-36. Traslado desde Zamora hasta Chapintza Bajo, Est 38958 se repone tirafusible de 25A-T se reestablece el servicio</t>
  </si>
  <si>
    <t xml:space="preserve">OT # 174123. Guadalupe, Est 179563 se rehabilita transformador 9859; Causa: vegetación, tala de arboles</t>
  </si>
  <si>
    <t xml:space="preserve">OT # 174157. San Ramón, acometida arrancada del Med 258811; Causa: vegetación, tala de arboles, se empalma 10m y se restablece el servicio</t>
  </si>
  <si>
    <t xml:space="preserve">OT # 174319. La Unión, se colabora en corte de arbol con tirfor y motosierra</t>
  </si>
  <si>
    <t xml:space="preserve">OT # 174650. Chivatos, Est 160448 se asegura con cuerdas y tala árboles, epalma y monta lineas, se rehabilita Trafo 17150</t>
  </si>
  <si>
    <t xml:space="preserve">OT # 174851. Ortega Alto, Est 176047 desbroce de vegetación, se libera, empalma y monta RBV rehbilitación Trafo 10563</t>
  </si>
  <si>
    <t xml:space="preserve">OT # 175069. Tamboloma, Est 218243 se cambia conectores pernoendidos recalentados del Trafo # 23401 se restablece el servicio.</t>
  </si>
  <si>
    <t xml:space="preserve">OT # 175403. Conchay, Med # 197261 acometida arrancada por maquinaria, se empalma; Retorno a Yacuambi.</t>
  </si>
  <si>
    <t xml:space="preserve">OT # 175436. Desde Namakuntza Alto a Piuntza de La Paz, Med # 245925 acometida antihuro arrancada por maquinaria, se empalma 10 metros.</t>
  </si>
  <si>
    <t xml:space="preserve">CABRERA GONZALEZ WILMER DAVID</t>
  </si>
  <si>
    <t xml:space="preserve">OT # 174528. Jembuentza, acometida del Med 1241739 arrancada por deslizamiento de tierra, se desmonta y repone 20mts, se normaliza el servicio</t>
  </si>
  <si>
    <t xml:space="preserve">OT # 174530. Cantón Yacuambi, recorrido y levantemiento de información de luminarias en mal estado. </t>
  </si>
  <si>
    <t xml:space="preserve">RUIZ GUAMÁN NIXON ANDRÉS</t>
  </si>
  <si>
    <t xml:space="preserve">BARRAZUETA GONZAGA SERVIO GUILLERMO</t>
  </si>
  <si>
    <t xml:space="preserve">Cuadrilla Yantzaza</t>
  </si>
  <si>
    <t xml:space="preserve">OT # 174472. En Yantzaza se realiza plan de maniobras en coordinación con Centro de Control, segun WR..1103028506. cierre de seccionadores tipo barra en estructura: 211933, para enmallar AP Yantzaza III con Paquisha En estructura: 255182 apertura de seccionadores tipo barra para separar AP Yantzaza III con Paquisha, or cubrir carga por trabajo en S/E Bomboiza Traslado desde Yantzaza hasta Muchime En Muchime en reguladores de voltaje en coordinación con Centro de Control, se posesiona en Manual y se coloca el TAP en Neutral a los Reguladores</t>
  </si>
  <si>
    <t xml:space="preserve">OT # 174867. Chimbutza, maniobras en coordinación con CC; Fall del AP Los Encuentros, se encuentra un deslizamiento de tierra de gran magnitud, Est 289767 colapsada. </t>
  </si>
  <si>
    <t xml:space="preserve">OT # 174940. Loja – Yantzaza, sector Chimbutza se colabora con trabajos de aplomada de estructura y normalizar tipología del AP Los Encuentros.</t>
  </si>
  <si>
    <t xml:space="preserve">OT # 175032. El Recreo, cambio de breaker de caja moldeada en mal estado Med # 290277. Guayabal, Est 35094, se rehabilita transformador 14001; Causa: líneas arrancadas.</t>
  </si>
  <si>
    <t xml:space="preserve">OT # 175048. Yantzaza,  Est 27383 impactada sobre vehículo liviano, por emergencia el cliente realiza el cambio de estructura de manera particular, se colabora en arreglo de medidores. Montalvo, Est 223650, se retira vegetación y cambi fusible de 0,7A-SR del Trafo # 22068.</t>
  </si>
  <si>
    <t xml:space="preserve">OT # 175082. Ungumiatza, Izaje de estructura de 11R para restituir estructura en mal estado, empalme montado y regulado de LMV, se energiza y retorna a Yantzaza.</t>
  </si>
  <si>
    <t xml:space="preserve">OT # 175336. Muchime, Reguladores de Voltaje de Los Encuentros, se ejecuta maniobras en cordinación con SCADA</t>
  </si>
  <si>
    <t xml:space="preserve">ALEJANDRO PACHAR AGUSTIN EDUARDO</t>
  </si>
  <si>
    <t xml:space="preserve">OT # 174482. La Centza, Est 181929, Medidor 240856 salida del breaker en mal estado, se cambia la salida (110 V)</t>
  </si>
  <si>
    <t xml:space="preserve">OT # 174572. El Salado, Est 31927, se rehabilita Trafo # 13324 de 3 KVA; Causa: sobrecarga. Ungumiatza, Est 30619 se repone 1 tirafusible de 12 A-T; Causa: desconocida</t>
  </si>
  <si>
    <t xml:space="preserve">OT # 174646. San Pablo, Est 215853, se repone tirafusible de 0,7A-SR Trafo # OID11425. Orquídeas, Est 93705, Med # 18-249530, breaker en mal estado, se habilita una fase.</t>
  </si>
  <si>
    <t xml:space="preserve">OT # 174948. Chimbutza, aplome de Est 262666, cambio de pernos pin, enderezada de cruzetas, regulado de los tensores; maniobras en coordinación con SCADA</t>
  </si>
  <si>
    <t xml:space="preserve">OCHOA JARAMILLO ANGEL CLAUDIO</t>
  </si>
  <si>
    <t xml:space="preserve">OT # 174595. San Antonio, Med # 18-255976, se ajusta conexiones, se cambia breaker. San Miguel, Med # 18-237378 se revisa y en la Est 215787 se retira vegetación y reemplaza fusible de 6A-T. El Paraíso, difícil acceso, por por margen de quebrada, acometida arrancada por caída de árbol, se repone. Retorno, Agencia El Pangui.</t>
  </si>
  <si>
    <t xml:space="preserve">OT # 174643. Los Encuentros, Est 30272 maniobras en coordinación con CC; En la Est 276560 se encuentra vegetación entre la Fase B y Cruceta, se retira y normaliza el AP Los Encuentros. San Roque, Barrio Catacocha, Est 34750, se reemplaza fusible de 1.3 SR y este se quema; se recorre encentra abundante vegetación, se planifica con la Cuadrilla. </t>
  </si>
  <si>
    <t xml:space="preserve">OT # 175513. Panguitza, estructura 2674569 de alumbrado público impactada, vehículo desconocido, se informa, se retira luminarias dañadas.</t>
  </si>
  <si>
    <t xml:space="preserve">OT # 175521. La Florida, Med # 20222059011 se corrigen conexiones y rehabilita el servicio. Muchime, Med # 18-35227 se encuentra daño interno, se indica al cliente.</t>
  </si>
  <si>
    <t xml:space="preserve">OT # 175551. Quirigue, Med # 18-245941, se revisa RBV, se observa fuga de aceite, el trasformador se encuentra quemado SICAP 12727.</t>
  </si>
  <si>
    <t xml:space="preserve">OT # 175553. Barrio Norte, Med # 1000400554 en la Est 273878 caja de distribución pre ensamblado recalentado. Se limpia y se ajusta conexiones queda normal el servicio eléctrico.</t>
  </si>
  <si>
    <t xml:space="preserve">OT # 175554. Y de Chicaña, Med # 18-230935 se revisa LM/T, se encuentra una hoja de Guarumbo la estructura 272276, se corta vegetación, se cambia tira fusible de 20A-T</t>
  </si>
  <si>
    <t xml:space="preserve">CORDOVA JIMENEZ JORGE LUIS</t>
  </si>
  <si>
    <t xml:space="preserve">OT # 174727. Vista Hermosa, Trafo 1725 kVA, se rehabilita; Causa: sobrecarga</t>
  </si>
  <si>
    <t xml:space="preserve">TORRES MALDONADO GALO DANIEL</t>
  </si>
  <si>
    <t xml:space="preserve">CUADRADO LEON RAUL EFREN</t>
  </si>
  <si>
    <t xml:space="preserve">Agencia Yantzaza</t>
  </si>
  <si>
    <t xml:space="preserve">OT # 174002. Ungumiatza, Est 30626, se encuentra RBV arrancada; Causa vegetación, se aisla para energizar Trafo 7080, quedan 2 viviendas sin servicio.</t>
  </si>
  <si>
    <t xml:space="preserve">OT # 174030. DÍA FESTIVO. “Viernes Santo”. Yantzaza – Zamora, se abastece de combustible (2-112). Jesús del Gran Poder, RBV rota, se empalma y regula, se rehabilita Trafo 24273. Traslado hasta Los Encuentros</t>
  </si>
  <si>
    <t xml:space="preserve">OT # 174054. Ungumiatza, postes 30626 y 30627 desbroce de vegetación, se empalma la RBV; se rehabilita trafo 7080. Barrio Guayabal, breaker sulfatados Med # 18-214982 y se normaliza el servicio</t>
  </si>
  <si>
    <t xml:space="preserve">OT # 174076. Chimbutza, se repone tirafusible 25A-K Est 62399; Causa: ave. Vía a Zarza, en Santa Lucía, trabajos en la vía, Est 33972 se repone tirafusible de 15A tipo T; no se encuentra novedad. El Zarza, Est 33963, Med # 1000024546, tubo doblado por volquete, el cliente ya ha tenido puesto tubo, se reubica el medidor. Retorno a Yantzaza.</t>
  </si>
  <si>
    <t xml:space="preserve">CHAMBA CANGO PEDRO ROSALINO</t>
  </si>
  <si>
    <t xml:space="preserve">POMA GUAMAN LUIS ANTONIO</t>
  </si>
  <si>
    <t xml:space="preserve">OT # 175502. Barrio Bolivar, Med # 233648 breaker en mal estado, se cambia y ajusta conexiones, queda normal. La Yona, Med # 29635 conexiones flojas, sin conectores talón, se ajusta conexiones queda normal. El Padmi, Med # 204107 se encuentra normal el servicio eléctrico, se llama al cliente y manifiesta que este servicio no lo están ocupando. Nankais, Med # 259070, acometida arrancada por maquinaria, se empalma Est 31656 queda normal.</t>
  </si>
  <si>
    <t xml:space="preserve">AMARI ORDONEZ JUNIOR IVAN</t>
  </si>
  <si>
    <t xml:space="preserve">Cuadrilla Paquisha</t>
  </si>
  <si>
    <t xml:space="preserve">OT # 174048. Natenza, Est 32476 se revisa Med # 18-213414 se cambia el breaker en mal estado quedando normal</t>
  </si>
  <si>
    <t xml:space="preserve">OT # 174127. Cuje, se revisa las derivaciones en MV en la estructura 29135 y 289546 y se encuentran normal, no es posible contactar con la persona que reporta el reclamo.</t>
  </si>
  <si>
    <t xml:space="preserve">OT # 174423. Santa Elena, Est 34357 Trafo 14444 bloqueado, se revisa y se encuentra cortocircuito interno en el Med # 270991, se aísla la falla y se reconecta el transformador</t>
  </si>
  <si>
    <t xml:space="preserve">OT # 174471. Guaysimi, se recoge a los compañeros de la cuadrilla de Guaysimi, Traslado a El Miasi atención de daños</t>
  </si>
  <si>
    <t xml:space="preserve">OT # 174770. Traslado a Mariposa – Alto Nangaritza, atención de daños LMV arrancada. </t>
  </si>
  <si>
    <t xml:space="preserve">OT # 174999. Conguime, Est 34615 se arregla LMV arrancada por maquinaria, quedando normal el servicio eléctrico. Paquisha, Est 29691 Trafo 11499 se encuentra puentes del Med # 18-209151 en mal estado, se reconecta el breaker del Trafo</t>
  </si>
  <si>
    <t xml:space="preserve">OT # 175039. San Antonio de Natenza, Est 63047 Trafo 24469 se reconecta normal; Causa: desconocida</t>
  </si>
  <si>
    <t xml:space="preserve">GRANDA MORALES DANIEL ALEJANDRO</t>
  </si>
  <si>
    <t xml:space="preserve">OT # 174548. Yantzaza, Est 273881, se encuentra caja de distribución de RBV en malas condiciones, se cambia fase de acometida. San Francisco, Est 244982, acometida del Med # 18-226698 se cambia 5m, se rehabilita trafo # 13622</t>
  </si>
  <si>
    <t xml:space="preserve">OT # 174581. San Luis, Est 270680 , se rehabilita transformador 24432; Causa: Sobrecarga. Zumbi, Med # 18-215893, se encuentra puentes y conector en malas condiciones, se corrige en cable preensamblado.</t>
  </si>
  <si>
    <t xml:space="preserve">OT # 175382. El Milagro, Est 32658 se recorre LMV hasta 32696, sin novedad; Se repone tirafusible de 6A-T, se reestablece el servicio.</t>
  </si>
  <si>
    <t xml:space="preserve">OT # 175505. Santa Cecilia, Est 34653, se recorre hasta Est 245424, sin novedad; Se repone tirafusible de 6A-T se reestablece el servicio. Guanwintza, Est 34643 Med #1262554 árbol desplomado sobre la acometida, desbroce de vegetación, se empalma 2m de triplex, se rehabilita trafo 15268.</t>
  </si>
  <si>
    <t xml:space="preserve">OT # 175511. Santa Cecilia, se camina a la estructura 34657 (20min), mediciones de voltaje se encuentra transformador 11778 de 3 KVA en mal estado, se planifica cambio.</t>
  </si>
  <si>
    <t xml:space="preserve">OT # 175565. Por comunicado del Ing., Ernesto Palacios se sale atender una incidencia sin SE un sector de Yantzaza, informa el Sr. Celso Ortiz, Traslado a Yantzaza Se llega la lugar y en la estructura 268537 se encuentra el Trafo 16229 de 50KVA bloqueado se revisa la red de BV y se encuentra la red arrancada, se empalma, regula y tensa la red y se reconecta el Breaker del Trafo quedando normal el servicio eléctrico Traslado a la Bodega de Paquisha</t>
  </si>
  <si>
    <t xml:space="preserve">SAMANIEGO INIGUEZ MAURO CRISTOBAL</t>
  </si>
  <si>
    <t xml:space="preserve">JARAMILLO PINTA JORGE JOVANNY</t>
  </si>
  <si>
    <t xml:space="preserve">QUIROGA ORDONEZ CARLOS HERNAN</t>
  </si>
  <si>
    <t xml:space="preserve">Cuadrilla Guayzimi</t>
  </si>
  <si>
    <t xml:space="preserve">OT # 174393. Guayzimi – Yawi, se revisa y encuentra la Est 71535 quebrada por caída de un árbol, se coordina apoyo con Cuadrilla Paquisha</t>
  </si>
  <si>
    <t xml:space="preserve">OT # 174473. Yawi, cambio de Est 71535 quebrado por caída de un árbol</t>
  </si>
  <si>
    <t xml:space="preserve">OT # 174771. Mariposa, con apoyo de Cuadrilla Paquisha en bote por Río Nangaritza, LMV arrancada por caída de árbol</t>
  </si>
  <si>
    <t xml:space="preserve">OT # 175050. Guayzimi, Est 33062 seccionalizador abierto, se recorre LMV,  se energiza por secciones y no se encuentra novedad; Causa: desconocida. Guayzimi, Est 33010 acometida arrancada Med # 1000361578 por vehículo</t>
  </si>
  <si>
    <t xml:space="preserve">OT # 175259. De Nuevo Paraíso a Santa Rosa, Est 32723 se rehabilita trafo # 7197; Causa: Acometida cortocircuito y arrancada por vehículo.</t>
  </si>
  <si>
    <t xml:space="preserve">CACAY LUZURIAGA ASDRUBAL HUMBERTO</t>
  </si>
  <si>
    <t xml:space="preserve">LARA JIMENEZ JAIME PATRICIO</t>
  </si>
  <si>
    <t xml:space="preserve">MENDIETA MENDIETA HENRRY ALEXANDER</t>
  </si>
  <si>
    <t xml:space="preserve">Cuadrilla El Pangui</t>
  </si>
  <si>
    <t xml:space="preserve">OT # 173908. San Miguel, Est 208978 se apoya a Cuadrilla Gualaquiza en cambio de estructura colapsada por choque de vehículo.</t>
  </si>
  <si>
    <t xml:space="preserve">OT # 173951. El Pangui, Est 227941 se rehabilita el trafo # 23783; Causa: desconocida</t>
  </si>
  <si>
    <t xml:space="preserve">OT # 174014. DIA FESTIVO “Viernes Santo”. Barrio 8 de Diciembre, Est 71319 se repone 1 tirafusible de 1,3A-SR para el trao 18194; Causa: ave</t>
  </si>
  <si>
    <t xml:space="preserve">OT # 174070. Soldado Rivera, sector lejano a pie hasta Est 127591, se revisa y no se encuentra novedad, se repone tirafusible de 1A-SR; Causa: descargas atmosféricas</t>
  </si>
  <si>
    <t xml:space="preserve">OT # 174626. cantón El Pangui, recorrido y anota luminarias en mal estado. </t>
  </si>
  <si>
    <t xml:space="preserve">OT # 175002. La Yanúa, Est 180275 RBV arrancada por volqueta, se rehabilita el trafo 19822. Shakay, Est 32534, se repone tirafusible de 12 A- K; Causa: descargas atmosféricas. Tiukcha, a pie hasta la Est 247713, se repone tirafusible de 0.4A-SR trafo 24598 de 10 Kva a las 17:20. Traslado en Tiukcha a pie hasta el vehículo 4-118. Tiukcha, trfafo 12478 de 5 KVA se encuentra en mal estado.</t>
  </si>
  <si>
    <t xml:space="preserve">OT # 175025. La Argelia, Est 127460, se repone tirafusible de 6 A-T; Causa: descargas Atmosféricas. Retorno a El Pangui</t>
  </si>
  <si>
    <t xml:space="preserve">OT # 175378. Reconectador Chuchumbletza, en coordinación con SCADA se ejecutan maniobras.</t>
  </si>
  <si>
    <t xml:space="preserve">OT # 175569. Monterrey, Est 127554, se repone tirafusible de 8A-K, no se encuentra novedad. </t>
  </si>
  <si>
    <t xml:space="preserve">VERA SANCHEZ LIVIO STALIN</t>
  </si>
  <si>
    <t xml:space="preserve">OT # 175468. En la agencia se realiza la OT. Traslado a Monterrey Traslado de Monterrey al sector Chatus caminando y llevando herramientas para realizar el arreglo de la red bajo voltaje. Chatus entré los postes 127556,127558 se encuentra arrancada la linea de bajo voltaje daño por vegetación se realiza el arreglo se utiliza 2 varillas de empalme nro 4 En el estructura 127556 se cierra el breker del transformador de 5 kva nro 12081 Traslado a donde queda el vehículo. Traslado de Monterrey a Catacocha Catacocha se cambia el tirafusible de 12A Tipo K, estructura 31777, Causa descargas atmosféricas. Traslado a El Pangui.</t>
  </si>
  <si>
    <t xml:space="preserve">OT # 175644. Sector Catacocha, se recorre y revisa la LMV en el poste 34723 arrancada la LMV por caída de árbol seco, se lo llama al compañero Fausto Ambuludi para que nos colabore</t>
  </si>
  <si>
    <t xml:space="preserve">DIAS CURAY ANDRES XAVIER</t>
  </si>
  <si>
    <t xml:space="preserve">AMBULUDI SILVA FAUSTO JOEL</t>
  </si>
  <si>
    <t xml:space="preserve">Agencia El Pangui</t>
  </si>
  <si>
    <t xml:space="preserve">OT # 174710. El Pangui, calle 24 de Mayo, acometida arrancada Med # 18-255815, se empalma y normaliza el servicio.</t>
  </si>
  <si>
    <t xml:space="preserve">OT # 175158. El Quimi, se arregla RBV arrancada por volquete entre los postes 195181 y 282295, se rehabilita Trafo # 16802</t>
  </si>
  <si>
    <t xml:space="preserve">OT # 175644. Catacocha, se empalma la linea, en la Est 31777 se cambia tirafusible de 12 A-K. El Pangui Est 36772 se cambia acometida del Med # 1000359715 ocasionado por vehículo desconocido.</t>
  </si>
  <si>
    <t xml:space="preserve">SALDAÑA PRIETO ANTHONY MICHAEL</t>
  </si>
  <si>
    <t xml:space="preserve">GUZMAN BARROS MARCO FERNANDO</t>
  </si>
  <si>
    <t xml:space="preserve">Cuadrilla Gualaquiza</t>
  </si>
  <si>
    <t xml:space="preserve">OT # 174616. Sevilla, por disposicion del Ing. Quezada, mediciones de voltaje en transformador 10622. Marginal Churuyacu, árbol seco caido sobre la RBV estructura 61863-62765, se corta arbol, se regula lineas. Barrio La Union, se repone tirafusible de 6A-T en Est 40595. Barrio Amistad, Est 303711 se rehabilita transformador 14582 de 30 kva (3ø); Causa: sobrecarga</t>
  </si>
  <si>
    <t xml:space="preserve">OT # 174708. La Libertad, retiro de árbol sobre LMV, reposición tirafusible de  1,3A-SR Est 161135. Retorno a Gualaquiza</t>
  </si>
  <si>
    <t xml:space="preserve">OT # 174783. Yuma, Est 210213 se acometida arrancada por incendio forestal. </t>
  </si>
  <si>
    <t xml:space="preserve">OT # 174872. Gualaquiza, Parque Central, Est 40441 y 40442 se revisa RBV, se rehabilita breaker conectando normal el servicio; CAUSA sobrecarga.</t>
  </si>
  <si>
    <t xml:space="preserve">OT # 174936. Parroquia Mercedes Molina, registro de luminarias apagadas en el sector Sevilla- Tambo Viejo- Relleno Sanitario.</t>
  </si>
  <si>
    <t xml:space="preserve">OT # 175066. San Francisco, Est 224794 se revisa LMV y se repone tirafusible de 12A-T; Causa: descargas. Yawi, se revisa LMV, se repone fusible Est 128175 de 2,1 A-SR ; Causa: vegetacion.</t>
  </si>
  <si>
    <t xml:space="preserve">OT # 175070. Yumaza, Med 251293 Est 62790 se encuentra sulfato en puente de la RBV, se arrergla conexiones.</t>
  </si>
  <si>
    <t xml:space="preserve">OT # 175568. Av Sixto Duran en la estructura 303796 se realiza trabajos para cambiar estructura chocada, se suelta las fibras opticas, estructura 303711 se abre breaker de tranformador 14582 Av Sixto Duran en la estructura 303796 se realiza desmontaje de lampara, acometidas, lineas, grupo de energizados aislan lineas de M/T para manipular cruceta. Av Sixto Duran en la estructura 303796 se realiza limpiado del hueco, se coloca estructura, se arma cruceta, se coloca red de B/T se monta lampara, estructura 303711 se cierra breaker de tranformador 14582 de 30 Kva , conecta normal el servicio, se verifica que todo este normal. Traslado a la agencia se descarga herramientas</t>
  </si>
  <si>
    <t xml:space="preserve">LOJAN PAZ CARLOS DIEGO</t>
  </si>
  <si>
    <t xml:space="preserve">OT # 174310. La Pradera, se arregla acometida del Med # 240908, se rehabilita trafo 20916, retorno a Gualaquiza</t>
  </si>
  <si>
    <t xml:space="preserve">OT # 174313. Shiramentza, se revisa RBV, no se encuentra novedad, se cambia tirafusible de 1,3A-SR en Est 237230 tarfo # 22357</t>
  </si>
  <si>
    <t xml:space="preserve">OT # 174486. Tutus, reposición de tirafusible 6A-T Est 91980; Causa: desconocida</t>
  </si>
  <si>
    <t xml:space="preserve">OT # 174555. Guabi Alto, se recupera medidor por caída de tubo, Med # 1223232, se  rehabilita trafo 21485, en la Est 1266959 de 6A-T. Buenos Aires, se repone tirafusible de 6A-T en Est 266482; Causa: desconocida</t>
  </si>
  <si>
    <t xml:space="preserve">OT # 174743. Nueva Zaruma, Est 127829 cambio tirafusible 8A-T; Causa: desconocida</t>
  </si>
  <si>
    <t xml:space="preserve">ALMEIDA ENCALADA MANUEL AGUSTIN</t>
  </si>
  <si>
    <t xml:space="preserve">OT # 175420. Bomboiza, acometida arrancada del Med # 1000407925, se reemplaza 18 mts de triplex y se repone caja Anti Hurto, estructura 303905.</t>
  </si>
  <si>
    <t xml:space="preserve">BUELE UYAGUARI CESAR CRISTIAN</t>
  </si>
  <si>
    <t xml:space="preserve">Agencia Gualaquiza</t>
  </si>
  <si>
    <t xml:space="preserve">OT # 173960. Guayusal, reivision y limpieza RBV Est 219763, rehabilitación transf 23459 de 10kva, estructura 255869; Causa: vegetación</t>
  </si>
  <si>
    <t xml:space="preserve">OT # 174080. DIA FESTIVO “Viernes Santo” Naichap, Est 037299, revision y restitucion medidor 194238 por 18-258039 borneras quemadas. Aguacate, Est 127921, revision y restitucion medidor 194324 por 18-258040</t>
  </si>
  <si>
    <t xml:space="preserve">OT # 174083. Guayusal, revision LMV estructuras 291765 a 128632, sin encontrar novedad, en la Est 291765 cambio tirafusible 25A-T; Causa: descargas atmosfericas</t>
  </si>
  <si>
    <t xml:space="preserve">OT # 174084. Chumpias, revision LMV estructuras 028535 a 065848, sin encontrar novedad, Est 028535 cambio tirafusible 25A-T; Causa: descargas atmosfericas</t>
  </si>
  <si>
    <t xml:space="preserve">CARTUCHE SILVA GERARDO PATRICIO</t>
  </si>
</sst>
</file>

<file path=xl/styles.xml><?xml version="1.0" encoding="utf-8"?>
<styleSheet xmlns="http://schemas.openxmlformats.org/spreadsheetml/2006/main">
  <numFmts count="4">
    <numFmt numFmtId="164" formatCode="General"/>
    <numFmt numFmtId="165" formatCode="0.00"/>
    <numFmt numFmtId="166" formatCode="h:mm;@"/>
    <numFmt numFmtId="167" formatCode="[$-C0A]d/mmm\ yyyy;@"/>
  </numFmts>
  <fonts count="20">
    <font>
      <sz val="12"/>
      <name val="Courier New"/>
      <family val="0"/>
      <charset val="134"/>
    </font>
    <font>
      <sz val="10"/>
      <name val="Arial"/>
      <family val="0"/>
    </font>
    <font>
      <sz val="10"/>
      <name val="Arial"/>
      <family val="0"/>
    </font>
    <font>
      <sz val="10"/>
      <name val="Arial"/>
      <family val="0"/>
    </font>
    <font>
      <sz val="1"/>
      <color rgb="FF000000"/>
      <name val="Courier New"/>
      <family val="0"/>
      <charset val="134"/>
    </font>
    <font>
      <i val="true"/>
      <sz val="1"/>
      <color rgb="FF000000"/>
      <name val="Courier New"/>
      <family val="0"/>
      <charset val="134"/>
    </font>
    <font>
      <sz val="10"/>
      <name val="Arial"/>
      <family val="0"/>
      <charset val="134"/>
    </font>
    <font>
      <b val="true"/>
      <sz val="12"/>
      <name val="Franklin Gothic Book"/>
      <family val="2"/>
      <charset val="1"/>
    </font>
    <font>
      <b val="true"/>
      <sz val="12"/>
      <color rgb="FF000000"/>
      <name val="Calibri"/>
      <family val="2"/>
      <charset val="1"/>
    </font>
    <font>
      <sz val="12"/>
      <name val="Calibri"/>
      <family val="2"/>
      <charset val="1"/>
    </font>
    <font>
      <b val="true"/>
      <sz val="18"/>
      <name val="Calibri"/>
      <family val="2"/>
      <charset val="1"/>
    </font>
    <font>
      <b val="true"/>
      <sz val="18"/>
      <color rgb="FF000000"/>
      <name val="Calibri"/>
      <family val="2"/>
      <charset val="1"/>
    </font>
    <font>
      <b val="true"/>
      <sz val="12"/>
      <name val="Calibri"/>
      <family val="2"/>
      <charset val="1"/>
    </font>
    <font>
      <b val="true"/>
      <sz val="21"/>
      <name val="Calibri"/>
      <family val="2"/>
      <charset val="1"/>
    </font>
    <font>
      <sz val="12"/>
      <color rgb="FF000000"/>
      <name val="Calibri"/>
      <family val="2"/>
      <charset val="1"/>
    </font>
    <font>
      <b val="true"/>
      <sz val="21"/>
      <name val="Times New Roman"/>
      <family val="0"/>
      <charset val="134"/>
    </font>
    <font>
      <sz val="10"/>
      <name val="Calibri"/>
      <family val="2"/>
      <charset val="1"/>
    </font>
    <font>
      <b val="true"/>
      <sz val="12"/>
      <name val="Aptos Display"/>
      <family val="0"/>
      <charset val="134"/>
    </font>
    <font>
      <sz val="14"/>
      <name val="Calibri"/>
      <family val="2"/>
      <charset val="1"/>
    </font>
    <font>
      <sz val="12"/>
      <name val="Aptos Display"/>
      <family val="2"/>
      <charset val="1"/>
    </font>
  </fonts>
  <fills count="3">
    <fill>
      <patternFill patternType="none"/>
    </fill>
    <fill>
      <patternFill patternType="gray125"/>
    </fill>
    <fill>
      <patternFill patternType="solid">
        <fgColor rgb="FF666699"/>
        <bgColor rgb="FF808080"/>
      </patternFill>
    </fill>
  </fills>
  <borders count="17">
    <border diagonalUp="false" diagonalDown="false">
      <left/>
      <right/>
      <top/>
      <bottom/>
      <diagonal/>
    </border>
    <border diagonalUp="false" diagonalDown="false">
      <left style="thin"/>
      <right style="thin">
        <color rgb="FF3465A4"/>
      </right>
      <top style="thin"/>
      <bottom/>
      <diagonal/>
    </border>
    <border diagonalUp="false" diagonalDown="false">
      <left/>
      <right style="thin">
        <color rgb="FF3465A4"/>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style="hair">
        <color rgb="FF3465A4"/>
      </top>
      <bottom style="hair">
        <color rgb="FF3465A4"/>
      </bottom>
      <diagonal/>
    </border>
    <border diagonalUp="false" diagonalDown="false">
      <left/>
      <right style="thin">
        <color rgb="FF3465A4"/>
      </right>
      <top/>
      <bottom style="hair">
        <color rgb="FF3465A4"/>
      </bottom>
      <diagonal/>
    </border>
    <border diagonalUp="false" diagonalDown="false">
      <left/>
      <right/>
      <top/>
      <bottom style="hair">
        <color rgb="FF3465A4"/>
      </bottom>
      <diagonal/>
    </border>
    <border diagonalUp="false" diagonalDown="false">
      <left style="thin">
        <color rgb="FF3465A4"/>
      </left>
      <right style="thin"/>
      <top style="thin">
        <color rgb="FF3465A4"/>
      </top>
      <bottom style="hair">
        <color rgb="FF3465A4"/>
      </bottom>
      <diagonal/>
    </border>
    <border diagonalUp="false" diagonalDown="false">
      <left/>
      <right style="thin">
        <color rgb="FF3465A4"/>
      </right>
      <top style="hair">
        <color rgb="FF3465A4"/>
      </top>
      <bottom style="hair">
        <color rgb="FF3465A4"/>
      </bottom>
      <diagonal/>
    </border>
    <border diagonalUp="false" diagonalDown="false">
      <left/>
      <right/>
      <top style="hair">
        <color rgb="FF3465A4"/>
      </top>
      <bottom style="hair">
        <color rgb="FF3465A4"/>
      </bottom>
      <diagonal/>
    </border>
    <border diagonalUp="false" diagonalDown="false">
      <left style="thin">
        <color rgb="FF3465A4"/>
      </left>
      <right style="thin"/>
      <top style="hair">
        <color rgb="FF3465A4"/>
      </top>
      <bottom style="hair">
        <color rgb="FF3465A4"/>
      </bottom>
      <diagonal/>
    </border>
    <border diagonalUp="false" diagonalDown="false">
      <left/>
      <right/>
      <top style="thin">
        <color rgb="FF3465A4"/>
      </top>
      <bottom style="thin">
        <color rgb="FF3465A4"/>
      </bottom>
      <diagonal/>
    </border>
    <border diagonalUp="false" diagonalDown="false">
      <left style="thin"/>
      <right/>
      <top style="hair">
        <color rgb="FF3465A4"/>
      </top>
      <bottom style="thin"/>
      <diagonal/>
    </border>
    <border diagonalUp="false" diagonalDown="false">
      <left/>
      <right style="thin">
        <color rgb="FF3465A4"/>
      </right>
      <top/>
      <bottom style="thin"/>
      <diagonal/>
    </border>
    <border diagonalUp="false" diagonalDown="false">
      <left/>
      <right/>
      <top/>
      <bottom style="thin"/>
      <diagonal/>
    </border>
    <border diagonalUp="false" diagonalDown="false">
      <left style="thin">
        <color rgb="FF3465A4"/>
      </left>
      <right style="thin"/>
      <top/>
      <bottom style="thin"/>
      <diagonal/>
    </border>
  </borders>
  <cellStyleXfs count="2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false" hidden="false"/>
    </xf>
    <xf numFmtId="164" fontId="4" fillId="0" borderId="0" applyFont="true" applyBorder="true" applyAlignment="true" applyProtection="true">
      <alignment horizontal="general" vertical="bottom" textRotation="0" wrapText="false" indent="0" shrinkToFit="false"/>
      <protection locked="false" hidden="false"/>
    </xf>
    <xf numFmtId="164" fontId="5" fillId="0" borderId="0" applyFont="true" applyBorder="true" applyAlignment="true" applyProtection="true">
      <alignment horizontal="general" vertical="bottom" textRotation="0" wrapText="false" indent="0" shrinkToFit="false"/>
      <protection locked="false" hidden="false"/>
    </xf>
    <xf numFmtId="164" fontId="4" fillId="0" borderId="0" applyFont="true" applyBorder="true" applyAlignment="true" applyProtection="true">
      <alignment horizontal="general" vertical="bottom" textRotation="0" wrapText="false" indent="0" shrinkToFit="false"/>
      <protection locked="false" hidden="false"/>
    </xf>
    <xf numFmtId="164" fontId="4" fillId="0" borderId="0" applyFont="true" applyBorder="true" applyAlignment="true" applyProtection="true">
      <alignment horizontal="general" vertical="bottom" textRotation="0" wrapText="false" indent="0" shrinkToFit="false"/>
      <protection locked="false" hidden="false"/>
    </xf>
    <xf numFmtId="164" fontId="4" fillId="0" borderId="0" applyFont="true" applyBorder="true" applyAlignment="true" applyProtection="true">
      <alignment horizontal="general" vertical="bottom" textRotation="0" wrapText="false" indent="0" shrinkToFit="false"/>
      <protection locked="false" hidden="false"/>
    </xf>
    <xf numFmtId="164" fontId="5" fillId="0" borderId="0" applyFont="true" applyBorder="true" applyAlignment="true" applyProtection="true">
      <alignment horizontal="general" vertical="bottom" textRotation="0" wrapText="false" indent="0" shrinkToFit="false"/>
      <protection locked="fals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7" fillId="0" borderId="0" xfId="0" applyFont="true" applyBorder="true" applyAlignment="true" applyProtection="true">
      <alignment horizontal="center" vertical="top" textRotation="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right" vertical="center" textRotation="0" wrapText="false" indent="0" shrinkToFit="false"/>
      <protection locked="true" hidden="false"/>
    </xf>
    <xf numFmtId="165" fontId="10"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true"/>
    </xf>
    <xf numFmtId="164" fontId="13"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top" textRotation="0" wrapText="false" indent="0" shrinkToFit="false"/>
      <protection locked="true" hidden="true"/>
    </xf>
    <xf numFmtId="164" fontId="16" fillId="0" borderId="0" xfId="0" applyFont="true" applyBorder="fals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right" vertical="top" textRotation="0" wrapText="false" indent="0" shrinkToFit="false"/>
      <protection locked="true" hidden="false"/>
    </xf>
    <xf numFmtId="164" fontId="16" fillId="0" borderId="0" xfId="0" applyFont="true" applyBorder="false" applyAlignment="true" applyProtection="true">
      <alignment horizontal="center" vertical="top" textRotation="0" wrapText="false" indent="0" shrinkToFit="false"/>
      <protection locked="true" hidden="false"/>
    </xf>
    <xf numFmtId="164" fontId="8" fillId="0" borderId="0" xfId="0" applyFont="true" applyBorder="false" applyAlignment="true" applyProtection="true">
      <alignment horizontal="right" vertical="top"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12" fillId="2" borderId="1" xfId="0" applyFont="true" applyBorder="true" applyAlignment="true" applyProtection="true">
      <alignment horizontal="center" vertical="bottom" textRotation="0" wrapText="false" indent="0" shrinkToFit="false"/>
      <protection locked="true" hidden="false"/>
    </xf>
    <xf numFmtId="164" fontId="12" fillId="2" borderId="2" xfId="0" applyFont="true" applyBorder="true" applyAlignment="true" applyProtection="true">
      <alignment horizontal="center" vertical="bottom" textRotation="0" wrapText="false" indent="0" shrinkToFit="false"/>
      <protection locked="true" hidden="false"/>
    </xf>
    <xf numFmtId="164" fontId="12" fillId="2" borderId="3" xfId="0" applyFont="true" applyBorder="true" applyAlignment="true" applyProtection="true">
      <alignment horizontal="center" vertical="bottom" textRotation="0" wrapText="false" indent="0" shrinkToFit="false"/>
      <protection locked="true" hidden="false"/>
    </xf>
    <xf numFmtId="164" fontId="12" fillId="2" borderId="4" xfId="0" applyFont="true" applyBorder="true" applyAlignment="true" applyProtection="true">
      <alignment horizontal="center"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6" fontId="18" fillId="0" borderId="5" xfId="0" applyFont="true" applyBorder="true" applyAlignment="true" applyProtection="true">
      <alignment horizontal="center" vertical="center" textRotation="0" wrapText="false" indent="0" shrinkToFit="false"/>
      <protection locked="true" hidden="false"/>
    </xf>
    <xf numFmtId="167" fontId="9" fillId="0" borderId="6" xfId="0" applyFont="true" applyBorder="true" applyAlignment="true" applyProtection="true">
      <alignment horizontal="right" vertical="center" textRotation="0" wrapText="false" indent="0" shrinkToFit="false"/>
      <protection locked="true" hidden="false"/>
    </xf>
    <xf numFmtId="166" fontId="9" fillId="0" borderId="7" xfId="0" applyFont="true" applyBorder="true" applyAlignment="true" applyProtection="true">
      <alignment horizontal="center" vertical="center" textRotation="0" wrapText="false" indent="0" shrinkToFit="false"/>
      <protection locked="true" hidden="false"/>
    </xf>
    <xf numFmtId="166" fontId="9" fillId="0" borderId="6" xfId="0" applyFont="true" applyBorder="true" applyAlignment="true" applyProtection="true">
      <alignment horizontal="center" vertical="center" textRotation="0" wrapText="false" indent="0" shrinkToFit="false"/>
      <protection locked="true" hidden="false"/>
    </xf>
    <xf numFmtId="164" fontId="16" fillId="0" borderId="8" xfId="0" applyFont="true" applyBorder="true" applyAlignment="true" applyProtection="true">
      <alignment horizontal="left" vertical="center" textRotation="0" wrapText="true" indent="0" shrinkToFit="false"/>
      <protection locked="true" hidden="false"/>
    </xf>
    <xf numFmtId="167" fontId="9" fillId="0" borderId="9" xfId="0" applyFont="true" applyBorder="true" applyAlignment="true" applyProtection="true">
      <alignment horizontal="right" vertical="center" textRotation="0" wrapText="false" indent="0" shrinkToFit="false"/>
      <protection locked="true" hidden="false"/>
    </xf>
    <xf numFmtId="166" fontId="9" fillId="0" borderId="10" xfId="0" applyFont="true" applyBorder="true" applyAlignment="true" applyProtection="true">
      <alignment horizontal="center" vertical="center" textRotation="0" wrapText="false" indent="0" shrinkToFit="false"/>
      <protection locked="true" hidden="false"/>
    </xf>
    <xf numFmtId="166" fontId="9" fillId="0" borderId="9" xfId="0" applyFont="true" applyBorder="true" applyAlignment="true" applyProtection="true">
      <alignment horizontal="center" vertical="center" textRotation="0" wrapText="false" indent="0" shrinkToFit="false"/>
      <protection locked="true" hidden="false"/>
    </xf>
    <xf numFmtId="164" fontId="16" fillId="0" borderId="11" xfId="0" applyFont="true" applyBorder="true" applyAlignment="true" applyProtection="true">
      <alignment horizontal="left" vertical="center" textRotation="0" wrapText="true" indent="0" shrinkToFit="false"/>
      <protection locked="true" hidden="false"/>
    </xf>
    <xf numFmtId="166" fontId="9" fillId="0" borderId="12" xfId="0" applyFont="true" applyBorder="true" applyAlignment="true" applyProtection="true">
      <alignment horizontal="center" vertical="center" textRotation="0" wrapText="false" indent="0" shrinkToFit="false"/>
      <protection locked="true" hidden="false"/>
    </xf>
    <xf numFmtId="166" fontId="18" fillId="0" borderId="13" xfId="0" applyFont="true" applyBorder="true" applyAlignment="true" applyProtection="true">
      <alignment horizontal="center" vertical="center" textRotation="0" wrapText="false" indent="0" shrinkToFit="false"/>
      <protection locked="true" hidden="false"/>
    </xf>
    <xf numFmtId="167" fontId="9" fillId="0" borderId="14" xfId="0" applyFont="true" applyBorder="true" applyAlignment="true" applyProtection="true">
      <alignment horizontal="right" vertical="center" textRotation="0" wrapText="false" indent="0" shrinkToFit="false"/>
      <protection locked="true" hidden="false"/>
    </xf>
    <xf numFmtId="166" fontId="9" fillId="0" borderId="15" xfId="0" applyFont="true" applyBorder="true" applyAlignment="true" applyProtection="true">
      <alignment horizontal="center" vertical="center" textRotation="0" wrapText="false" indent="0" shrinkToFit="false"/>
      <protection locked="true" hidden="false"/>
    </xf>
    <xf numFmtId="166" fontId="9" fillId="0" borderId="14" xfId="0" applyFont="true" applyBorder="true" applyAlignment="true" applyProtection="true">
      <alignment horizontal="center" vertical="center" textRotation="0" wrapText="false" indent="0" shrinkToFit="false"/>
      <protection locked="true" hidden="false"/>
    </xf>
    <xf numFmtId="164" fontId="16" fillId="0" borderId="16" xfId="0" applyFont="true" applyBorder="true" applyAlignment="true" applyProtection="true">
      <alignment horizontal="left" vertical="center" textRotation="0" wrapText="true" indent="0" shrinkToFit="false"/>
      <protection locked="true" hidden="false"/>
    </xf>
    <xf numFmtId="164" fontId="19" fillId="0" borderId="0" xfId="0" applyFont="true" applyBorder="fals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F2" xfId="20"/>
    <cellStyle name="F3" xfId="21"/>
    <cellStyle name="F4" xfId="22"/>
    <cellStyle name="F5" xfId="23"/>
    <cellStyle name="F6" xfId="24"/>
    <cellStyle name="F7" xfId="25"/>
    <cellStyle name="F8" xfId="26"/>
    <cellStyle name="Normal 2" xfId="27"/>
  </cellStyles>
  <dxfs count="2">
    <dxf>
      <font>
        <color rgb="FFFFFFFF"/>
      </font>
      <fill>
        <patternFill>
          <bgColor rgb="FF8D8DB3"/>
        </patternFill>
      </fill>
    </dxf>
    <dxf>
      <font>
        <b val="1"/>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465A4"/>
      <rgbColor rgb="FF33CCCC"/>
      <rgbColor rgb="FF99CC00"/>
      <rgbColor rgb="FFFFCC00"/>
      <rgbColor rgb="FFFF9900"/>
      <rgbColor rgb="FFFF6600"/>
      <rgbColor rgb="FF666699"/>
      <rgbColor rgb="FF8D8DB3"/>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6" activeCellId="0" sqref="J16"/>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2</v>
      </c>
      <c r="I2" s="8" t="n">
        <f aca="false">SUM(K6:K36)</f>
        <v>41.8416666666667</v>
      </c>
      <c r="J2" s="9" t="s">
        <v>3</v>
      </c>
    </row>
    <row r="3" customFormat="false" ht="18.75" hidden="false" customHeight="true" outlineLevel="0" collapsed="false">
      <c r="A3" s="10" t="s">
        <v>4</v>
      </c>
      <c r="B3" s="10"/>
      <c r="C3" s="10"/>
      <c r="D3" s="10"/>
      <c r="E3" s="11"/>
      <c r="F3" s="11"/>
      <c r="G3" s="11"/>
      <c r="H3" s="7" t="s">
        <v>5</v>
      </c>
      <c r="I3" s="12" t="n">
        <f aca="false">SUM(I6:I36)*24</f>
        <v>22.3666666666667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t="n">
        <v>0.938194444444444</v>
      </c>
      <c r="D6" s="30" t="n">
        <v>0.98125</v>
      </c>
      <c r="E6" s="29"/>
      <c r="F6" s="30"/>
      <c r="G6" s="29"/>
      <c r="H6" s="30"/>
      <c r="I6" s="29" t="n">
        <f aca="false">SUM(D6-C6, F6-E6, H6-G6)</f>
        <v>0.0430555555555556</v>
      </c>
      <c r="J6" s="31" t="s">
        <v>19</v>
      </c>
      <c r="K6" s="1" t="n">
        <f aca="false">SUM((D6-C6)*1.5*24)</f>
        <v>1.55</v>
      </c>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t="n">
        <v>0.384027777777778</v>
      </c>
      <c r="D8" s="34" t="n">
        <v>0.536805555555556</v>
      </c>
      <c r="E8" s="33" t="n">
        <v>0.651388888888889</v>
      </c>
      <c r="F8" s="34" t="n">
        <v>0.753472222222222</v>
      </c>
      <c r="G8" s="33"/>
      <c r="H8" s="34"/>
      <c r="I8" s="33" t="n">
        <f aca="false">SUM(D8-C8, F8-E8, H8-G8)</f>
        <v>0.254861111111111</v>
      </c>
      <c r="J8" s="35" t="s">
        <v>20</v>
      </c>
      <c r="K8" s="1" t="n">
        <f aca="false">SUM((D8-C8)*2*24,(F8-E8)*2*24)</f>
        <v>12.2333333333333</v>
      </c>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t="n">
        <v>0.708333333333333</v>
      </c>
      <c r="D13" s="34" t="n">
        <v>0.772222222222222</v>
      </c>
      <c r="E13" s="33"/>
      <c r="F13" s="34"/>
      <c r="G13" s="33"/>
      <c r="H13" s="34"/>
      <c r="I13" s="33" t="n">
        <f aca="false">SUM(D13-C13, F13-E13, H13-G13)</f>
        <v>0.0638888888888889</v>
      </c>
      <c r="J13" s="35" t="s">
        <v>21</v>
      </c>
      <c r="K13" s="1" t="n">
        <f aca="false">SUM((D13-C13)*1.5*24)</f>
        <v>2.3</v>
      </c>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t="n">
        <v>0.708333333333333</v>
      </c>
      <c r="D26" s="34" t="n">
        <v>0.786805555555556</v>
      </c>
      <c r="E26" s="33"/>
      <c r="F26" s="34"/>
      <c r="G26" s="33"/>
      <c r="H26" s="34"/>
      <c r="I26" s="33" t="n">
        <f aca="false">SUM(D26-C26, F26-E26, H26-G26)</f>
        <v>0.0784722222222222</v>
      </c>
      <c r="J26" s="35" t="s">
        <v>22</v>
      </c>
      <c r="K26" s="1" t="n">
        <f aca="false">SUM((D26-C26)*1.5*24)</f>
        <v>2.825</v>
      </c>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t="n">
        <v>0.729166666666667</v>
      </c>
      <c r="D29" s="34" t="n">
        <v>0.784722222222222</v>
      </c>
      <c r="E29" s="33"/>
      <c r="F29" s="34"/>
      <c r="G29" s="33"/>
      <c r="H29" s="34"/>
      <c r="I29" s="33" t="n">
        <f aca="false">SUM(D29-C29, F29-E29, H29-G29)</f>
        <v>0.0555555555555556</v>
      </c>
      <c r="J29" s="35" t="s">
        <v>23</v>
      </c>
      <c r="K29" s="1" t="n">
        <f aca="false">SUM((D29-C29)*1.5*24)</f>
        <v>2</v>
      </c>
    </row>
    <row r="30" customFormat="false" ht="17.25" hidden="false" customHeight="true" outlineLevel="0" collapsed="false">
      <c r="A30" s="27" t="str">
        <f aca="false">IF(B30&gt;0,PROPER(TEXT(B30,"dddd")),"")</f>
        <v>Sábado</v>
      </c>
      <c r="B30" s="32" t="n">
        <v>46137</v>
      </c>
      <c r="C30" s="33" t="n">
        <v>0.381944444444444</v>
      </c>
      <c r="D30" s="34" t="n">
        <v>0.570833333333333</v>
      </c>
      <c r="E30" s="33" t="n">
        <v>0.870138888888889</v>
      </c>
      <c r="F30" s="34" t="n">
        <v>0.917361111111111</v>
      </c>
      <c r="G30" s="33" t="n">
        <v>0.925694444444445</v>
      </c>
      <c r="H30" s="34" t="n">
        <v>0.995138888888889</v>
      </c>
      <c r="I30" s="33" t="n">
        <f aca="false">SUM(D30-C30, F30-E30, H30-G30)</f>
        <v>0.305555555555556</v>
      </c>
      <c r="J30" s="35" t="s">
        <v>24</v>
      </c>
      <c r="K30" s="1" t="n">
        <f aca="false">SUM((D30-C30)*2*24,(F30-E30)*2*24,(H30-G30)*2*24)</f>
        <v>14.6666666666667</v>
      </c>
    </row>
    <row r="31" customFormat="false" ht="17.25" hidden="false" customHeight="true" outlineLevel="0" collapsed="false">
      <c r="A31" s="27" t="str">
        <f aca="false">IF(B31&gt;0,PROPER(TEXT(B31,"dddd")),"")</f>
        <v>Domingo</v>
      </c>
      <c r="B31" s="32" t="n">
        <v>46138</v>
      </c>
      <c r="C31" s="33" t="n">
        <v>0.385416666666667</v>
      </c>
      <c r="D31" s="34" t="n">
        <v>0.463888888888889</v>
      </c>
      <c r="E31" s="33" t="n">
        <v>0.5625</v>
      </c>
      <c r="F31" s="34" t="n">
        <v>0.614583333333333</v>
      </c>
      <c r="G31" s="33"/>
      <c r="H31" s="34"/>
      <c r="I31" s="33" t="n">
        <f aca="false">SUM(D31-C31, F31-E31, H31-G31)</f>
        <v>0.130555555555556</v>
      </c>
      <c r="J31" s="35" t="s">
        <v>25</v>
      </c>
      <c r="K31" s="1" t="n">
        <f aca="false">SUM((D31-C31)*2*24,(F31-E31)*2*24)</f>
        <v>6.26666666666667</v>
      </c>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26</v>
      </c>
      <c r="I2" s="8" t="n">
        <f aca="false">SUM(K6:K36)</f>
        <v>12.6916666666667</v>
      </c>
      <c r="J2" s="9" t="s">
        <v>3</v>
      </c>
    </row>
    <row r="3" customFormat="false" ht="18.75" hidden="false" customHeight="true" outlineLevel="0" collapsed="false">
      <c r="A3" s="10" t="s">
        <v>4</v>
      </c>
      <c r="B3" s="10"/>
      <c r="C3" s="10"/>
      <c r="D3" s="10"/>
      <c r="E3" s="11"/>
      <c r="F3" s="11"/>
      <c r="G3" s="11"/>
      <c r="H3" s="7" t="s">
        <v>5</v>
      </c>
      <c r="I3" s="12" t="n">
        <f aca="false">SUM(I6:I36)*24</f>
        <v>7.53333333333333</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t="n">
        <v>0.861111111111111</v>
      </c>
      <c r="D9" s="34" t="n">
        <v>0.903472222222222</v>
      </c>
      <c r="E9" s="33"/>
      <c r="F9" s="34"/>
      <c r="G9" s="33"/>
      <c r="H9" s="34"/>
      <c r="I9" s="33" t="n">
        <f aca="false">SUM(D9-C9, F9-E9, H9-G9)</f>
        <v>0.0423611111111111</v>
      </c>
      <c r="J9" s="35" t="s">
        <v>27</v>
      </c>
      <c r="K9" s="1" t="n">
        <f aca="false">SUM((D9-C9)*2*24)</f>
        <v>2.03333333333333</v>
      </c>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t="n">
        <v>0.708333333333333</v>
      </c>
      <c r="D13" s="34" t="n">
        <v>0.772222222222222</v>
      </c>
      <c r="E13" s="33"/>
      <c r="F13" s="34"/>
      <c r="G13" s="33"/>
      <c r="H13" s="34"/>
      <c r="I13" s="33" t="n">
        <f aca="false">SUM(D13-C13, F13-E13, H13-G13)</f>
        <v>0.0638888888888889</v>
      </c>
      <c r="J13" s="35" t="s">
        <v>21</v>
      </c>
      <c r="K13" s="1" t="n">
        <f aca="false">SUM((D13-C13)*1.5*24)</f>
        <v>2.3</v>
      </c>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t="n">
        <v>0.5875</v>
      </c>
      <c r="D24" s="34" t="n">
        <v>0.661111111111111</v>
      </c>
      <c r="E24" s="33"/>
      <c r="F24" s="34"/>
      <c r="G24" s="33"/>
      <c r="H24" s="34"/>
      <c r="I24" s="33" t="n">
        <f aca="false">SUM(D24-C24, F24-E24, H24-G24)</f>
        <v>0.0736111111111111</v>
      </c>
      <c r="J24" s="35" t="s">
        <v>28</v>
      </c>
      <c r="K24" s="1" t="n">
        <f aca="false">SUM((D24-C24)*2*24)</f>
        <v>3.53333333333333</v>
      </c>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t="n">
        <v>0.708333333333333</v>
      </c>
      <c r="D26" s="34" t="n">
        <v>0.786805555555556</v>
      </c>
      <c r="E26" s="33"/>
      <c r="F26" s="34"/>
      <c r="G26" s="33"/>
      <c r="H26" s="34"/>
      <c r="I26" s="33" t="n">
        <f aca="false">SUM(D26-C26, F26-E26, H26-G26)</f>
        <v>0.0784722222222222</v>
      </c>
      <c r="J26" s="35" t="s">
        <v>22</v>
      </c>
      <c r="K26" s="1" t="n">
        <f aca="false">SUM((D26-C26)*1.5*24)</f>
        <v>2.825</v>
      </c>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t="n">
        <v>0.729166666666667</v>
      </c>
      <c r="D29" s="34" t="n">
        <v>0.784722222222222</v>
      </c>
      <c r="E29" s="33"/>
      <c r="F29" s="34"/>
      <c r="G29" s="33"/>
      <c r="H29" s="34"/>
      <c r="I29" s="33" t="n">
        <f aca="false">SUM(D29-C29, F29-E29, H29-G29)</f>
        <v>0.0555555555555556</v>
      </c>
      <c r="J29" s="35" t="s">
        <v>23</v>
      </c>
      <c r="K29" s="1" t="n">
        <f aca="false">SUM((D29-C29)*1.5*24)</f>
        <v>2</v>
      </c>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29</v>
      </c>
      <c r="I2" s="8" t="n">
        <f aca="false">SUM(K6:K36)</f>
        <v>25.775</v>
      </c>
      <c r="J2" s="9" t="s">
        <v>3</v>
      </c>
    </row>
    <row r="3" customFormat="false" ht="18.75" hidden="false" customHeight="true" outlineLevel="0" collapsed="false">
      <c r="A3" s="10" t="s">
        <v>4</v>
      </c>
      <c r="B3" s="10"/>
      <c r="C3" s="10"/>
      <c r="D3" s="10"/>
      <c r="E3" s="11"/>
      <c r="F3" s="11"/>
      <c r="G3" s="11"/>
      <c r="H3" s="7" t="s">
        <v>5</v>
      </c>
      <c r="I3" s="12" t="n">
        <f aca="false">SUM(I6:I36)*24</f>
        <v>14.1666666666667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t="n">
        <v>0.708333333333333</v>
      </c>
      <c r="D13" s="34" t="n">
        <v>0.772222222222222</v>
      </c>
      <c r="E13" s="33" t="n">
        <v>0.847222222222222</v>
      </c>
      <c r="F13" s="34" t="n">
        <v>0.940972222222222</v>
      </c>
      <c r="G13" s="33"/>
      <c r="H13" s="34"/>
      <c r="I13" s="33" t="n">
        <f aca="false">SUM(D13-C13, F13-E13, H13-G13)</f>
        <v>0.157638888888889</v>
      </c>
      <c r="J13" s="35" t="s">
        <v>21</v>
      </c>
      <c r="K13" s="1" t="n">
        <f aca="false">SUM((D13-C13)*1.5*24,(F13-E13)*1.5*24)</f>
        <v>5.675</v>
      </c>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t="n">
        <v>0.340277777777778</v>
      </c>
      <c r="D16" s="34" t="n">
        <v>0.569444444444444</v>
      </c>
      <c r="E16" s="33"/>
      <c r="F16" s="34"/>
      <c r="G16" s="33"/>
      <c r="H16" s="34"/>
      <c r="I16" s="33" t="n">
        <f aca="false">SUM(D16-C16, F16-E16, H16-G16)</f>
        <v>0.229166666666667</v>
      </c>
      <c r="J16" s="35" t="s">
        <v>30</v>
      </c>
      <c r="K16" s="1" t="n">
        <f aca="false">SUM((D16-C16)*2*24)</f>
        <v>11</v>
      </c>
    </row>
    <row r="17" customFormat="false" ht="17.25" hidden="false" customHeight="true" outlineLevel="0" collapsed="false">
      <c r="A17" s="27" t="str">
        <f aca="false">IF(B17&gt;0,PROPER(TEXT(B17,"dddd")),"")</f>
        <v>Domingo</v>
      </c>
      <c r="B17" s="32" t="n">
        <v>46124</v>
      </c>
      <c r="C17" s="33" t="n">
        <v>0.542361111111111</v>
      </c>
      <c r="D17" s="34" t="n">
        <v>0.690277777777778</v>
      </c>
      <c r="E17" s="33"/>
      <c r="F17" s="34"/>
      <c r="G17" s="33"/>
      <c r="H17" s="34"/>
      <c r="I17" s="33" t="n">
        <f aca="false">SUM(D17-C17, F17-E17, H17-G17)</f>
        <v>0.147916666666667</v>
      </c>
      <c r="J17" s="35" t="s">
        <v>31</v>
      </c>
      <c r="K17" s="1" t="n">
        <f aca="false">SUM((D17-C17)*2*24)</f>
        <v>7.1</v>
      </c>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t="n">
        <v>0.729166666666667</v>
      </c>
      <c r="D29" s="34" t="n">
        <v>0.784722222222222</v>
      </c>
      <c r="E29" s="33"/>
      <c r="F29" s="34"/>
      <c r="G29" s="33"/>
      <c r="H29" s="34"/>
      <c r="I29" s="33" t="n">
        <f aca="false">SUM(D29-C29, F29-E29, H29-G29)</f>
        <v>0.0555555555555556</v>
      </c>
      <c r="J29" s="35" t="s">
        <v>23</v>
      </c>
      <c r="K29" s="1" t="n">
        <f aca="false">SUM((D29-C29)*1.5*24)</f>
        <v>2</v>
      </c>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32</v>
      </c>
      <c r="I2" s="8" t="n">
        <f aca="false">SUM(K6:K36)</f>
        <v>20.1166666666667</v>
      </c>
      <c r="J2" s="9" t="s">
        <v>3</v>
      </c>
    </row>
    <row r="3" customFormat="false" ht="18.75" hidden="false" customHeight="true" outlineLevel="0" collapsed="false">
      <c r="A3" s="10" t="s">
        <v>4</v>
      </c>
      <c r="B3" s="10"/>
      <c r="C3" s="10"/>
      <c r="D3" s="10"/>
      <c r="E3" s="11"/>
      <c r="F3" s="11"/>
      <c r="G3" s="11"/>
      <c r="H3" s="7" t="s">
        <v>5</v>
      </c>
      <c r="I3" s="12" t="n">
        <f aca="false">SUM(I6:I36)*24</f>
        <v>11.0333333333333</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t="n">
        <v>0.938194444444444</v>
      </c>
      <c r="D6" s="30" t="n">
        <v>0.98125</v>
      </c>
      <c r="E6" s="29"/>
      <c r="F6" s="30"/>
      <c r="G6" s="29"/>
      <c r="H6" s="30"/>
      <c r="I6" s="29" t="n">
        <f aca="false">SUM(D6-C6, F6-E6, H6-G6)</f>
        <v>0.0430555555555556</v>
      </c>
      <c r="J6" s="31" t="s">
        <v>19</v>
      </c>
      <c r="K6" s="1" t="n">
        <f aca="false">SUM((D6-C6)*1.5*24)</f>
        <v>1.55</v>
      </c>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t="n">
        <v>0.384027777777778</v>
      </c>
      <c r="D8" s="34" t="n">
        <v>0.536805555555556</v>
      </c>
      <c r="E8" s="33" t="n">
        <v>0.651388888888889</v>
      </c>
      <c r="F8" s="34" t="n">
        <v>0.753472222222222</v>
      </c>
      <c r="G8" s="33"/>
      <c r="H8" s="34"/>
      <c r="I8" s="33" t="n">
        <f aca="false">SUM(D8-C8, F8-E8, H8-G8)</f>
        <v>0.254861111111111</v>
      </c>
      <c r="J8" s="35" t="s">
        <v>20</v>
      </c>
      <c r="K8" s="1" t="n">
        <f aca="false">SUM((D8-C8)*2*24,(F8-E8)*2*24)</f>
        <v>12.2333333333333</v>
      </c>
    </row>
    <row r="9" customFormat="false" ht="17.25" hidden="false" customHeight="true" outlineLevel="0" collapsed="false">
      <c r="A9" s="27" t="str">
        <f aca="false">IF(B9&gt;0,PROPER(TEXT(B9,"dddd")),"")</f>
        <v>Sábado</v>
      </c>
      <c r="B9" s="32" t="n">
        <v>46116</v>
      </c>
      <c r="C9" s="33" t="n">
        <v>0.861111111111111</v>
      </c>
      <c r="D9" s="34" t="n">
        <v>0.903472222222222</v>
      </c>
      <c r="E9" s="33"/>
      <c r="F9" s="34"/>
      <c r="G9" s="33"/>
      <c r="H9" s="34"/>
      <c r="I9" s="33" t="n">
        <f aca="false">SUM(D9-C9, F9-E9, H9-G9)</f>
        <v>0.0423611111111111</v>
      </c>
      <c r="J9" s="35" t="s">
        <v>27</v>
      </c>
      <c r="K9" s="1" t="n">
        <f aca="false">SUM((D9-C9)*2*24)</f>
        <v>2.03333333333333</v>
      </c>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t="n">
        <v>0.708333333333333</v>
      </c>
      <c r="D13" s="34" t="n">
        <v>0.772222222222222</v>
      </c>
      <c r="E13" s="33"/>
      <c r="F13" s="34"/>
      <c r="G13" s="33"/>
      <c r="H13" s="34"/>
      <c r="I13" s="33" t="n">
        <f aca="false">SUM(D13-C13, F13-E13, H13-G13)</f>
        <v>0.0638888888888889</v>
      </c>
      <c r="J13" s="35" t="s">
        <v>21</v>
      </c>
      <c r="K13" s="1" t="n">
        <f aca="false">SUM((D13-C13)*1.5*24)</f>
        <v>2.3</v>
      </c>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t="n">
        <v>0.729166666666667</v>
      </c>
      <c r="D29" s="34" t="n">
        <v>0.784722222222222</v>
      </c>
      <c r="E29" s="33"/>
      <c r="F29" s="34"/>
      <c r="G29" s="33"/>
      <c r="H29" s="34"/>
      <c r="I29" s="33" t="n">
        <f aca="false">SUM(D29-C29, F29-E29, H29-G29)</f>
        <v>0.0555555555555556</v>
      </c>
      <c r="J29" s="35" t="s">
        <v>23</v>
      </c>
      <c r="K29" s="1" t="n">
        <f aca="false">SUM((D29-C29)*1.5*24)</f>
        <v>2</v>
      </c>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33</v>
      </c>
      <c r="I2" s="8" t="n">
        <f aca="false">SUM(K6:K36)</f>
        <v>28.0583333333333</v>
      </c>
      <c r="J2" s="9" t="s">
        <v>3</v>
      </c>
    </row>
    <row r="3" customFormat="false" ht="18.75" hidden="false" customHeight="true" outlineLevel="0" collapsed="false">
      <c r="A3" s="10" t="s">
        <v>4</v>
      </c>
      <c r="B3" s="10"/>
      <c r="C3" s="10"/>
      <c r="D3" s="10"/>
      <c r="E3" s="11"/>
      <c r="F3" s="11"/>
      <c r="G3" s="11"/>
      <c r="H3" s="7" t="s">
        <v>5</v>
      </c>
      <c r="I3" s="12" t="n">
        <f aca="false">SUM(I6:I36)*24</f>
        <v>15.2166666666667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t="n">
        <v>0.708333333333333</v>
      </c>
      <c r="D13" s="34" t="n">
        <v>0.772222222222222</v>
      </c>
      <c r="E13" s="33"/>
      <c r="F13" s="34"/>
      <c r="G13" s="33"/>
      <c r="H13" s="34"/>
      <c r="I13" s="33" t="n">
        <f aca="false">SUM(D13-C13, F13-E13, H13-G13)</f>
        <v>0.0638888888888889</v>
      </c>
      <c r="J13" s="35" t="s">
        <v>21</v>
      </c>
      <c r="K13" s="1" t="n">
        <f aca="false">SUM((D13-C13)*1.5*24)</f>
        <v>2.3</v>
      </c>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t="n">
        <v>0.708333333333333</v>
      </c>
      <c r="D26" s="34" t="n">
        <v>0.786805555555556</v>
      </c>
      <c r="E26" s="33"/>
      <c r="F26" s="34"/>
      <c r="G26" s="33"/>
      <c r="H26" s="34"/>
      <c r="I26" s="33" t="n">
        <f aca="false">SUM(D26-C26, F26-E26, H26-G26)</f>
        <v>0.0784722222222222</v>
      </c>
      <c r="J26" s="35" t="s">
        <v>22</v>
      </c>
      <c r="K26" s="1" t="n">
        <f aca="false">SUM((D26-C26)*1.5*24)</f>
        <v>2.825</v>
      </c>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t="n">
        <v>0.729166666666667</v>
      </c>
      <c r="D29" s="34" t="n">
        <v>0.784722222222222</v>
      </c>
      <c r="E29" s="33"/>
      <c r="F29" s="34"/>
      <c r="G29" s="33"/>
      <c r="H29" s="34"/>
      <c r="I29" s="33" t="n">
        <f aca="false">SUM(D29-C29, F29-E29, H29-G29)</f>
        <v>0.0555555555555556</v>
      </c>
      <c r="J29" s="35" t="s">
        <v>23</v>
      </c>
      <c r="K29" s="1" t="n">
        <f aca="false">SUM((D29-C29)*1.5*24)</f>
        <v>2</v>
      </c>
    </row>
    <row r="30" customFormat="false" ht="17.25" hidden="false" customHeight="true" outlineLevel="0" collapsed="false">
      <c r="A30" s="27" t="str">
        <f aca="false">IF(B30&gt;0,PROPER(TEXT(B30,"dddd")),"")</f>
        <v>Sábado</v>
      </c>
      <c r="B30" s="32" t="n">
        <v>46137</v>
      </c>
      <c r="C30" s="33" t="n">
        <v>0.381944444444444</v>
      </c>
      <c r="D30" s="34" t="n">
        <v>0.570833333333333</v>
      </c>
      <c r="E30" s="33" t="n">
        <v>0.870138888888889</v>
      </c>
      <c r="F30" s="34" t="n">
        <v>0.917361111111111</v>
      </c>
      <c r="G30" s="33" t="n">
        <v>0.925694444444445</v>
      </c>
      <c r="H30" s="34" t="n">
        <v>0.995138888888889</v>
      </c>
      <c r="I30" s="33" t="n">
        <f aca="false">SUM(D30-C30, F30-E30, H30-G30)</f>
        <v>0.305555555555556</v>
      </c>
      <c r="J30" s="35" t="s">
        <v>24</v>
      </c>
      <c r="K30" s="1" t="n">
        <f aca="false">SUM((D30-C30)*2*24,(F30-E30)*2*24,(H30-G30)*2*24)</f>
        <v>14.6666666666667</v>
      </c>
    </row>
    <row r="31" customFormat="false" ht="17.25" hidden="false" customHeight="true" outlineLevel="0" collapsed="false">
      <c r="A31" s="27" t="str">
        <f aca="false">IF(B31&gt;0,PROPER(TEXT(B31,"dddd")),"")</f>
        <v>Domingo</v>
      </c>
      <c r="B31" s="32" t="n">
        <v>46138</v>
      </c>
      <c r="C31" s="33" t="n">
        <v>0.385416666666667</v>
      </c>
      <c r="D31" s="34" t="n">
        <v>0.463888888888889</v>
      </c>
      <c r="E31" s="33" t="n">
        <v>0.5625</v>
      </c>
      <c r="F31" s="34" t="n">
        <v>0.614583333333333</v>
      </c>
      <c r="G31" s="33"/>
      <c r="H31" s="34"/>
      <c r="I31" s="33" t="n">
        <f aca="false">SUM(D31-C31, F31-E31, H31-G31)</f>
        <v>0.130555555555556</v>
      </c>
      <c r="J31" s="35" t="s">
        <v>25</v>
      </c>
      <c r="K31" s="1" t="n">
        <f aca="false">SUM((D31-C31)*2*24,(F31-E31)*2*24)</f>
        <v>6.26666666666667</v>
      </c>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34</v>
      </c>
      <c r="I2" s="8" t="n">
        <f aca="false">SUM(K6:K36)</f>
        <v>30.9</v>
      </c>
      <c r="J2" s="9" t="s">
        <v>3</v>
      </c>
    </row>
    <row r="3" customFormat="false" ht="18.75" hidden="false" customHeight="true" outlineLevel="0" collapsed="false">
      <c r="A3" s="10" t="s">
        <v>4</v>
      </c>
      <c r="B3" s="10"/>
      <c r="C3" s="10"/>
      <c r="D3" s="10"/>
      <c r="E3" s="11"/>
      <c r="F3" s="11"/>
      <c r="G3" s="11"/>
      <c r="H3" s="7" t="s">
        <v>35</v>
      </c>
      <c r="I3" s="12" t="n">
        <f aca="false">SUM(I6:I36)*24</f>
        <v>17.5833333333333</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t="n">
        <v>0.708333333333333</v>
      </c>
      <c r="D12" s="34" t="n">
        <v>0.781944444444444</v>
      </c>
      <c r="E12" s="33"/>
      <c r="F12" s="34"/>
      <c r="G12" s="33"/>
      <c r="H12" s="34"/>
      <c r="I12" s="36" t="n">
        <f aca="false">SUM(D12-C12, F12-E12, H12-G12)</f>
        <v>0.0736111111111111</v>
      </c>
      <c r="J12" s="35" t="s">
        <v>36</v>
      </c>
      <c r="K12" s="1" t="n">
        <f aca="false">SUM((D12-C12)*1.5*24)</f>
        <v>2.65</v>
      </c>
    </row>
    <row r="13" customFormat="false" ht="17.25" hidden="false" customHeight="true" outlineLevel="0" collapsed="false">
      <c r="A13" s="27" t="str">
        <f aca="false">IF(B13&gt;0,PROPER(TEXT(B13,"dddd")),"")</f>
        <v>Miércoles</v>
      </c>
      <c r="B13" s="32" t="n">
        <v>46120</v>
      </c>
      <c r="C13" s="33" t="n">
        <v>0.847222222222222</v>
      </c>
      <c r="D13" s="34" t="n">
        <v>0.940972222222222</v>
      </c>
      <c r="E13" s="33"/>
      <c r="F13" s="34"/>
      <c r="G13" s="33"/>
      <c r="H13" s="34"/>
      <c r="I13" s="33" t="n">
        <f aca="false">SUM(D13-C13, F13-E13, H13-G13)</f>
        <v>0.09375</v>
      </c>
      <c r="J13" s="35" t="s">
        <v>37</v>
      </c>
      <c r="K13" s="1" t="n">
        <f aca="false">SUM((D13-C13)*1.5*24)</f>
        <v>3.375</v>
      </c>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t="n">
        <v>0.340277777777778</v>
      </c>
      <c r="D16" s="34" t="n">
        <v>0.569444444444444</v>
      </c>
      <c r="E16" s="33"/>
      <c r="F16" s="34"/>
      <c r="G16" s="33"/>
      <c r="H16" s="34"/>
      <c r="I16" s="33" t="n">
        <f aca="false">SUM(D16-C16, F16-E16, H16-G16)</f>
        <v>0.229166666666667</v>
      </c>
      <c r="J16" s="35" t="s">
        <v>30</v>
      </c>
      <c r="K16" s="1" t="n">
        <f aca="false">SUM((D16-C16)*2*24)</f>
        <v>11</v>
      </c>
    </row>
    <row r="17" customFormat="false" ht="17.25" hidden="false" customHeight="true" outlineLevel="0" collapsed="false">
      <c r="A17" s="27" t="str">
        <f aca="false">IF(B17&gt;0,PROPER(TEXT(B17,"dddd")),"")</f>
        <v>Domingo</v>
      </c>
      <c r="B17" s="32" t="n">
        <v>46124</v>
      </c>
      <c r="C17" s="33" t="n">
        <v>0.542361111111111</v>
      </c>
      <c r="D17" s="34" t="n">
        <v>0.690277777777778</v>
      </c>
      <c r="E17" s="33"/>
      <c r="F17" s="34"/>
      <c r="G17" s="33"/>
      <c r="H17" s="34"/>
      <c r="I17" s="33" t="n">
        <f aca="false">SUM(D17-C17, F17-E17, H17-G17)</f>
        <v>0.147916666666667</v>
      </c>
      <c r="J17" s="35" t="s">
        <v>31</v>
      </c>
      <c r="K17" s="1" t="n">
        <f aca="false">SUM((D17-C17)*2*24)</f>
        <v>7.1</v>
      </c>
    </row>
    <row r="18" customFormat="false" ht="17.25" hidden="false" customHeight="true" outlineLevel="0" collapsed="false">
      <c r="A18" s="27" t="str">
        <f aca="false">IF(B18&gt;0,PROPER(TEXT(B18,"dddd")),"")</f>
        <v>Lunes</v>
      </c>
      <c r="B18" s="32" t="n">
        <v>46125</v>
      </c>
      <c r="C18" s="33" t="n">
        <v>0.708333333333333</v>
      </c>
      <c r="D18" s="34" t="n">
        <v>0.774305555555556</v>
      </c>
      <c r="E18" s="33"/>
      <c r="F18" s="34"/>
      <c r="G18" s="33"/>
      <c r="H18" s="34"/>
      <c r="I18" s="33" t="n">
        <f aca="false">SUM(D18-C18, F18-E18, H18-G18)</f>
        <v>0.0659722222222222</v>
      </c>
      <c r="J18" s="35" t="s">
        <v>38</v>
      </c>
      <c r="K18" s="1" t="n">
        <f aca="false">SUM((D18-C18)*1.5*24)</f>
        <v>2.375</v>
      </c>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t="n">
        <v>0.708333333333333</v>
      </c>
      <c r="D25" s="34" t="n">
        <v>0.764583333333333</v>
      </c>
      <c r="E25" s="33"/>
      <c r="F25" s="34"/>
      <c r="G25" s="33"/>
      <c r="H25" s="34"/>
      <c r="I25" s="33" t="n">
        <f aca="false">SUM(D25-C25, F25-E25, H25-G25)</f>
        <v>0.05625</v>
      </c>
      <c r="J25" s="35" t="s">
        <v>39</v>
      </c>
      <c r="K25" s="1" t="n">
        <f aca="false">SUM((D25-C25)*1.5*24)</f>
        <v>2.025</v>
      </c>
    </row>
    <row r="26" customFormat="false" ht="17.25" hidden="false" customHeight="true" outlineLevel="0" collapsed="false">
      <c r="A26" s="27" t="str">
        <f aca="false">IF(B26&gt;0,PROPER(TEXT(B26,"dddd")),"")</f>
        <v>Martes</v>
      </c>
      <c r="B26" s="32" t="n">
        <v>46133</v>
      </c>
      <c r="C26" s="33" t="n">
        <v>0.708333333333333</v>
      </c>
      <c r="D26" s="34" t="n">
        <v>0.774305555555556</v>
      </c>
      <c r="E26" s="33"/>
      <c r="F26" s="34"/>
      <c r="G26" s="33"/>
      <c r="H26" s="34"/>
      <c r="I26" s="33" t="n">
        <f aca="false">SUM(D26-C26, F26-E26, H26-G26)</f>
        <v>0.0659722222222222</v>
      </c>
      <c r="J26" s="35" t="s">
        <v>40</v>
      </c>
      <c r="K26" s="1" t="n">
        <f aca="false">SUM((D26-C26)*1.5*24)</f>
        <v>2.375</v>
      </c>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41</v>
      </c>
      <c r="I2" s="8" t="n">
        <f aca="false">SUM(K6:K36)</f>
        <v>12.9583333333333</v>
      </c>
      <c r="J2" s="9" t="s">
        <v>3</v>
      </c>
    </row>
    <row r="3" customFormat="false" ht="18.75" hidden="false" customHeight="true" outlineLevel="0" collapsed="false">
      <c r="A3" s="10" t="s">
        <v>4</v>
      </c>
      <c r="B3" s="10"/>
      <c r="C3" s="10"/>
      <c r="D3" s="10"/>
      <c r="E3" s="11"/>
      <c r="F3" s="11"/>
      <c r="G3" s="11"/>
      <c r="H3" s="7" t="s">
        <v>35</v>
      </c>
      <c r="I3" s="12" t="n">
        <f aca="false">SUM(I6:I36)*24</f>
        <v>8.05</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t="n">
        <v>0.708333333333333</v>
      </c>
      <c r="D12" s="34" t="n">
        <v>0.781944444444444</v>
      </c>
      <c r="E12" s="33"/>
      <c r="F12" s="34"/>
      <c r="G12" s="33"/>
      <c r="H12" s="34"/>
      <c r="I12" s="36" t="n">
        <f aca="false">SUM(D12-C12, F12-E12, H12-G12)</f>
        <v>0.0736111111111111</v>
      </c>
      <c r="J12" s="35" t="s">
        <v>36</v>
      </c>
      <c r="K12" s="1" t="n">
        <f aca="false">SUM((D12-C12)*1.5*24)</f>
        <v>2.65</v>
      </c>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t="n">
        <v>0.708333333333333</v>
      </c>
      <c r="D18" s="34" t="n">
        <v>0.774305555555556</v>
      </c>
      <c r="E18" s="33"/>
      <c r="F18" s="34"/>
      <c r="G18" s="33"/>
      <c r="H18" s="34"/>
      <c r="I18" s="33" t="n">
        <f aca="false">SUM(D18-C18, F18-E18, H18-G18)</f>
        <v>0.0659722222222222</v>
      </c>
      <c r="J18" s="35" t="s">
        <v>38</v>
      </c>
      <c r="K18" s="1" t="n">
        <f aca="false">SUM((D18-C18)*1.5*24)</f>
        <v>2.375</v>
      </c>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t="n">
        <v>0.5875</v>
      </c>
      <c r="D24" s="34" t="n">
        <v>0.661111111111111</v>
      </c>
      <c r="E24" s="33"/>
      <c r="F24" s="34"/>
      <c r="G24" s="33"/>
      <c r="H24" s="34"/>
      <c r="I24" s="33" t="n">
        <f aca="false">SUM(D24-C24, F24-E24, H24-G24)</f>
        <v>0.0736111111111111</v>
      </c>
      <c r="J24" s="35" t="s">
        <v>28</v>
      </c>
      <c r="K24" s="1" t="n">
        <f aca="false">SUM((D24-C24)*2*24)</f>
        <v>3.53333333333333</v>
      </c>
    </row>
    <row r="25" customFormat="false" ht="17.25" hidden="false" customHeight="true" outlineLevel="0" collapsed="false">
      <c r="A25" s="27" t="str">
        <f aca="false">IF(B25&gt;0,PROPER(TEXT(B25,"dddd")),"")</f>
        <v>Lunes</v>
      </c>
      <c r="B25" s="32" t="n">
        <v>46132</v>
      </c>
      <c r="C25" s="33" t="n">
        <v>0.708333333333333</v>
      </c>
      <c r="D25" s="34" t="n">
        <v>0.764583333333333</v>
      </c>
      <c r="E25" s="33"/>
      <c r="F25" s="34"/>
      <c r="G25" s="33"/>
      <c r="H25" s="34"/>
      <c r="I25" s="33" t="n">
        <f aca="false">SUM(D25-C25, F25-E25, H25-G25)</f>
        <v>0.05625</v>
      </c>
      <c r="J25" s="35" t="s">
        <v>39</v>
      </c>
      <c r="K25" s="1" t="n">
        <f aca="false">SUM((D25-C25)*1.5*24)</f>
        <v>2.025</v>
      </c>
    </row>
    <row r="26" customFormat="false" ht="17.25" hidden="false" customHeight="true" outlineLevel="0" collapsed="false">
      <c r="A26" s="27" t="str">
        <f aca="false">IF(B26&gt;0,PROPER(TEXT(B26,"dddd")),"")</f>
        <v>Martes</v>
      </c>
      <c r="B26" s="32" t="n">
        <v>46133</v>
      </c>
      <c r="C26" s="33" t="n">
        <v>0.708333333333333</v>
      </c>
      <c r="D26" s="34" t="n">
        <v>0.774305555555556</v>
      </c>
      <c r="E26" s="33"/>
      <c r="F26" s="34"/>
      <c r="G26" s="33"/>
      <c r="H26" s="34"/>
      <c r="I26" s="33" t="n">
        <f aca="false">SUM(D26-C26, F26-E26, H26-G26)</f>
        <v>0.0659722222222222</v>
      </c>
      <c r="J26" s="35" t="s">
        <v>40</v>
      </c>
      <c r="K26" s="1" t="n">
        <f aca="false">SUM((D26-C26)*1.5*24)</f>
        <v>2.375</v>
      </c>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42</v>
      </c>
      <c r="I2" s="8" t="n">
        <f aca="false">SUM(K6:K36)</f>
        <v>7.525</v>
      </c>
      <c r="J2" s="9" t="s">
        <v>3</v>
      </c>
    </row>
    <row r="3" customFormat="false" ht="18.75" hidden="false" customHeight="true" outlineLevel="0" collapsed="false">
      <c r="A3" s="10" t="s">
        <v>4</v>
      </c>
      <c r="B3" s="10"/>
      <c r="C3" s="10"/>
      <c r="D3" s="10"/>
      <c r="E3" s="11"/>
      <c r="F3" s="11"/>
      <c r="G3" s="11"/>
      <c r="H3" s="7" t="s">
        <v>43</v>
      </c>
      <c r="I3" s="12" t="n">
        <f aca="false">SUM(I6:I36)*24</f>
        <v>20.0166666666667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t="n">
        <v>0.791666666666667</v>
      </c>
      <c r="D11" s="34" t="n">
        <v>0.916666666666667</v>
      </c>
      <c r="E11" s="33"/>
      <c r="F11" s="34"/>
      <c r="G11" s="33"/>
      <c r="H11" s="34"/>
      <c r="I11" s="33" t="n">
        <f aca="false">SUM(D11-C11, F11-E11, H11-G11)</f>
        <v>0.125</v>
      </c>
      <c r="J11" s="35" t="s">
        <v>44</v>
      </c>
      <c r="K11" s="1" t="n">
        <f aca="false">SUM((D11-C11)*0.25*24)</f>
        <v>0.75</v>
      </c>
    </row>
    <row r="12" customFormat="false" ht="17.25" hidden="false" customHeight="true" outlineLevel="0" collapsed="false">
      <c r="A12" s="27" t="str">
        <f aca="false">IF(B12&gt;0,PROPER(TEXT(B12,"dddd")),"")</f>
        <v>Martes</v>
      </c>
      <c r="B12" s="32" t="n">
        <v>46119</v>
      </c>
      <c r="C12" s="33" t="n">
        <v>0.791666666666667</v>
      </c>
      <c r="D12" s="34" t="n">
        <v>0.916666666666667</v>
      </c>
      <c r="E12" s="33"/>
      <c r="F12" s="34"/>
      <c r="G12" s="33"/>
      <c r="H12" s="34"/>
      <c r="I12" s="36" t="n">
        <f aca="false">SUM(D12-C12, F12-E12, H12-G12)</f>
        <v>0.125</v>
      </c>
      <c r="J12" s="35" t="s">
        <v>45</v>
      </c>
      <c r="K12" s="1" t="n">
        <f aca="false">SUM((D12-C12)*0.25*24)</f>
        <v>0.75</v>
      </c>
    </row>
    <row r="13" customFormat="false" ht="17.25" hidden="false" customHeight="true" outlineLevel="0" collapsed="false">
      <c r="A13" s="27" t="str">
        <f aca="false">IF(B13&gt;0,PROPER(TEXT(B13,"dddd")),"")</f>
        <v>Miércoles</v>
      </c>
      <c r="B13" s="32" t="n">
        <v>46120</v>
      </c>
      <c r="C13" s="33" t="n">
        <v>0.791666666666667</v>
      </c>
      <c r="D13" s="34" t="n">
        <v>0.916666666666667</v>
      </c>
      <c r="E13" s="33"/>
      <c r="F13" s="34"/>
      <c r="G13" s="33"/>
      <c r="H13" s="34"/>
      <c r="I13" s="33" t="n">
        <f aca="false">SUM(D13-C13, F13-E13, H13-G13)</f>
        <v>0.125</v>
      </c>
      <c r="J13" s="35" t="s">
        <v>46</v>
      </c>
      <c r="K13" s="1" t="n">
        <f aca="false">SUM((D13-C13)*0.25*24)</f>
        <v>0.75</v>
      </c>
    </row>
    <row r="14" customFormat="false" ht="17.25" hidden="false" customHeight="true" outlineLevel="0" collapsed="false">
      <c r="A14" s="27" t="str">
        <f aca="false">IF(B14&gt;0,PROPER(TEXT(B14,"dddd")),"")</f>
        <v>Jueves</v>
      </c>
      <c r="B14" s="32" t="n">
        <v>46121</v>
      </c>
      <c r="C14" s="33" t="n">
        <v>0.791666666666667</v>
      </c>
      <c r="D14" s="34" t="n">
        <v>0.916666666666667</v>
      </c>
      <c r="E14" s="33"/>
      <c r="F14" s="34"/>
      <c r="G14" s="33"/>
      <c r="H14" s="34"/>
      <c r="I14" s="33" t="n">
        <f aca="false">SUM(D14-C14, F14-E14, H14-G14)</f>
        <v>0.125</v>
      </c>
      <c r="J14" s="35" t="s">
        <v>47</v>
      </c>
      <c r="K14" s="1" t="n">
        <f aca="false">SUM((D14-C14)*0.25*24)</f>
        <v>0.75</v>
      </c>
    </row>
    <row r="15" customFormat="false" ht="17.25" hidden="false" customHeight="true" outlineLevel="0" collapsed="false">
      <c r="A15" s="27" t="str">
        <f aca="false">IF(B15&gt;0,PROPER(TEXT(B15,"dddd")),"")</f>
        <v>Viernes</v>
      </c>
      <c r="B15" s="32" t="n">
        <v>46122</v>
      </c>
      <c r="C15" s="33" t="n">
        <v>0.791666666666667</v>
      </c>
      <c r="D15" s="34" t="n">
        <v>0.916666666666667</v>
      </c>
      <c r="E15" s="33"/>
      <c r="F15" s="34"/>
      <c r="G15" s="33"/>
      <c r="H15" s="34"/>
      <c r="I15" s="33" t="n">
        <f aca="false">SUM(D15-C15, F15-E15, H15-G15)</f>
        <v>0.125</v>
      </c>
      <c r="J15" s="35" t="s">
        <v>48</v>
      </c>
      <c r="K15" s="1" t="n">
        <f aca="false">SUM((D15-C15)*0.25*24)</f>
        <v>0.75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t="n">
        <v>0.708333333333333</v>
      </c>
      <c r="D22" s="34" t="n">
        <v>0.792361111111111</v>
      </c>
      <c r="E22" s="33"/>
      <c r="F22" s="34"/>
      <c r="G22" s="33"/>
      <c r="H22" s="34"/>
      <c r="I22" s="33" t="n">
        <f aca="false">SUM(D22-C22, F22-E22, H22-G22)</f>
        <v>0.0840277777777778</v>
      </c>
      <c r="J22" s="35" t="s">
        <v>49</v>
      </c>
      <c r="K22" s="1" t="n">
        <f aca="false">SUM((D22-C22)*1.5*24)</f>
        <v>3.025</v>
      </c>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t="n">
        <v>0.791666666666667</v>
      </c>
      <c r="D32" s="34" t="n">
        <v>0.916666666666667</v>
      </c>
      <c r="E32" s="33"/>
      <c r="F32" s="34"/>
      <c r="G32" s="33"/>
      <c r="H32" s="34"/>
      <c r="I32" s="33" t="n">
        <f aca="false">SUM(D32-C32, F32-E32, H32-G32)</f>
        <v>0.125</v>
      </c>
      <c r="J32" s="35" t="s">
        <v>50</v>
      </c>
      <c r="K32" s="1" t="n">
        <f aca="false">SUM((D32-C32)*0.25*24)</f>
        <v>0.75</v>
      </c>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51</v>
      </c>
      <c r="I2" s="8" t="n">
        <f aca="false">SUM(K6:K36)</f>
        <v>7.525</v>
      </c>
      <c r="J2" s="9" t="s">
        <v>3</v>
      </c>
    </row>
    <row r="3" customFormat="false" ht="18.75" hidden="false" customHeight="true" outlineLevel="0" collapsed="false">
      <c r="A3" s="10" t="s">
        <v>4</v>
      </c>
      <c r="B3" s="10"/>
      <c r="C3" s="10"/>
      <c r="D3" s="10"/>
      <c r="E3" s="11"/>
      <c r="F3" s="11"/>
      <c r="G3" s="11"/>
      <c r="H3" s="7" t="s">
        <v>43</v>
      </c>
      <c r="I3" s="12" t="n">
        <f aca="false">SUM(I6:I36)*24</f>
        <v>20.0166666666667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t="n">
        <v>0.791666666666667</v>
      </c>
      <c r="D11" s="34" t="n">
        <v>0.916666666666667</v>
      </c>
      <c r="E11" s="33"/>
      <c r="F11" s="34"/>
      <c r="G11" s="33"/>
      <c r="H11" s="34"/>
      <c r="I11" s="33" t="n">
        <f aca="false">SUM(D11-C11, F11-E11, H11-G11)</f>
        <v>0.125</v>
      </c>
      <c r="J11" s="35" t="s">
        <v>44</v>
      </c>
      <c r="K11" s="1" t="n">
        <f aca="false">SUM((D11-C11)*0.25*24)</f>
        <v>0.75</v>
      </c>
    </row>
    <row r="12" customFormat="false" ht="17.25" hidden="false" customHeight="true" outlineLevel="0" collapsed="false">
      <c r="A12" s="27" t="str">
        <f aca="false">IF(B12&gt;0,PROPER(TEXT(B12,"dddd")),"")</f>
        <v>Martes</v>
      </c>
      <c r="B12" s="32" t="n">
        <v>46119</v>
      </c>
      <c r="C12" s="33" t="n">
        <v>0.791666666666667</v>
      </c>
      <c r="D12" s="34" t="n">
        <v>0.916666666666667</v>
      </c>
      <c r="E12" s="33"/>
      <c r="F12" s="34"/>
      <c r="G12" s="33"/>
      <c r="H12" s="34"/>
      <c r="I12" s="36" t="n">
        <f aca="false">SUM(D12-C12, F12-E12, H12-G12)</f>
        <v>0.125</v>
      </c>
      <c r="J12" s="35" t="s">
        <v>45</v>
      </c>
      <c r="K12" s="1" t="n">
        <f aca="false">SUM((D12-C12)*0.25*24)</f>
        <v>0.75</v>
      </c>
    </row>
    <row r="13" customFormat="false" ht="17.25" hidden="false" customHeight="true" outlineLevel="0" collapsed="false">
      <c r="A13" s="27" t="str">
        <f aca="false">IF(B13&gt;0,PROPER(TEXT(B13,"dddd")),"")</f>
        <v>Miércoles</v>
      </c>
      <c r="B13" s="32" t="n">
        <v>46120</v>
      </c>
      <c r="C13" s="33" t="n">
        <v>0.791666666666667</v>
      </c>
      <c r="D13" s="34" t="n">
        <v>0.916666666666667</v>
      </c>
      <c r="E13" s="33"/>
      <c r="F13" s="34"/>
      <c r="G13" s="33"/>
      <c r="H13" s="34"/>
      <c r="I13" s="33" t="n">
        <f aca="false">SUM(D13-C13, F13-E13, H13-G13)</f>
        <v>0.125</v>
      </c>
      <c r="J13" s="35" t="s">
        <v>46</v>
      </c>
      <c r="K13" s="1" t="n">
        <f aca="false">SUM((D13-C13)*0.25*24)</f>
        <v>0.75</v>
      </c>
    </row>
    <row r="14" customFormat="false" ht="17.25" hidden="false" customHeight="true" outlineLevel="0" collapsed="false">
      <c r="A14" s="27" t="str">
        <f aca="false">IF(B14&gt;0,PROPER(TEXT(B14,"dddd")),"")</f>
        <v>Jueves</v>
      </c>
      <c r="B14" s="32" t="n">
        <v>46121</v>
      </c>
      <c r="C14" s="33" t="n">
        <v>0.791666666666667</v>
      </c>
      <c r="D14" s="34" t="n">
        <v>0.916666666666667</v>
      </c>
      <c r="E14" s="33"/>
      <c r="F14" s="34"/>
      <c r="G14" s="33"/>
      <c r="H14" s="34"/>
      <c r="I14" s="33" t="n">
        <f aca="false">SUM(D14-C14, F14-E14, H14-G14)</f>
        <v>0.125</v>
      </c>
      <c r="J14" s="35" t="s">
        <v>47</v>
      </c>
      <c r="K14" s="1" t="n">
        <f aca="false">SUM((D14-C14)*0.25*24)</f>
        <v>0.75</v>
      </c>
    </row>
    <row r="15" customFormat="false" ht="17.25" hidden="false" customHeight="true" outlineLevel="0" collapsed="false">
      <c r="A15" s="27" t="str">
        <f aca="false">IF(B15&gt;0,PROPER(TEXT(B15,"dddd")),"")</f>
        <v>Viernes</v>
      </c>
      <c r="B15" s="32" t="n">
        <v>46122</v>
      </c>
      <c r="C15" s="33" t="n">
        <v>0.791666666666667</v>
      </c>
      <c r="D15" s="34" t="n">
        <v>0.916666666666667</v>
      </c>
      <c r="E15" s="33"/>
      <c r="F15" s="34"/>
      <c r="G15" s="33"/>
      <c r="H15" s="34"/>
      <c r="I15" s="33" t="n">
        <f aca="false">SUM(D15-C15, F15-E15, H15-G15)</f>
        <v>0.125</v>
      </c>
      <c r="J15" s="35" t="s">
        <v>48</v>
      </c>
      <c r="K15" s="1" t="n">
        <f aca="false">SUM((D15-C15)*0.25*24)</f>
        <v>0.75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t="n">
        <v>0.708333333333333</v>
      </c>
      <c r="D22" s="34" t="n">
        <v>0.792361111111111</v>
      </c>
      <c r="E22" s="33"/>
      <c r="F22" s="34"/>
      <c r="G22" s="33"/>
      <c r="H22" s="34"/>
      <c r="I22" s="33" t="n">
        <f aca="false">SUM(D22-C22, F22-E22, H22-G22)</f>
        <v>0.0840277777777778</v>
      </c>
      <c r="J22" s="35" t="s">
        <v>49</v>
      </c>
      <c r="K22" s="1" t="n">
        <f aca="false">SUM((D22-C22)*1.5*24)</f>
        <v>3.025</v>
      </c>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t="n">
        <v>0.791666666666667</v>
      </c>
      <c r="D32" s="34" t="n">
        <v>0.916666666666667</v>
      </c>
      <c r="E32" s="33"/>
      <c r="F32" s="34"/>
      <c r="G32" s="33"/>
      <c r="H32" s="34"/>
      <c r="I32" s="33" t="n">
        <f aca="false">SUM(D32-C32, F32-E32, H32-G32)</f>
        <v>0.125</v>
      </c>
      <c r="J32" s="35" t="s">
        <v>50</v>
      </c>
      <c r="K32" s="1" t="n">
        <f aca="false">SUM((D32-C32)*0.25*24)</f>
        <v>0.75</v>
      </c>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52</v>
      </c>
      <c r="I2" s="8" t="n">
        <f aca="false">SUM(K6:K36)</f>
        <v>7.525</v>
      </c>
      <c r="J2" s="9" t="s">
        <v>3</v>
      </c>
    </row>
    <row r="3" customFormat="false" ht="18.75" hidden="false" customHeight="true" outlineLevel="0" collapsed="false">
      <c r="A3" s="10" t="s">
        <v>4</v>
      </c>
      <c r="B3" s="10"/>
      <c r="C3" s="10"/>
      <c r="D3" s="10"/>
      <c r="E3" s="11"/>
      <c r="F3" s="11"/>
      <c r="G3" s="11"/>
      <c r="H3" s="7" t="s">
        <v>43</v>
      </c>
      <c r="I3" s="12" t="n">
        <f aca="false">SUM(I6:I36)*24</f>
        <v>20.0166666666667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t="n">
        <v>0.791666666666667</v>
      </c>
      <c r="D11" s="34" t="n">
        <v>0.916666666666667</v>
      </c>
      <c r="E11" s="33"/>
      <c r="F11" s="34"/>
      <c r="G11" s="33"/>
      <c r="H11" s="34"/>
      <c r="I11" s="33" t="n">
        <f aca="false">SUM(D11-C11, F11-E11, H11-G11)</f>
        <v>0.125</v>
      </c>
      <c r="J11" s="35" t="s">
        <v>44</v>
      </c>
      <c r="K11" s="1" t="n">
        <f aca="false">SUM((D11-C11)*0.25*24)</f>
        <v>0.75</v>
      </c>
    </row>
    <row r="12" customFormat="false" ht="17.25" hidden="false" customHeight="true" outlineLevel="0" collapsed="false">
      <c r="A12" s="27" t="str">
        <f aca="false">IF(B12&gt;0,PROPER(TEXT(B12,"dddd")),"")</f>
        <v>Martes</v>
      </c>
      <c r="B12" s="32" t="n">
        <v>46119</v>
      </c>
      <c r="C12" s="33" t="n">
        <v>0.791666666666667</v>
      </c>
      <c r="D12" s="34" t="n">
        <v>0.916666666666667</v>
      </c>
      <c r="E12" s="33"/>
      <c r="F12" s="34"/>
      <c r="G12" s="33"/>
      <c r="H12" s="34"/>
      <c r="I12" s="36" t="n">
        <f aca="false">SUM(D12-C12, F12-E12, H12-G12)</f>
        <v>0.125</v>
      </c>
      <c r="J12" s="35" t="s">
        <v>45</v>
      </c>
      <c r="K12" s="1" t="n">
        <f aca="false">SUM((D12-C12)*0.25*24)</f>
        <v>0.75</v>
      </c>
    </row>
    <row r="13" customFormat="false" ht="17.25" hidden="false" customHeight="true" outlineLevel="0" collapsed="false">
      <c r="A13" s="27" t="str">
        <f aca="false">IF(B13&gt;0,PROPER(TEXT(B13,"dddd")),"")</f>
        <v>Miércoles</v>
      </c>
      <c r="B13" s="32" t="n">
        <v>46120</v>
      </c>
      <c r="C13" s="33" t="n">
        <v>0.791666666666667</v>
      </c>
      <c r="D13" s="34" t="n">
        <v>0.916666666666667</v>
      </c>
      <c r="E13" s="33"/>
      <c r="F13" s="34"/>
      <c r="G13" s="33"/>
      <c r="H13" s="34"/>
      <c r="I13" s="33" t="n">
        <f aca="false">SUM(D13-C13, F13-E13, H13-G13)</f>
        <v>0.125</v>
      </c>
      <c r="J13" s="35" t="s">
        <v>46</v>
      </c>
      <c r="K13" s="1" t="n">
        <f aca="false">SUM((D13-C13)*0.25*24)</f>
        <v>0.75</v>
      </c>
    </row>
    <row r="14" customFormat="false" ht="17.25" hidden="false" customHeight="true" outlineLevel="0" collapsed="false">
      <c r="A14" s="27" t="str">
        <f aca="false">IF(B14&gt;0,PROPER(TEXT(B14,"dddd")),"")</f>
        <v>Jueves</v>
      </c>
      <c r="B14" s="32" t="n">
        <v>46121</v>
      </c>
      <c r="C14" s="33" t="n">
        <v>0.791666666666667</v>
      </c>
      <c r="D14" s="34" t="n">
        <v>0.916666666666667</v>
      </c>
      <c r="E14" s="33"/>
      <c r="F14" s="34"/>
      <c r="G14" s="33"/>
      <c r="H14" s="34"/>
      <c r="I14" s="33" t="n">
        <f aca="false">SUM(D14-C14, F14-E14, H14-G14)</f>
        <v>0.125</v>
      </c>
      <c r="J14" s="35" t="s">
        <v>47</v>
      </c>
      <c r="K14" s="1" t="n">
        <f aca="false">SUM((D14-C14)*0.25*24)</f>
        <v>0.75</v>
      </c>
    </row>
    <row r="15" customFormat="false" ht="17.25" hidden="false" customHeight="true" outlineLevel="0" collapsed="false">
      <c r="A15" s="27" t="str">
        <f aca="false">IF(B15&gt;0,PROPER(TEXT(B15,"dddd")),"")</f>
        <v>Viernes</v>
      </c>
      <c r="B15" s="32" t="n">
        <v>46122</v>
      </c>
      <c r="C15" s="33" t="n">
        <v>0.791666666666667</v>
      </c>
      <c r="D15" s="34" t="n">
        <v>0.916666666666667</v>
      </c>
      <c r="E15" s="33"/>
      <c r="F15" s="34"/>
      <c r="G15" s="33"/>
      <c r="H15" s="34"/>
      <c r="I15" s="33" t="n">
        <f aca="false">SUM(D15-C15, F15-E15, H15-G15)</f>
        <v>0.125</v>
      </c>
      <c r="J15" s="35" t="s">
        <v>48</v>
      </c>
      <c r="K15" s="1" t="n">
        <f aca="false">SUM((D15-C15)*0.25*24)</f>
        <v>0.75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t="n">
        <v>0.708333333333333</v>
      </c>
      <c r="D22" s="34" t="n">
        <v>0.792361111111111</v>
      </c>
      <c r="E22" s="33"/>
      <c r="F22" s="34"/>
      <c r="G22" s="33"/>
      <c r="H22" s="34"/>
      <c r="I22" s="33" t="n">
        <f aca="false">SUM(D22-C22, F22-E22, H22-G22)</f>
        <v>0.0840277777777778</v>
      </c>
      <c r="J22" s="35" t="s">
        <v>49</v>
      </c>
      <c r="K22" s="1" t="n">
        <f aca="false">SUM((D22-C22)*1.5*24)</f>
        <v>3.025</v>
      </c>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t="n">
        <v>0.791666666666667</v>
      </c>
      <c r="D32" s="34" t="n">
        <v>0.916666666666667</v>
      </c>
      <c r="E32" s="33"/>
      <c r="F32" s="34"/>
      <c r="G32" s="33"/>
      <c r="H32" s="34"/>
      <c r="I32" s="33" t="n">
        <f aca="false">SUM(D32-C32, F32-E32, H32-G32)</f>
        <v>0.125</v>
      </c>
      <c r="J32" s="35" t="s">
        <v>50</v>
      </c>
      <c r="K32" s="1" t="n">
        <f aca="false">SUM((D32-C32)*0.25*24)</f>
        <v>0.75</v>
      </c>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53</v>
      </c>
      <c r="I2" s="8" t="n">
        <f aca="false">SUM(K6:K36)</f>
        <v>7.525</v>
      </c>
      <c r="J2" s="9" t="s">
        <v>3</v>
      </c>
    </row>
    <row r="3" customFormat="false" ht="18.75" hidden="false" customHeight="true" outlineLevel="0" collapsed="false">
      <c r="A3" s="10" t="s">
        <v>4</v>
      </c>
      <c r="B3" s="10"/>
      <c r="C3" s="10"/>
      <c r="D3" s="10"/>
      <c r="E3" s="11"/>
      <c r="F3" s="11"/>
      <c r="G3" s="11"/>
      <c r="H3" s="7" t="s">
        <v>43</v>
      </c>
      <c r="I3" s="12" t="n">
        <f aca="false">SUM(I6:I36)*24</f>
        <v>20.0166666666667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t="n">
        <v>0.791666666666667</v>
      </c>
      <c r="D11" s="34" t="n">
        <v>0.916666666666667</v>
      </c>
      <c r="E11" s="33"/>
      <c r="F11" s="34"/>
      <c r="G11" s="33"/>
      <c r="H11" s="34"/>
      <c r="I11" s="33" t="n">
        <f aca="false">SUM(D11-C11, F11-E11, H11-G11)</f>
        <v>0.125</v>
      </c>
      <c r="J11" s="35" t="s">
        <v>44</v>
      </c>
      <c r="K11" s="1" t="n">
        <f aca="false">SUM((D11-C11)*0.25*24)</f>
        <v>0.75</v>
      </c>
    </row>
    <row r="12" customFormat="false" ht="17.25" hidden="false" customHeight="true" outlineLevel="0" collapsed="false">
      <c r="A12" s="27" t="str">
        <f aca="false">IF(B12&gt;0,PROPER(TEXT(B12,"dddd")),"")</f>
        <v>Martes</v>
      </c>
      <c r="B12" s="32" t="n">
        <v>46119</v>
      </c>
      <c r="C12" s="33" t="n">
        <v>0.791666666666667</v>
      </c>
      <c r="D12" s="34" t="n">
        <v>0.916666666666667</v>
      </c>
      <c r="E12" s="33"/>
      <c r="F12" s="34"/>
      <c r="G12" s="33"/>
      <c r="H12" s="34"/>
      <c r="I12" s="36" t="n">
        <f aca="false">SUM(D12-C12, F12-E12, H12-G12)</f>
        <v>0.125</v>
      </c>
      <c r="J12" s="35" t="s">
        <v>45</v>
      </c>
      <c r="K12" s="1" t="n">
        <f aca="false">SUM((D12-C12)*0.25*24)</f>
        <v>0.75</v>
      </c>
    </row>
    <row r="13" customFormat="false" ht="17.25" hidden="false" customHeight="true" outlineLevel="0" collapsed="false">
      <c r="A13" s="27" t="str">
        <f aca="false">IF(B13&gt;0,PROPER(TEXT(B13,"dddd")),"")</f>
        <v>Miércoles</v>
      </c>
      <c r="B13" s="32" t="n">
        <v>46120</v>
      </c>
      <c r="C13" s="33" t="n">
        <v>0.791666666666667</v>
      </c>
      <c r="D13" s="34" t="n">
        <v>0.916666666666667</v>
      </c>
      <c r="E13" s="33"/>
      <c r="F13" s="34"/>
      <c r="G13" s="33"/>
      <c r="H13" s="34"/>
      <c r="I13" s="33" t="n">
        <f aca="false">SUM(D13-C13, F13-E13, H13-G13)</f>
        <v>0.125</v>
      </c>
      <c r="J13" s="35" t="s">
        <v>46</v>
      </c>
      <c r="K13" s="1" t="n">
        <f aca="false">SUM((D13-C13)*0.25*24)</f>
        <v>0.75</v>
      </c>
    </row>
    <row r="14" customFormat="false" ht="17.25" hidden="false" customHeight="true" outlineLevel="0" collapsed="false">
      <c r="A14" s="27" t="str">
        <f aca="false">IF(B14&gt;0,PROPER(TEXT(B14,"dddd")),"")</f>
        <v>Jueves</v>
      </c>
      <c r="B14" s="32" t="n">
        <v>46121</v>
      </c>
      <c r="C14" s="33" t="n">
        <v>0.791666666666667</v>
      </c>
      <c r="D14" s="34" t="n">
        <v>0.916666666666667</v>
      </c>
      <c r="E14" s="33"/>
      <c r="F14" s="34"/>
      <c r="G14" s="33"/>
      <c r="H14" s="34"/>
      <c r="I14" s="33" t="n">
        <f aca="false">SUM(D14-C14, F14-E14, H14-G14)</f>
        <v>0.125</v>
      </c>
      <c r="J14" s="35" t="s">
        <v>47</v>
      </c>
      <c r="K14" s="1" t="n">
        <f aca="false">SUM((D14-C14)*0.25*24)</f>
        <v>0.75</v>
      </c>
    </row>
    <row r="15" customFormat="false" ht="17.25" hidden="false" customHeight="true" outlineLevel="0" collapsed="false">
      <c r="A15" s="27" t="str">
        <f aca="false">IF(B15&gt;0,PROPER(TEXT(B15,"dddd")),"")</f>
        <v>Viernes</v>
      </c>
      <c r="B15" s="32" t="n">
        <v>46122</v>
      </c>
      <c r="C15" s="33" t="n">
        <v>0.791666666666667</v>
      </c>
      <c r="D15" s="34" t="n">
        <v>0.916666666666667</v>
      </c>
      <c r="E15" s="33"/>
      <c r="F15" s="34"/>
      <c r="G15" s="33"/>
      <c r="H15" s="34"/>
      <c r="I15" s="33" t="n">
        <f aca="false">SUM(D15-C15, F15-E15, H15-G15)</f>
        <v>0.125</v>
      </c>
      <c r="J15" s="35" t="s">
        <v>48</v>
      </c>
      <c r="K15" s="1" t="n">
        <f aca="false">SUM((D15-C15)*0.25*24)</f>
        <v>0.75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t="n">
        <v>0.708333333333333</v>
      </c>
      <c r="D22" s="34" t="n">
        <v>0.792361111111111</v>
      </c>
      <c r="E22" s="33"/>
      <c r="F22" s="34"/>
      <c r="G22" s="33"/>
      <c r="H22" s="34"/>
      <c r="I22" s="33" t="n">
        <f aca="false">SUM(D22-C22, F22-E22, H22-G22)</f>
        <v>0.0840277777777778</v>
      </c>
      <c r="J22" s="35" t="s">
        <v>49</v>
      </c>
      <c r="K22" s="1" t="n">
        <f aca="false">SUM((D22-C22)*1.5*24)</f>
        <v>3.025</v>
      </c>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t="n">
        <v>0.791666666666667</v>
      </c>
      <c r="D32" s="34" t="n">
        <v>0.916666666666667</v>
      </c>
      <c r="E32" s="33"/>
      <c r="F32" s="34"/>
      <c r="G32" s="33"/>
      <c r="H32" s="34"/>
      <c r="I32" s="33" t="n">
        <f aca="false">SUM(D32-C32, F32-E32, H32-G32)</f>
        <v>0.125</v>
      </c>
      <c r="J32" s="35" t="s">
        <v>50</v>
      </c>
      <c r="K32" s="1" t="n">
        <f aca="false">SUM((D32-C32)*0.25*24)</f>
        <v>0.75</v>
      </c>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5" activeCellId="0" sqref="I25"/>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54</v>
      </c>
      <c r="I2" s="8" t="n">
        <f aca="false">SUM(K6:K36)</f>
        <v>56.8583333333333</v>
      </c>
      <c r="J2" s="9" t="s">
        <v>3</v>
      </c>
    </row>
    <row r="3" customFormat="false" ht="18.75" hidden="false" customHeight="true" outlineLevel="0" collapsed="false">
      <c r="A3" s="10" t="s">
        <v>4</v>
      </c>
      <c r="B3" s="10"/>
      <c r="C3" s="10"/>
      <c r="D3" s="10"/>
      <c r="E3" s="11"/>
      <c r="F3" s="11"/>
      <c r="G3" s="11"/>
      <c r="H3" s="7" t="s">
        <v>55</v>
      </c>
      <c r="I3" s="12" t="n">
        <f aca="false">SUM(I6:I36)*24</f>
        <v>34.2</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t="n">
        <v>0.708333333333333</v>
      </c>
      <c r="D6" s="30" t="n">
        <v>0.90625</v>
      </c>
      <c r="E6" s="29"/>
      <c r="F6" s="30"/>
      <c r="G6" s="29"/>
      <c r="H6" s="30"/>
      <c r="I6" s="29" t="n">
        <f aca="false">SUM(D6-C6, F6-E6, H6-G6)</f>
        <v>0.197916666666667</v>
      </c>
      <c r="J6" s="31" t="s">
        <v>56</v>
      </c>
      <c r="K6" s="1" t="n">
        <f aca="false">SUM((D6-C6)*1.5*24)</f>
        <v>7.125</v>
      </c>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t="n">
        <v>0.826388888888889</v>
      </c>
      <c r="D9" s="34" t="n">
        <v>0.958333333333333</v>
      </c>
      <c r="E9" s="33"/>
      <c r="F9" s="34"/>
      <c r="G9" s="33"/>
      <c r="H9" s="34"/>
      <c r="I9" s="33" t="n">
        <f aca="false">SUM(D9-C9, F9-E9, H9-G9)</f>
        <v>0.131944444444444</v>
      </c>
      <c r="J9" s="35" t="s">
        <v>57</v>
      </c>
      <c r="K9" s="1" t="n">
        <f aca="false">SUM((D9-C9)*2*24)</f>
        <v>6.33333333333333</v>
      </c>
    </row>
    <row r="10" customFormat="false" ht="17.25" hidden="false" customHeight="true" outlineLevel="0" collapsed="false">
      <c r="A10" s="27" t="str">
        <f aca="false">IF(B10&gt;0,PROPER(TEXT(B10,"dddd")),"")</f>
        <v>Domingo</v>
      </c>
      <c r="B10" s="32" t="n">
        <v>46117</v>
      </c>
      <c r="C10" s="33" t="n">
        <v>0.375</v>
      </c>
      <c r="D10" s="34" t="n">
        <v>0.569444444444444</v>
      </c>
      <c r="E10" s="33"/>
      <c r="F10" s="34"/>
      <c r="G10" s="33"/>
      <c r="H10" s="34"/>
      <c r="I10" s="33" t="n">
        <f aca="false">SUM(D10-C10, F10-E10, H10-G10)</f>
        <v>0.194444444444444</v>
      </c>
      <c r="J10" s="35" t="s">
        <v>58</v>
      </c>
      <c r="K10" s="1" t="n">
        <f aca="false">SUM((D10-C10)*2*24)</f>
        <v>9.33333333333333</v>
      </c>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t="n">
        <v>0.256944444444444</v>
      </c>
      <c r="D13" s="34" t="n">
        <v>0.333333333333333</v>
      </c>
      <c r="E13" s="33"/>
      <c r="F13" s="34"/>
      <c r="G13" s="33"/>
      <c r="H13" s="34"/>
      <c r="I13" s="33" t="n">
        <f aca="false">SUM(D13-C13, F13-E13, H13-G13)</f>
        <v>0.0763888888888889</v>
      </c>
      <c r="J13" s="35" t="s">
        <v>59</v>
      </c>
      <c r="K13" s="1" t="n">
        <f aca="false">SUM((D13-C13)*1.5*24)</f>
        <v>2.75</v>
      </c>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t="n">
        <v>0.708333333333333</v>
      </c>
      <c r="D18" s="34" t="n">
        <v>0.875</v>
      </c>
      <c r="E18" s="33"/>
      <c r="F18" s="34"/>
      <c r="G18" s="33"/>
      <c r="H18" s="34"/>
      <c r="I18" s="33" t="n">
        <f aca="false">SUM(D18-C18, F18-E18, H18-G18)</f>
        <v>0.166666666666667</v>
      </c>
      <c r="J18" s="35" t="s">
        <v>60</v>
      </c>
      <c r="K18" s="1" t="n">
        <f aca="false">SUM((D18-C18)*1.5*24)</f>
        <v>6</v>
      </c>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t="n">
        <v>0.708333333333333</v>
      </c>
      <c r="D20" s="34" t="n">
        <v>0.840972222222222</v>
      </c>
      <c r="E20" s="33"/>
      <c r="F20" s="34"/>
      <c r="G20" s="33"/>
      <c r="H20" s="34"/>
      <c r="I20" s="33" t="n">
        <f aca="false">SUM(D20-C20, F20-E20, H20-G20)</f>
        <v>0.132638888888889</v>
      </c>
      <c r="J20" s="35" t="s">
        <v>61</v>
      </c>
      <c r="K20" s="1" t="n">
        <f aca="false">SUM((D20-C20)*1.5*24)</f>
        <v>4.775</v>
      </c>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t="n">
        <v>0.451388888888889</v>
      </c>
      <c r="D24" s="34" t="n">
        <v>0.588194444444445</v>
      </c>
      <c r="E24" s="33"/>
      <c r="F24" s="34"/>
      <c r="G24" s="33"/>
      <c r="H24" s="34"/>
      <c r="I24" s="33" t="n">
        <f aca="false">SUM(D24-C24, F24-E24, H24-G24)</f>
        <v>0.136805555555556</v>
      </c>
      <c r="J24" s="35" t="s">
        <v>62</v>
      </c>
      <c r="K24" s="1" t="n">
        <f aca="false">SUM((D24-C24)*2*24)</f>
        <v>6.56666666666667</v>
      </c>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t="n">
        <v>0.708333333333333</v>
      </c>
      <c r="D28" s="34" t="n">
        <v>0.800694444444445</v>
      </c>
      <c r="E28" s="33" t="n">
        <v>0.828472222222222</v>
      </c>
      <c r="F28" s="34" t="n">
        <v>0.999305555555556</v>
      </c>
      <c r="G28" s="33"/>
      <c r="H28" s="34"/>
      <c r="I28" s="33" t="n">
        <f aca="false">SUM(D28-C28, F28-E28, H28-G28)</f>
        <v>0.263194444444444</v>
      </c>
      <c r="J28" s="35" t="s">
        <v>63</v>
      </c>
      <c r="K28" s="1" t="n">
        <f aca="false">SUM((D28-C28)*1.5*24,(F28-E28)*1.5*24)</f>
        <v>9.475</v>
      </c>
    </row>
    <row r="29" customFormat="false" ht="17.25" hidden="false" customHeight="true" outlineLevel="0" collapsed="false">
      <c r="A29" s="27" t="str">
        <f aca="false">IF(B29&gt;0,PROPER(TEXT(B29,"dddd")),"")</f>
        <v>Viernes</v>
      </c>
      <c r="B29" s="32" t="n">
        <v>46136</v>
      </c>
      <c r="C29" s="33" t="n">
        <v>0.708333333333333</v>
      </c>
      <c r="D29" s="34" t="n">
        <v>0.833333333333333</v>
      </c>
      <c r="E29" s="33"/>
      <c r="F29" s="34"/>
      <c r="G29" s="33"/>
      <c r="H29" s="34"/>
      <c r="I29" s="33" t="n">
        <f aca="false">SUM(D29-C29, F29-E29, H29-G29)</f>
        <v>0.125</v>
      </c>
      <c r="J29" s="35" t="s">
        <v>64</v>
      </c>
      <c r="K29" s="1" t="n">
        <f aca="false">SUM((D29-C29)*1.5*24)</f>
        <v>4.5</v>
      </c>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65</v>
      </c>
      <c r="I2" s="8" t="n">
        <f aca="false">SUM(K6:K36)</f>
        <v>57.8333333333333</v>
      </c>
      <c r="J2" s="9" t="s">
        <v>3</v>
      </c>
    </row>
    <row r="3" customFormat="false" ht="18.75" hidden="false" customHeight="true" outlineLevel="0" collapsed="false">
      <c r="A3" s="10" t="s">
        <v>4</v>
      </c>
      <c r="B3" s="10"/>
      <c r="C3" s="10"/>
      <c r="D3" s="10"/>
      <c r="E3" s="11"/>
      <c r="F3" s="11"/>
      <c r="G3" s="11"/>
      <c r="H3" s="7" t="s">
        <v>55</v>
      </c>
      <c r="I3" s="12" t="n">
        <f aca="false">SUM(I6:I36)*24</f>
        <v>34.85</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t="n">
        <v>0.708333333333333</v>
      </c>
      <c r="D6" s="30" t="n">
        <v>0.90625</v>
      </c>
      <c r="E6" s="29"/>
      <c r="F6" s="30"/>
      <c r="G6" s="29"/>
      <c r="H6" s="30"/>
      <c r="I6" s="29" t="n">
        <f aca="false">SUM(D6-C6, F6-E6, H6-G6)</f>
        <v>0.197916666666667</v>
      </c>
      <c r="J6" s="31" t="s">
        <v>56</v>
      </c>
      <c r="K6" s="1" t="n">
        <f aca="false">SUM((D6-C6)*1.5*24)</f>
        <v>7.125</v>
      </c>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t="n">
        <v>0.826388888888889</v>
      </c>
      <c r="D9" s="34" t="n">
        <v>0.958333333333333</v>
      </c>
      <c r="E9" s="33"/>
      <c r="F9" s="34"/>
      <c r="G9" s="33"/>
      <c r="H9" s="34"/>
      <c r="I9" s="33" t="n">
        <f aca="false">SUM(D9-C9, F9-E9, H9-G9)</f>
        <v>0.131944444444444</v>
      </c>
      <c r="J9" s="35" t="s">
        <v>57</v>
      </c>
      <c r="K9" s="1" t="n">
        <f aca="false">SUM((D9-C9)*2*24)</f>
        <v>6.33333333333333</v>
      </c>
    </row>
    <row r="10" customFormat="false" ht="17.25" hidden="false" customHeight="true" outlineLevel="0" collapsed="false">
      <c r="A10" s="27" t="str">
        <f aca="false">IF(B10&gt;0,PROPER(TEXT(B10,"dddd")),"")</f>
        <v>Domingo</v>
      </c>
      <c r="B10" s="32" t="n">
        <v>46117</v>
      </c>
      <c r="C10" s="33" t="n">
        <v>0.375</v>
      </c>
      <c r="D10" s="34" t="n">
        <v>0.569444444444444</v>
      </c>
      <c r="E10" s="33"/>
      <c r="F10" s="34"/>
      <c r="G10" s="33"/>
      <c r="H10" s="34"/>
      <c r="I10" s="33" t="n">
        <f aca="false">SUM(D10-C10, F10-E10, H10-G10)</f>
        <v>0.194444444444444</v>
      </c>
      <c r="J10" s="35" t="s">
        <v>58</v>
      </c>
      <c r="K10" s="1" t="n">
        <f aca="false">SUM((D10-C10)*2*24)</f>
        <v>9.33333333333333</v>
      </c>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t="n">
        <v>0.256944444444444</v>
      </c>
      <c r="D13" s="34" t="n">
        <v>0.333333333333333</v>
      </c>
      <c r="E13" s="33"/>
      <c r="F13" s="34"/>
      <c r="G13" s="33"/>
      <c r="H13" s="34"/>
      <c r="I13" s="33" t="n">
        <f aca="false">SUM(D13-C13, F13-E13, H13-G13)</f>
        <v>0.0763888888888889</v>
      </c>
      <c r="J13" s="35" t="s">
        <v>59</v>
      </c>
      <c r="K13" s="1" t="n">
        <f aca="false">SUM((D13-C13)*1.5*24)</f>
        <v>2.75</v>
      </c>
    </row>
    <row r="14" customFormat="false" ht="17.25" hidden="false" customHeight="true" outlineLevel="0" collapsed="false">
      <c r="A14" s="27" t="str">
        <f aca="false">IF(B14&gt;0,PROPER(TEXT(B14,"dddd")),"")</f>
        <v>Jueves</v>
      </c>
      <c r="B14" s="32" t="n">
        <v>46121</v>
      </c>
      <c r="C14" s="33" t="n">
        <v>0.833333333333333</v>
      </c>
      <c r="D14" s="34" t="n">
        <v>0.934027777777778</v>
      </c>
      <c r="E14" s="33"/>
      <c r="F14" s="34"/>
      <c r="G14" s="33"/>
      <c r="H14" s="34"/>
      <c r="I14" s="33" t="n">
        <f aca="false">SUM(D14-C14, F14-E14, H14-G14)</f>
        <v>0.100694444444444</v>
      </c>
      <c r="J14" s="35" t="s">
        <v>66</v>
      </c>
      <c r="K14" s="1" t="n">
        <f aca="false">SUM((D14-C14)*1.5*24)</f>
        <v>3.625</v>
      </c>
    </row>
    <row r="15" customFormat="false" ht="17.25" hidden="false" customHeight="true" outlineLevel="0" collapsed="false">
      <c r="A15" s="27" t="str">
        <f aca="false">IF(B15&gt;0,PROPER(TEXT(B15,"dddd")),"")</f>
        <v>Viernes</v>
      </c>
      <c r="B15" s="32" t="n">
        <v>46122</v>
      </c>
      <c r="C15" s="33" t="n">
        <v>0.802083333333333</v>
      </c>
      <c r="D15" s="34" t="n">
        <v>0.899305555555556</v>
      </c>
      <c r="E15" s="33"/>
      <c r="F15" s="34"/>
      <c r="G15" s="33"/>
      <c r="H15" s="34"/>
      <c r="I15" s="33" t="n">
        <f aca="false">SUM(D15-C15, F15-E15, H15-G15)</f>
        <v>0.0972222222222222</v>
      </c>
      <c r="J15" s="35" t="s">
        <v>67</v>
      </c>
      <c r="K15" s="1" t="n">
        <f aca="false">SUM((D15-C15)*1.5*24)</f>
        <v>3.5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t="n">
        <v>0.708333333333333</v>
      </c>
      <c r="D18" s="34" t="n">
        <v>0.875</v>
      </c>
      <c r="E18" s="33"/>
      <c r="F18" s="34"/>
      <c r="G18" s="33"/>
      <c r="H18" s="34"/>
      <c r="I18" s="33" t="n">
        <f aca="false">SUM(D18-C18, F18-E18, H18-G18)</f>
        <v>0.166666666666667</v>
      </c>
      <c r="J18" s="35" t="s">
        <v>60</v>
      </c>
      <c r="K18" s="1" t="n">
        <f aca="false">SUM((D18-C18)*1.5*24)</f>
        <v>6</v>
      </c>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t="n">
        <v>0.708333333333333</v>
      </c>
      <c r="D20" s="34" t="n">
        <v>0.840972222222222</v>
      </c>
      <c r="E20" s="33"/>
      <c r="F20" s="34"/>
      <c r="G20" s="33"/>
      <c r="H20" s="34"/>
      <c r="I20" s="33" t="n">
        <f aca="false">SUM(D20-C20, F20-E20, H20-G20)</f>
        <v>0.132638888888889</v>
      </c>
      <c r="J20" s="35" t="s">
        <v>61</v>
      </c>
      <c r="K20" s="1" t="n">
        <f aca="false">SUM((D20-C20)*1.5*24)</f>
        <v>4.775</v>
      </c>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t="n">
        <v>0.451388888888889</v>
      </c>
      <c r="D24" s="34" t="n">
        <v>0.588194444444445</v>
      </c>
      <c r="E24" s="33"/>
      <c r="F24" s="34"/>
      <c r="G24" s="33"/>
      <c r="H24" s="34"/>
      <c r="I24" s="33" t="n">
        <f aca="false">SUM(D24-C24, F24-E24, H24-G24)</f>
        <v>0.136805555555556</v>
      </c>
      <c r="J24" s="35" t="s">
        <v>62</v>
      </c>
      <c r="K24" s="1" t="n">
        <f aca="false">SUM((D24-C24)*2*24)</f>
        <v>6.56666666666667</v>
      </c>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t="n">
        <v>0.708333333333333</v>
      </c>
      <c r="D28" s="34" t="n">
        <v>0.800694444444445</v>
      </c>
      <c r="E28" s="33"/>
      <c r="F28" s="34"/>
      <c r="G28" s="33"/>
      <c r="H28" s="34"/>
      <c r="I28" s="33" t="n">
        <f aca="false">SUM(D28-C28, F28-E28, H28-G28)</f>
        <v>0.0923611111111111</v>
      </c>
      <c r="J28" s="35" t="s">
        <v>63</v>
      </c>
      <c r="K28" s="1" t="n">
        <f aca="false">SUM((D28-C28)*1.5*24)</f>
        <v>3.325</v>
      </c>
    </row>
    <row r="29" customFormat="false" ht="17.25" hidden="false" customHeight="true" outlineLevel="0" collapsed="false">
      <c r="A29" s="27" t="str">
        <f aca="false">IF(B29&gt;0,PROPER(TEXT(B29,"dddd")),"")</f>
        <v>Viernes</v>
      </c>
      <c r="B29" s="32" t="n">
        <v>46136</v>
      </c>
      <c r="C29" s="33" t="n">
        <v>0.708333333333333</v>
      </c>
      <c r="D29" s="34" t="n">
        <v>0.833333333333333</v>
      </c>
      <c r="E29" s="33"/>
      <c r="F29" s="34"/>
      <c r="G29" s="33"/>
      <c r="H29" s="34"/>
      <c r="I29" s="33" t="n">
        <f aca="false">SUM(D29-C29, F29-E29, H29-G29)</f>
        <v>0.125</v>
      </c>
      <c r="J29" s="35" t="s">
        <v>64</v>
      </c>
      <c r="K29" s="1" t="n">
        <f aca="false">SUM((D29-C29)*1.5*24)</f>
        <v>4.5</v>
      </c>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68</v>
      </c>
      <c r="I2" s="8" t="n">
        <f aca="false">SUM(K6:K36)</f>
        <v>41.75</v>
      </c>
      <c r="J2" s="9" t="s">
        <v>3</v>
      </c>
    </row>
    <row r="3" customFormat="false" ht="18.75" hidden="false" customHeight="true" outlineLevel="0" collapsed="false">
      <c r="A3" s="10" t="s">
        <v>4</v>
      </c>
      <c r="B3" s="10"/>
      <c r="C3" s="10"/>
      <c r="D3" s="10"/>
      <c r="E3" s="11"/>
      <c r="F3" s="11"/>
      <c r="G3" s="11"/>
      <c r="H3" s="7" t="s">
        <v>55</v>
      </c>
      <c r="I3" s="12" t="n">
        <f aca="false">SUM(I6:I36)*24</f>
        <v>27.8333333333333</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t="n">
        <v>0.708333333333333</v>
      </c>
      <c r="D6" s="30" t="n">
        <v>0.90625</v>
      </c>
      <c r="E6" s="29"/>
      <c r="F6" s="30"/>
      <c r="G6" s="29"/>
      <c r="H6" s="30"/>
      <c r="I6" s="29" t="n">
        <f aca="false">SUM(D6-C6, F6-E6, H6-G6)</f>
        <v>0.197916666666667</v>
      </c>
      <c r="J6" s="31" t="s">
        <v>56</v>
      </c>
      <c r="K6" s="1" t="n">
        <f aca="false">SUM((D6-C6)*1.5*24)</f>
        <v>7.125</v>
      </c>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t="n">
        <v>0.256944444444444</v>
      </c>
      <c r="D13" s="34" t="n">
        <v>0.333333333333333</v>
      </c>
      <c r="E13" s="33"/>
      <c r="F13" s="34"/>
      <c r="G13" s="33"/>
      <c r="H13" s="34"/>
      <c r="I13" s="33" t="n">
        <f aca="false">SUM(D13-C13, F13-E13, H13-G13)</f>
        <v>0.0763888888888889</v>
      </c>
      <c r="J13" s="35" t="s">
        <v>59</v>
      </c>
      <c r="K13" s="1" t="n">
        <f aca="false">SUM((D13-C13)*1.5*24)</f>
        <v>2.75</v>
      </c>
    </row>
    <row r="14" customFormat="false" ht="17.25" hidden="false" customHeight="true" outlineLevel="0" collapsed="false">
      <c r="A14" s="27" t="str">
        <f aca="false">IF(B14&gt;0,PROPER(TEXT(B14,"dddd")),"")</f>
        <v>Jueves</v>
      </c>
      <c r="B14" s="32" t="n">
        <v>46121</v>
      </c>
      <c r="C14" s="33" t="n">
        <v>0.833333333333333</v>
      </c>
      <c r="D14" s="34" t="n">
        <v>0.934027777777778</v>
      </c>
      <c r="E14" s="33"/>
      <c r="F14" s="34"/>
      <c r="G14" s="33"/>
      <c r="H14" s="34"/>
      <c r="I14" s="33" t="n">
        <f aca="false">SUM(D14-C14, F14-E14, H14-G14)</f>
        <v>0.100694444444444</v>
      </c>
      <c r="J14" s="35" t="s">
        <v>66</v>
      </c>
      <c r="K14" s="1" t="n">
        <f aca="false">SUM((D14-C14)*1.5*24)</f>
        <v>3.625</v>
      </c>
    </row>
    <row r="15" customFormat="false" ht="17.25" hidden="false" customHeight="true" outlineLevel="0" collapsed="false">
      <c r="A15" s="27" t="str">
        <f aca="false">IF(B15&gt;0,PROPER(TEXT(B15,"dddd")),"")</f>
        <v>Viernes</v>
      </c>
      <c r="B15" s="32" t="n">
        <v>46122</v>
      </c>
      <c r="C15" s="33" t="n">
        <v>0.802083333333333</v>
      </c>
      <c r="D15" s="34" t="n">
        <v>0.899305555555556</v>
      </c>
      <c r="E15" s="33"/>
      <c r="F15" s="34"/>
      <c r="G15" s="33"/>
      <c r="H15" s="34"/>
      <c r="I15" s="33" t="n">
        <f aca="false">SUM(D15-C15, F15-E15, H15-G15)</f>
        <v>0.0972222222222222</v>
      </c>
      <c r="J15" s="35" t="s">
        <v>67</v>
      </c>
      <c r="K15" s="1" t="n">
        <f aca="false">SUM((D15-C15)*1.5*24)</f>
        <v>3.5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t="n">
        <v>0.708333333333333</v>
      </c>
      <c r="D18" s="34" t="n">
        <v>0.875</v>
      </c>
      <c r="E18" s="33"/>
      <c r="F18" s="34"/>
      <c r="G18" s="33"/>
      <c r="H18" s="34"/>
      <c r="I18" s="33" t="n">
        <f aca="false">SUM(D18-C18, F18-E18, H18-G18)</f>
        <v>0.166666666666667</v>
      </c>
      <c r="J18" s="35" t="s">
        <v>60</v>
      </c>
      <c r="K18" s="1" t="n">
        <f aca="false">SUM((D18-C18)*1.5*24)</f>
        <v>6</v>
      </c>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t="n">
        <v>0.708333333333333</v>
      </c>
      <c r="D20" s="34" t="n">
        <v>0.840972222222222</v>
      </c>
      <c r="E20" s="33"/>
      <c r="F20" s="34"/>
      <c r="G20" s="33"/>
      <c r="H20" s="34"/>
      <c r="I20" s="33" t="n">
        <f aca="false">SUM(D20-C20, F20-E20, H20-G20)</f>
        <v>0.132638888888889</v>
      </c>
      <c r="J20" s="35" t="s">
        <v>61</v>
      </c>
      <c r="K20" s="1" t="n">
        <f aca="false">SUM((D20-C20)*1.5*24)</f>
        <v>4.775</v>
      </c>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t="n">
        <v>0.708333333333333</v>
      </c>
      <c r="D28" s="34" t="n">
        <v>0.800694444444445</v>
      </c>
      <c r="E28" s="33" t="n">
        <v>0.828472222222222</v>
      </c>
      <c r="F28" s="34" t="n">
        <v>0.999305555555556</v>
      </c>
      <c r="G28" s="33"/>
      <c r="H28" s="34"/>
      <c r="I28" s="33" t="n">
        <f aca="false">SUM(D28-C28, F28-E28, H28-G28)</f>
        <v>0.263194444444444</v>
      </c>
      <c r="J28" s="35" t="s">
        <v>63</v>
      </c>
      <c r="K28" s="1" t="n">
        <f aca="false">SUM((D28-C28)*1.5*24,(F28-E28)*1.5*24)</f>
        <v>9.475</v>
      </c>
    </row>
    <row r="29" customFormat="false" ht="17.25" hidden="false" customHeight="true" outlineLevel="0" collapsed="false">
      <c r="A29" s="27" t="str">
        <f aca="false">IF(B29&gt;0,PROPER(TEXT(B29,"dddd")),"")</f>
        <v>Viernes</v>
      </c>
      <c r="B29" s="32" t="n">
        <v>46136</v>
      </c>
      <c r="C29" s="33" t="n">
        <v>0.708333333333333</v>
      </c>
      <c r="D29" s="34" t="n">
        <v>0.833333333333333</v>
      </c>
      <c r="E29" s="33"/>
      <c r="F29" s="34"/>
      <c r="G29" s="33"/>
      <c r="H29" s="34"/>
      <c r="I29" s="33" t="n">
        <f aca="false">SUM(D29-C29, F29-E29, H29-G29)</f>
        <v>0.125</v>
      </c>
      <c r="J29" s="35" t="s">
        <v>64</v>
      </c>
      <c r="K29" s="1" t="n">
        <f aca="false">SUM((D29-C29)*1.5*24)</f>
        <v>4.5</v>
      </c>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69</v>
      </c>
      <c r="I2" s="8" t="n">
        <f aca="false">SUM(K6:K36)</f>
        <v>50.9416666666667</v>
      </c>
      <c r="J2" s="9" t="s">
        <v>3</v>
      </c>
    </row>
    <row r="3" customFormat="false" ht="18.75" hidden="false" customHeight="true" outlineLevel="0" collapsed="false">
      <c r="A3" s="10" t="s">
        <v>4</v>
      </c>
      <c r="B3" s="10"/>
      <c r="C3" s="10"/>
      <c r="D3" s="10"/>
      <c r="E3" s="11"/>
      <c r="F3" s="11"/>
      <c r="G3" s="11"/>
      <c r="H3" s="7" t="s">
        <v>70</v>
      </c>
      <c r="I3" s="12" t="n">
        <f aca="false">SUM(I6:I36)*24</f>
        <v>27.3666666666667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t="n">
        <v>0.28125</v>
      </c>
      <c r="D15" s="34" t="n">
        <v>0.333333333333333</v>
      </c>
      <c r="E15" s="33"/>
      <c r="F15" s="34"/>
      <c r="G15" s="33"/>
      <c r="H15" s="34"/>
      <c r="I15" s="33" t="n">
        <f aca="false">SUM(D15-C15, F15-E15, H15-G15)</f>
        <v>0.0520833333333333</v>
      </c>
      <c r="J15" s="35" t="s">
        <v>71</v>
      </c>
      <c r="K15" s="1" t="n">
        <f aca="false">SUM((D15-C15)*1.5*24)</f>
        <v>1.875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t="n">
        <v>0.25</v>
      </c>
      <c r="D21" s="34" t="n">
        <v>0.333333333333333</v>
      </c>
      <c r="E21" s="33"/>
      <c r="F21" s="34"/>
      <c r="G21" s="33"/>
      <c r="H21" s="34"/>
      <c r="I21" s="33" t="n">
        <f aca="false">SUM(D21-C21, F21-E21, H21-G21)</f>
        <v>0.0833333333333333</v>
      </c>
      <c r="J21" s="35" t="s">
        <v>72</v>
      </c>
      <c r="K21" s="1" t="n">
        <f aca="false">SUM((D21-C21)*1.5*24)</f>
        <v>3</v>
      </c>
    </row>
    <row r="22" customFormat="false" ht="17.25" hidden="false" customHeight="true" outlineLevel="0" collapsed="false">
      <c r="A22" s="27" t="str">
        <f aca="false">IF(B22&gt;0,PROPER(TEXT(B22,"dddd")),"")</f>
        <v>Viernes</v>
      </c>
      <c r="B22" s="32" t="n">
        <v>46129</v>
      </c>
      <c r="C22" s="33" t="n">
        <v>0.708333333333333</v>
      </c>
      <c r="D22" s="34" t="n">
        <v>0.8125</v>
      </c>
      <c r="E22" s="33"/>
      <c r="F22" s="34"/>
      <c r="G22" s="33"/>
      <c r="H22" s="34"/>
      <c r="I22" s="33" t="n">
        <f aca="false">SUM(D22-C22, F22-E22, H22-G22)</f>
        <v>0.104166666666667</v>
      </c>
      <c r="J22" s="35" t="s">
        <v>73</v>
      </c>
      <c r="K22" s="1" t="n">
        <f aca="false">SUM((D22-C22)*1.5*24)</f>
        <v>3.75</v>
      </c>
    </row>
    <row r="23" customFormat="false" ht="17.25" hidden="false" customHeight="true" outlineLevel="0" collapsed="false">
      <c r="A23" s="27" t="str">
        <f aca="false">IF(B23&gt;0,PROPER(TEXT(B23,"dddd")),"")</f>
        <v>Sábado</v>
      </c>
      <c r="B23" s="32" t="n">
        <v>46130</v>
      </c>
      <c r="C23" s="33" t="n">
        <v>0.4375</v>
      </c>
      <c r="D23" s="34" t="n">
        <v>0.541666666666667</v>
      </c>
      <c r="E23" s="33" t="n">
        <v>0.583333333333333</v>
      </c>
      <c r="F23" s="34" t="n">
        <v>0.847222222222222</v>
      </c>
      <c r="G23" s="33"/>
      <c r="H23" s="34"/>
      <c r="I23" s="33" t="n">
        <f aca="false">SUM(D23-C23, F23-E23, H23-G23)</f>
        <v>0.368055555555556</v>
      </c>
      <c r="J23" s="35" t="s">
        <v>74</v>
      </c>
      <c r="K23" s="1" t="n">
        <f aca="false">SUM((D23-C23)*2*24,(F23-E23)*2*24)</f>
        <v>17.6666666666667</v>
      </c>
    </row>
    <row r="24" customFormat="false" ht="17.25" hidden="false" customHeight="true" outlineLevel="0" collapsed="false">
      <c r="A24" s="27" t="str">
        <f aca="false">IF(B24&gt;0,PROPER(TEXT(B24,"dddd")),"")</f>
        <v>Domingo</v>
      </c>
      <c r="B24" s="32" t="n">
        <v>46131</v>
      </c>
      <c r="C24" s="33" t="n">
        <v>0.28125</v>
      </c>
      <c r="D24" s="34" t="n">
        <v>0.548611111111111</v>
      </c>
      <c r="E24" s="33" t="n">
        <v>0.696527777777778</v>
      </c>
      <c r="F24" s="34" t="n">
        <v>0.791666666666667</v>
      </c>
      <c r="G24" s="33"/>
      <c r="H24" s="34"/>
      <c r="I24" s="33" t="n">
        <f aca="false">SUM(D24-C24, F24-E24, H24-G24)</f>
        <v>0.3625</v>
      </c>
      <c r="J24" s="35" t="s">
        <v>75</v>
      </c>
      <c r="K24" s="1" t="n">
        <f aca="false">SUM((D24-C24)*2*24,(F24-E24)*2*24)</f>
        <v>17.4</v>
      </c>
    </row>
    <row r="25" customFormat="false" ht="17.25" hidden="false" customHeight="true" outlineLevel="0" collapsed="false">
      <c r="A25" s="27" t="str">
        <f aca="false">IF(B25&gt;0,PROPER(TEXT(B25,"dddd")),"")</f>
        <v>Lunes</v>
      </c>
      <c r="B25" s="32" t="n">
        <v>46132</v>
      </c>
      <c r="C25" s="33" t="n">
        <v>0.708333333333333</v>
      </c>
      <c r="D25" s="34" t="n">
        <v>0.784722222222222</v>
      </c>
      <c r="E25" s="33"/>
      <c r="F25" s="34"/>
      <c r="G25" s="33"/>
      <c r="H25" s="34"/>
      <c r="I25" s="33" t="n">
        <f aca="false">SUM(D25-C25, F25-E25, H25-G25)</f>
        <v>0.0763888888888889</v>
      </c>
      <c r="J25" s="35" t="s">
        <v>76</v>
      </c>
      <c r="K25" s="1" t="n">
        <f aca="false">SUM((D25-C25)*1.5*24)</f>
        <v>2.75</v>
      </c>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t="n">
        <v>0.239583333333333</v>
      </c>
      <c r="D28" s="34" t="n">
        <v>0.333333333333333</v>
      </c>
      <c r="E28" s="33"/>
      <c r="F28" s="34"/>
      <c r="G28" s="33"/>
      <c r="H28" s="34"/>
      <c r="I28" s="33" t="n">
        <f aca="false">SUM(D28-C28, F28-E28, H28-G28)</f>
        <v>0.09375</v>
      </c>
      <c r="J28" s="35" t="s">
        <v>77</v>
      </c>
      <c r="K28" s="1" t="n">
        <f aca="false">SUM((D28-C28)*2*24)</f>
        <v>4.5</v>
      </c>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78</v>
      </c>
      <c r="I2" s="8" t="n">
        <f aca="false">SUM(K6:K36)</f>
        <v>24.2583333333333</v>
      </c>
      <c r="J2" s="9" t="s">
        <v>3</v>
      </c>
    </row>
    <row r="3" customFormat="false" ht="18.75" hidden="false" customHeight="true" outlineLevel="0" collapsed="false">
      <c r="A3" s="10" t="s">
        <v>4</v>
      </c>
      <c r="B3" s="10"/>
      <c r="C3" s="10"/>
      <c r="D3" s="10"/>
      <c r="E3" s="11"/>
      <c r="F3" s="11"/>
      <c r="G3" s="11"/>
      <c r="H3" s="7" t="s">
        <v>70</v>
      </c>
      <c r="I3" s="12" t="n">
        <f aca="false">SUM(I6:I36)*24</f>
        <v>14.3</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t="n">
        <v>0.759722222222222</v>
      </c>
      <c r="D15" s="34" t="n">
        <v>0.823611111111111</v>
      </c>
      <c r="E15" s="33"/>
      <c r="F15" s="34"/>
      <c r="G15" s="33"/>
      <c r="H15" s="34"/>
      <c r="I15" s="33" t="n">
        <f aca="false">SUM(D15-C15, F15-E15, H15-G15)</f>
        <v>0.0638888888888889</v>
      </c>
      <c r="J15" s="35" t="s">
        <v>79</v>
      </c>
      <c r="K15" s="1" t="n">
        <f aca="false">SUM((D15-C15)*1.5*24)</f>
        <v>2.3</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t="n">
        <v>0.385416666666667</v>
      </c>
      <c r="D17" s="34" t="n">
        <v>0.476388888888889</v>
      </c>
      <c r="E17" s="33" t="n">
        <v>0.589583333333333</v>
      </c>
      <c r="F17" s="34" t="n">
        <v>0.732638888888889</v>
      </c>
      <c r="G17" s="33"/>
      <c r="H17" s="34"/>
      <c r="I17" s="33" t="n">
        <f aca="false">SUM(D17-C17, F17-E17, H17-G17)</f>
        <v>0.234027777777778</v>
      </c>
      <c r="J17" s="35" t="s">
        <v>80</v>
      </c>
      <c r="K17" s="1" t="n">
        <f aca="false">SUM((D17-C17)*2*24,(F17-E17)*2*24)</f>
        <v>11.2333333333333</v>
      </c>
    </row>
    <row r="18" customFormat="false" ht="17.25" hidden="false" customHeight="true" outlineLevel="0" collapsed="false">
      <c r="A18" s="27" t="str">
        <f aca="false">IF(B18&gt;0,PROPER(TEXT(B18,"dddd")),"")</f>
        <v>Lunes</v>
      </c>
      <c r="B18" s="32" t="n">
        <v>46125</v>
      </c>
      <c r="C18" s="33" t="n">
        <v>0.708333333333333</v>
      </c>
      <c r="D18" s="34" t="n">
        <v>0.771527777777778</v>
      </c>
      <c r="E18" s="33" t="n">
        <v>0.821527777777778</v>
      </c>
      <c r="F18" s="34" t="n">
        <v>0.952083333333333</v>
      </c>
      <c r="G18" s="33"/>
      <c r="H18" s="34"/>
      <c r="I18" s="33" t="n">
        <f aca="false">SUM(D18-C18, F18-E18, H18-G18)</f>
        <v>0.19375</v>
      </c>
      <c r="J18" s="35" t="s">
        <v>81</v>
      </c>
      <c r="K18" s="1" t="n">
        <f aca="false">SUM((D18-C18)*1.5*24,(F18-E18)*1.5*24)</f>
        <v>6.975</v>
      </c>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t="n">
        <v>0.708333333333333</v>
      </c>
      <c r="D22" s="34" t="n">
        <v>0.8125</v>
      </c>
      <c r="E22" s="33"/>
      <c r="F22" s="34"/>
      <c r="G22" s="33"/>
      <c r="H22" s="34"/>
      <c r="I22" s="33" t="n">
        <f aca="false">SUM(D22-C22, F22-E22, H22-G22)</f>
        <v>0.104166666666667</v>
      </c>
      <c r="J22" s="35" t="s">
        <v>82</v>
      </c>
      <c r="K22" s="1" t="n">
        <f aca="false">SUM((D22-C22)*1.5*24)</f>
        <v>3.75</v>
      </c>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83</v>
      </c>
      <c r="I2" s="8" t="n">
        <f aca="false">SUM(K6:K36)</f>
        <v>49.4416666666667</v>
      </c>
      <c r="J2" s="9" t="s">
        <v>3</v>
      </c>
    </row>
    <row r="3" customFormat="false" ht="18.75" hidden="false" customHeight="true" outlineLevel="0" collapsed="false">
      <c r="A3" s="10" t="s">
        <v>4</v>
      </c>
      <c r="B3" s="10"/>
      <c r="C3" s="10"/>
      <c r="D3" s="10"/>
      <c r="E3" s="11"/>
      <c r="F3" s="11"/>
      <c r="G3" s="11"/>
      <c r="H3" s="7" t="s">
        <v>70</v>
      </c>
      <c r="I3" s="12" t="n">
        <f aca="false">SUM(I6:I36)*24</f>
        <v>28.45</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t="n">
        <v>0.586805555555556</v>
      </c>
      <c r="D16" s="34" t="n">
        <v>0.786111111111111</v>
      </c>
      <c r="E16" s="33"/>
      <c r="F16" s="34"/>
      <c r="G16" s="33"/>
      <c r="H16" s="34"/>
      <c r="I16" s="33" t="n">
        <f aca="false">SUM(D16-C16, F16-E16, H16-G16)</f>
        <v>0.199305555555556</v>
      </c>
      <c r="J16" s="35" t="s">
        <v>84</v>
      </c>
      <c r="K16" s="1" t="n">
        <f aca="false">SUM((D16-C16)*2*24)</f>
        <v>9.56666666666667</v>
      </c>
    </row>
    <row r="17" customFormat="false" ht="17.25" hidden="false" customHeight="true" outlineLevel="0" collapsed="false">
      <c r="A17" s="27" t="str">
        <f aca="false">IF(B17&gt;0,PROPER(TEXT(B17,"dddd")),"")</f>
        <v>Domingo</v>
      </c>
      <c r="B17" s="32" t="n">
        <v>46124</v>
      </c>
      <c r="C17" s="33" t="n">
        <v>0.586805555555556</v>
      </c>
      <c r="D17" s="34" t="n">
        <v>0.791666666666667</v>
      </c>
      <c r="E17" s="33"/>
      <c r="F17" s="34"/>
      <c r="G17" s="33"/>
      <c r="H17" s="34"/>
      <c r="I17" s="33" t="n">
        <f aca="false">SUM(D17-C17, F17-E17, H17-G17)</f>
        <v>0.204861111111111</v>
      </c>
      <c r="J17" s="35" t="s">
        <v>85</v>
      </c>
      <c r="K17" s="1" t="n">
        <f aca="false">SUM((D17-C17)*2*24)</f>
        <v>9.83333333333333</v>
      </c>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t="n">
        <v>0.708333333333333</v>
      </c>
      <c r="D22" s="34" t="n">
        <v>0.8125</v>
      </c>
      <c r="E22" s="33"/>
      <c r="F22" s="34"/>
      <c r="G22" s="33"/>
      <c r="H22" s="34"/>
      <c r="I22" s="33" t="n">
        <f aca="false">SUM(D22-C22, F22-E22, H22-G22)</f>
        <v>0.104166666666667</v>
      </c>
      <c r="J22" s="35" t="s">
        <v>82</v>
      </c>
      <c r="K22" s="1" t="n">
        <f aca="false">SUM((D22-C22)*1.5*24)</f>
        <v>3.75</v>
      </c>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t="n">
        <v>0.708333333333333</v>
      </c>
      <c r="D25" s="34" t="n">
        <v>0.784722222222222</v>
      </c>
      <c r="E25" s="33" t="n">
        <v>0.784722222222222</v>
      </c>
      <c r="F25" s="34" t="n">
        <v>0.948611111111111</v>
      </c>
      <c r="G25" s="33"/>
      <c r="H25" s="34"/>
      <c r="I25" s="33" t="n">
        <f aca="false">SUM(D25-C25, F25-E25, H25-G25)</f>
        <v>0.240277777777778</v>
      </c>
      <c r="J25" s="35" t="s">
        <v>76</v>
      </c>
      <c r="K25" s="1" t="n">
        <f aca="false">SUM((D25-C25)*1.5*24,(F25-E25)*1.5*24)</f>
        <v>8.65</v>
      </c>
    </row>
    <row r="26" customFormat="false" ht="17.25" hidden="false" customHeight="true" outlineLevel="0" collapsed="false">
      <c r="A26" s="27" t="str">
        <f aca="false">IF(B26&gt;0,PROPER(TEXT(B26,"dddd")),"")</f>
        <v>Martes</v>
      </c>
      <c r="B26" s="32" t="n">
        <v>46133</v>
      </c>
      <c r="C26" s="33" t="n">
        <v>0.0534722222222222</v>
      </c>
      <c r="D26" s="34" t="n">
        <v>0.136805555555556</v>
      </c>
      <c r="E26" s="33"/>
      <c r="F26" s="34"/>
      <c r="G26" s="33"/>
      <c r="H26" s="34"/>
      <c r="I26" s="33" t="n">
        <f aca="false">SUM(D26-C26, F26-E26, H26-G26)</f>
        <v>0.0833333333333333</v>
      </c>
      <c r="J26" s="35" t="s">
        <v>86</v>
      </c>
      <c r="K26" s="1" t="n">
        <f aca="false">SUM((D26-C26)*2*24)</f>
        <v>4</v>
      </c>
    </row>
    <row r="27" customFormat="false" ht="17.25" hidden="false" customHeight="true" outlineLevel="0" collapsed="false">
      <c r="A27" s="27" t="str">
        <f aca="false">IF(B27&gt;0,PROPER(TEXT(B27,"dddd")),"")</f>
        <v>Miércoles</v>
      </c>
      <c r="B27" s="32" t="n">
        <v>46134</v>
      </c>
      <c r="C27" s="33" t="n">
        <v>0.708333333333333</v>
      </c>
      <c r="D27" s="34" t="n">
        <v>0.834027777777778</v>
      </c>
      <c r="E27" s="33" t="n">
        <v>0.854166666666667</v>
      </c>
      <c r="F27" s="34" t="n">
        <v>0.938194444444444</v>
      </c>
      <c r="G27" s="33"/>
      <c r="H27" s="34"/>
      <c r="I27" s="33" t="n">
        <f aca="false">SUM(D27-C27, F27-E27, H27-G27)</f>
        <v>0.209722222222222</v>
      </c>
      <c r="J27" s="35" t="s">
        <v>87</v>
      </c>
      <c r="K27" s="1" t="n">
        <f aca="false">SUM((D27-C27)*1.5*24,(F27-E27)*1.5*24)</f>
        <v>7.55</v>
      </c>
    </row>
    <row r="28" customFormat="false" ht="17.25" hidden="false" customHeight="true" outlineLevel="0" collapsed="false">
      <c r="A28" s="27" t="str">
        <f aca="false">IF(B28&gt;0,PROPER(TEXT(B28,"dddd")),"")</f>
        <v>Jueves</v>
      </c>
      <c r="B28" s="32" t="n">
        <v>46135</v>
      </c>
      <c r="C28" s="33" t="n">
        <v>0.850694444444444</v>
      </c>
      <c r="D28" s="34" t="n">
        <v>0.918055555555556</v>
      </c>
      <c r="E28" s="33"/>
      <c r="F28" s="34"/>
      <c r="G28" s="33"/>
      <c r="H28" s="34"/>
      <c r="I28" s="33" t="n">
        <f aca="false">SUM(D28-C28, F28-E28, H28-G28)</f>
        <v>0.0673611111111111</v>
      </c>
      <c r="J28" s="35" t="s">
        <v>88</v>
      </c>
      <c r="K28" s="1" t="n">
        <f aca="false">SUM((D28-C28)*1.5*24)</f>
        <v>2.425</v>
      </c>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t="n">
        <v>0.480555555555556</v>
      </c>
      <c r="D30" s="34" t="n">
        <v>0.513888888888889</v>
      </c>
      <c r="E30" s="33"/>
      <c r="F30" s="34"/>
      <c r="G30" s="33"/>
      <c r="H30" s="34"/>
      <c r="I30" s="33" t="n">
        <f aca="false">SUM(D30-C30, F30-E30, H30-G30)</f>
        <v>0.0333333333333333</v>
      </c>
      <c r="J30" s="35" t="s">
        <v>89</v>
      </c>
      <c r="K30" s="1" t="n">
        <f aca="false">SUM((D30-C30)*2*24)</f>
        <v>1.6</v>
      </c>
    </row>
    <row r="31" customFormat="false" ht="17.25" hidden="false" customHeight="true" outlineLevel="0" collapsed="false">
      <c r="A31" s="27" t="str">
        <f aca="false">IF(B31&gt;0,PROPER(TEXT(B31,"dddd")),"")</f>
        <v>Domingo</v>
      </c>
      <c r="B31" s="32" t="n">
        <v>46138</v>
      </c>
      <c r="C31" s="33" t="n">
        <v>0.582638888888889</v>
      </c>
      <c r="D31" s="34" t="n">
        <v>0.625694444444444</v>
      </c>
      <c r="E31" s="33"/>
      <c r="F31" s="34"/>
      <c r="G31" s="33"/>
      <c r="H31" s="34"/>
      <c r="I31" s="33" t="n">
        <f aca="false">SUM(D31-C31, F31-E31, H31-G31)</f>
        <v>0.0430555555555556</v>
      </c>
      <c r="J31" s="35" t="s">
        <v>90</v>
      </c>
      <c r="K31" s="1" t="n">
        <f aca="false">SUM((D31-C31)*2*24)</f>
        <v>2.06666666666667</v>
      </c>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91</v>
      </c>
      <c r="I2" s="8" t="n">
        <f aca="false">SUM(K6:K36)</f>
        <v>54.9166666666667</v>
      </c>
      <c r="J2" s="9" t="s">
        <v>3</v>
      </c>
    </row>
    <row r="3" customFormat="false" ht="18.75" hidden="false" customHeight="true" outlineLevel="0" collapsed="false">
      <c r="A3" s="10" t="s">
        <v>4</v>
      </c>
      <c r="B3" s="10"/>
      <c r="C3" s="10"/>
      <c r="D3" s="10"/>
      <c r="E3" s="11"/>
      <c r="F3" s="11"/>
      <c r="G3" s="11"/>
      <c r="H3" s="7" t="s">
        <v>70</v>
      </c>
      <c r="I3" s="12" t="n">
        <f aca="false">SUM(I6:I36)*24</f>
        <v>30.7666666666667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t="n">
        <v>0.28125</v>
      </c>
      <c r="D15" s="34" t="n">
        <v>0.333333333333333</v>
      </c>
      <c r="E15" s="33"/>
      <c r="F15" s="34"/>
      <c r="G15" s="33"/>
      <c r="H15" s="34"/>
      <c r="I15" s="33" t="n">
        <f aca="false">SUM(D15-C15, F15-E15, H15-G15)</f>
        <v>0.0520833333333333</v>
      </c>
      <c r="J15" s="35" t="s">
        <v>71</v>
      </c>
      <c r="K15" s="1" t="n">
        <f aca="false">SUM((D15-C15)*1.5*24)</f>
        <v>1.875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t="n">
        <v>0.708333333333333</v>
      </c>
      <c r="D18" s="34" t="n">
        <v>0.771527777777778</v>
      </c>
      <c r="E18" s="33" t="n">
        <v>0.821527777777778</v>
      </c>
      <c r="F18" s="34" t="n">
        <v>0.952083333333333</v>
      </c>
      <c r="G18" s="33"/>
      <c r="H18" s="34"/>
      <c r="I18" s="33" t="n">
        <f aca="false">SUM(D18-C18, F18-E18, H18-G18)</f>
        <v>0.19375</v>
      </c>
      <c r="J18" s="35" t="s">
        <v>81</v>
      </c>
      <c r="K18" s="1" t="n">
        <f aca="false">SUM((D18-C18)*1.5*24,(F18-E18)*1.5*24)</f>
        <v>6.975</v>
      </c>
    </row>
    <row r="19" customFormat="false" ht="17.25" hidden="false" customHeight="true" outlineLevel="0" collapsed="false">
      <c r="A19" s="27" t="str">
        <f aca="false">IF(B19&gt;0,PROPER(TEXT(B19,"dddd")),"")</f>
        <v>Martes</v>
      </c>
      <c r="B19" s="32" t="n">
        <v>46126</v>
      </c>
      <c r="C19" s="33" t="n">
        <v>0.8375</v>
      </c>
      <c r="D19" s="34" t="n">
        <v>0.879166666666667</v>
      </c>
      <c r="E19" s="33"/>
      <c r="F19" s="34"/>
      <c r="G19" s="33"/>
      <c r="H19" s="34"/>
      <c r="I19" s="33" t="n">
        <f aca="false">SUM(D19-C19, F19-E19, H19-G19)</f>
        <v>0.0416666666666667</v>
      </c>
      <c r="J19" s="35" t="s">
        <v>92</v>
      </c>
      <c r="K19" s="1" t="n">
        <f aca="false">SUM((D19-C19)*1.5*24)</f>
        <v>1.5</v>
      </c>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t="n">
        <v>0.25</v>
      </c>
      <c r="D21" s="34" t="n">
        <v>0.333333333333333</v>
      </c>
      <c r="E21" s="33"/>
      <c r="F21" s="34"/>
      <c r="G21" s="33"/>
      <c r="H21" s="34"/>
      <c r="I21" s="33" t="n">
        <f aca="false">SUM(D21-C21, F21-E21, H21-G21)</f>
        <v>0.0833333333333333</v>
      </c>
      <c r="J21" s="35" t="s">
        <v>72</v>
      </c>
      <c r="K21" s="1" t="n">
        <f aca="false">SUM((D21-C21)*1.5*24)</f>
        <v>3</v>
      </c>
    </row>
    <row r="22" customFormat="false" ht="17.25" hidden="false" customHeight="true" outlineLevel="0" collapsed="false">
      <c r="A22" s="27" t="str">
        <f aca="false">IF(B22&gt;0,PROPER(TEXT(B22,"dddd")),"")</f>
        <v>Viernes</v>
      </c>
      <c r="B22" s="32" t="n">
        <v>46129</v>
      </c>
      <c r="C22" s="33" t="n">
        <v>0.708333333333333</v>
      </c>
      <c r="D22" s="34" t="n">
        <v>0.8125</v>
      </c>
      <c r="E22" s="33"/>
      <c r="F22" s="34"/>
      <c r="G22" s="33"/>
      <c r="H22" s="34"/>
      <c r="I22" s="33" t="n">
        <f aca="false">SUM(D22-C22, F22-E22, H22-G22)</f>
        <v>0.104166666666667</v>
      </c>
      <c r="J22" s="35" t="s">
        <v>82</v>
      </c>
      <c r="K22" s="1" t="n">
        <f aca="false">SUM((D22-C22)*1.5*24)</f>
        <v>3.75</v>
      </c>
    </row>
    <row r="23" customFormat="false" ht="17.25" hidden="false" customHeight="true" outlineLevel="0" collapsed="false">
      <c r="A23" s="27" t="str">
        <f aca="false">IF(B23&gt;0,PROPER(TEXT(B23,"dddd")),"")</f>
        <v>Sábado</v>
      </c>
      <c r="B23" s="32" t="n">
        <v>46130</v>
      </c>
      <c r="C23" s="33" t="n">
        <v>0.4375</v>
      </c>
      <c r="D23" s="34" t="n">
        <v>0.541666666666667</v>
      </c>
      <c r="E23" s="33" t="n">
        <v>0.583333333333333</v>
      </c>
      <c r="F23" s="34" t="n">
        <v>0.847222222222222</v>
      </c>
      <c r="G23" s="33"/>
      <c r="H23" s="34"/>
      <c r="I23" s="33" t="n">
        <f aca="false">SUM(D23-C23, F23-E23, H23-G23)</f>
        <v>0.368055555555556</v>
      </c>
      <c r="J23" s="35" t="s">
        <v>74</v>
      </c>
      <c r="K23" s="1" t="n">
        <f aca="false">SUM((D23-C23)*2*24,(F23-E23)*2*24)</f>
        <v>17.6666666666667</v>
      </c>
    </row>
    <row r="24" customFormat="false" ht="17.25" hidden="false" customHeight="true" outlineLevel="0" collapsed="false">
      <c r="A24" s="27" t="str">
        <f aca="false">IF(B24&gt;0,PROPER(TEXT(B24,"dddd")),"")</f>
        <v>Domingo</v>
      </c>
      <c r="B24" s="32" t="n">
        <v>46131</v>
      </c>
      <c r="C24" s="33" t="n">
        <v>0.28125</v>
      </c>
      <c r="D24" s="34" t="n">
        <v>0.548611111111111</v>
      </c>
      <c r="E24" s="33" t="n">
        <v>0.696527777777778</v>
      </c>
      <c r="F24" s="34" t="n">
        <v>0.791666666666667</v>
      </c>
      <c r="G24" s="33"/>
      <c r="H24" s="34"/>
      <c r="I24" s="33" t="n">
        <f aca="false">SUM(D24-C24, F24-E24, H24-G24)</f>
        <v>0.3625</v>
      </c>
      <c r="J24" s="35" t="s">
        <v>75</v>
      </c>
      <c r="K24" s="1" t="n">
        <f aca="false">SUM((D24-C24)*2*24,(F24-E24)*2*24)</f>
        <v>17.4</v>
      </c>
    </row>
    <row r="25" customFormat="false" ht="17.25" hidden="false" customHeight="true" outlineLevel="0" collapsed="false">
      <c r="A25" s="27" t="str">
        <f aca="false">IF(B25&gt;0,PROPER(TEXT(B25,"dddd")),"")</f>
        <v>Lunes</v>
      </c>
      <c r="B25" s="32" t="n">
        <v>46132</v>
      </c>
      <c r="C25" s="33" t="n">
        <v>0.708333333333333</v>
      </c>
      <c r="D25" s="34" t="n">
        <v>0.784722222222222</v>
      </c>
      <c r="E25" s="33"/>
      <c r="F25" s="34"/>
      <c r="G25" s="33"/>
      <c r="H25" s="34"/>
      <c r="I25" s="33" t="n">
        <f aca="false">SUM(D25-C25, F25-E25, H25-G25)</f>
        <v>0.0763888888888889</v>
      </c>
      <c r="J25" s="35" t="s">
        <v>76</v>
      </c>
      <c r="K25" s="1" t="n">
        <f aca="false">SUM((D25-C25)*1.5*24)</f>
        <v>2.75</v>
      </c>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93</v>
      </c>
      <c r="I2" s="8" t="n">
        <f aca="false">SUM(K6:K36)</f>
        <v>16.2833333333333</v>
      </c>
      <c r="J2" s="9" t="s">
        <v>3</v>
      </c>
    </row>
    <row r="3" customFormat="false" ht="18.75" hidden="false" customHeight="true" outlineLevel="0" collapsed="false">
      <c r="A3" s="10" t="s">
        <v>4</v>
      </c>
      <c r="B3" s="10"/>
      <c r="C3" s="10"/>
      <c r="D3" s="10"/>
      <c r="E3" s="11"/>
      <c r="F3" s="11"/>
      <c r="G3" s="11"/>
      <c r="H3" s="7" t="s">
        <v>70</v>
      </c>
      <c r="I3" s="12" t="n">
        <f aca="false">SUM(I6:I36)*24</f>
        <v>8.98333333333333</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t="n">
        <v>0.759722222222222</v>
      </c>
      <c r="D15" s="34" t="n">
        <v>0.823611111111111</v>
      </c>
      <c r="E15" s="33"/>
      <c r="F15" s="34"/>
      <c r="G15" s="33"/>
      <c r="H15" s="34"/>
      <c r="I15" s="33" t="n">
        <f aca="false">SUM(D15-C15, F15-E15, H15-G15)</f>
        <v>0.0638888888888889</v>
      </c>
      <c r="J15" s="35" t="s">
        <v>79</v>
      </c>
      <c r="K15" s="1" t="n">
        <f aca="false">SUM((D15-C15)*1.5*24)</f>
        <v>2.3</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t="n">
        <v>0.385416666666667</v>
      </c>
      <c r="D17" s="34" t="n">
        <v>0.476388888888889</v>
      </c>
      <c r="E17" s="33" t="n">
        <v>0.589583333333333</v>
      </c>
      <c r="F17" s="34" t="n">
        <v>0.732638888888889</v>
      </c>
      <c r="G17" s="33"/>
      <c r="H17" s="34"/>
      <c r="I17" s="33" t="n">
        <f aca="false">SUM(D17-C17, F17-E17, H17-G17)</f>
        <v>0.234027777777778</v>
      </c>
      <c r="J17" s="35" t="s">
        <v>80</v>
      </c>
      <c r="K17" s="1" t="n">
        <f aca="false">SUM((D17-C17)*2*24,(F17-E17)*2*24)</f>
        <v>11.2333333333333</v>
      </c>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t="n">
        <v>0.708333333333333</v>
      </c>
      <c r="D25" s="34" t="n">
        <v>0.784722222222222</v>
      </c>
      <c r="E25" s="33"/>
      <c r="F25" s="34"/>
      <c r="G25" s="33"/>
      <c r="H25" s="34"/>
      <c r="I25" s="33" t="n">
        <f aca="false">SUM(D25-C25, F25-E25, H25-G25)</f>
        <v>0.0763888888888889</v>
      </c>
      <c r="J25" s="35" t="s">
        <v>76</v>
      </c>
      <c r="K25" s="1" t="n">
        <f aca="false">SUM((D25-C25)*1.5*24)</f>
        <v>2.75</v>
      </c>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94</v>
      </c>
      <c r="I2" s="8" t="n">
        <f aca="false">SUM(K6:K36)</f>
        <v>49.4833333333333</v>
      </c>
      <c r="J2" s="9" t="s">
        <v>3</v>
      </c>
    </row>
    <row r="3" customFormat="false" ht="18.75" hidden="false" customHeight="true" outlineLevel="0" collapsed="false">
      <c r="A3" s="10" t="s">
        <v>4</v>
      </c>
      <c r="B3" s="10"/>
      <c r="C3" s="10"/>
      <c r="D3" s="10"/>
      <c r="E3" s="11"/>
      <c r="F3" s="11"/>
      <c r="G3" s="11"/>
      <c r="H3" s="7" t="s">
        <v>95</v>
      </c>
      <c r="I3" s="12" t="n">
        <f aca="false">SUM(I6:I36)*24</f>
        <v>25.3666666666667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t="n">
        <v>0.71875</v>
      </c>
      <c r="D7" s="34" t="n">
        <v>0.822916666666667</v>
      </c>
      <c r="E7" s="33"/>
      <c r="F7" s="34"/>
      <c r="G7" s="33"/>
      <c r="H7" s="34"/>
      <c r="I7" s="33" t="n">
        <f aca="false">SUM(D7-C7, F7-E7, H7-G7)</f>
        <v>0.104166666666667</v>
      </c>
      <c r="J7" s="35" t="s">
        <v>96</v>
      </c>
      <c r="K7" s="1" t="n">
        <f aca="false">SUM((D7-C7)*1.5*24)</f>
        <v>3.75</v>
      </c>
    </row>
    <row r="8" customFormat="false" ht="17.25" hidden="false" customHeight="true" outlineLevel="0" collapsed="false">
      <c r="A8" s="27" t="str">
        <f aca="false">IF(B8&gt;0,PROPER(TEXT(B8,"dddd")),"")</f>
        <v>Viernes</v>
      </c>
      <c r="B8" s="32" t="n">
        <v>46115</v>
      </c>
      <c r="C8" s="33" t="n">
        <v>0.4375</v>
      </c>
      <c r="D8" s="34" t="n">
        <v>0.541666666666667</v>
      </c>
      <c r="E8" s="33" t="n">
        <v>0.583333333333333</v>
      </c>
      <c r="F8" s="34" t="n">
        <v>0.761111111111111</v>
      </c>
      <c r="G8" s="33"/>
      <c r="H8" s="34"/>
      <c r="I8" s="33" t="n">
        <f aca="false">SUM(D8-C8, F8-E8, H8-G8)</f>
        <v>0.281944444444444</v>
      </c>
      <c r="J8" s="35" t="s">
        <v>97</v>
      </c>
      <c r="K8" s="1" t="n">
        <f aca="false">SUM((D8-C8)*2*24,(F8-E8)*2*24)</f>
        <v>13.5333333333333</v>
      </c>
    </row>
    <row r="9" customFormat="false" ht="17.25" hidden="false" customHeight="true" outlineLevel="0" collapsed="false">
      <c r="A9" s="27" t="str">
        <f aca="false">IF(B9&gt;0,PROPER(TEXT(B9,"dddd")),"")</f>
        <v>Sábado</v>
      </c>
      <c r="B9" s="32" t="n">
        <v>46116</v>
      </c>
      <c r="C9" s="33" t="n">
        <v>0.34375</v>
      </c>
      <c r="D9" s="34" t="n">
        <v>0.514583333333333</v>
      </c>
      <c r="E9" s="33" t="n">
        <v>0.604861111111111</v>
      </c>
      <c r="F9" s="34" t="n">
        <v>0.646527777777778</v>
      </c>
      <c r="G9" s="33" t="n">
        <v>0.684027777777778</v>
      </c>
      <c r="H9" s="34" t="n">
        <v>0.767361111111111</v>
      </c>
      <c r="I9" s="33" t="n">
        <f aca="false">SUM(D9-C9, F9-E9, H9-G9)</f>
        <v>0.295833333333333</v>
      </c>
      <c r="J9" s="35" t="s">
        <v>98</v>
      </c>
      <c r="K9" s="1" t="n">
        <f aca="false">SUM((D9-C9)*2*24,(F9-E9)*2*24,(H9-G9)*2*24)</f>
        <v>14.2</v>
      </c>
    </row>
    <row r="10" customFormat="false" ht="17.25" hidden="false" customHeight="true" outlineLevel="0" collapsed="false">
      <c r="A10" s="27" t="str">
        <f aca="false">IF(B10&gt;0,PROPER(TEXT(B10,"dddd")),"")</f>
        <v>Domingo</v>
      </c>
      <c r="B10" s="32" t="n">
        <v>46117</v>
      </c>
      <c r="C10" s="33" t="n">
        <v>0.388888888888889</v>
      </c>
      <c r="D10" s="34" t="n">
        <v>0.541666666666667</v>
      </c>
      <c r="E10" s="33" t="n">
        <v>0.583333333333333</v>
      </c>
      <c r="F10" s="34" t="n">
        <v>0.701388888888889</v>
      </c>
      <c r="G10" s="33" t="n">
        <v>0.798611111111111</v>
      </c>
      <c r="H10" s="34" t="n">
        <v>0.902777777777778</v>
      </c>
      <c r="I10" s="33" t="n">
        <f aca="false">SUM(D10-C10, F10-E10, H10-G10)</f>
        <v>0.375</v>
      </c>
      <c r="J10" s="35" t="s">
        <v>99</v>
      </c>
      <c r="K10" s="1" t="n">
        <f aca="false">SUM((D10-C10)*2*24,(F10-E10)*2*24,(H10-G10)*2*24)</f>
        <v>18</v>
      </c>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100</v>
      </c>
      <c r="I2" s="8" t="n">
        <f aca="false">SUM(K6:K36)</f>
        <v>50.9833333333333</v>
      </c>
      <c r="J2" s="9" t="s">
        <v>3</v>
      </c>
    </row>
    <row r="3" customFormat="false" ht="18.75" hidden="false" customHeight="true" outlineLevel="0" collapsed="false">
      <c r="A3" s="10" t="s">
        <v>4</v>
      </c>
      <c r="B3" s="10"/>
      <c r="C3" s="10"/>
      <c r="D3" s="10"/>
      <c r="E3" s="11"/>
      <c r="F3" s="11"/>
      <c r="G3" s="11"/>
      <c r="H3" s="7" t="s">
        <v>95</v>
      </c>
      <c r="I3" s="12" t="n">
        <f aca="false">SUM(I6:I36)*24</f>
        <v>26.3666666666667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t="n">
        <v>0.71875</v>
      </c>
      <c r="D7" s="34" t="n">
        <v>0.822916666666667</v>
      </c>
      <c r="E7" s="33"/>
      <c r="F7" s="34"/>
      <c r="G7" s="33"/>
      <c r="H7" s="34"/>
      <c r="I7" s="33" t="n">
        <f aca="false">SUM(D7-C7, F7-E7, H7-G7)</f>
        <v>0.104166666666667</v>
      </c>
      <c r="J7" s="35" t="s">
        <v>96</v>
      </c>
      <c r="K7" s="1" t="n">
        <f aca="false">SUM((D7-C7)*1.5*24)</f>
        <v>3.75</v>
      </c>
    </row>
    <row r="8" customFormat="false" ht="17.25" hidden="false" customHeight="true" outlineLevel="0" collapsed="false">
      <c r="A8" s="27" t="str">
        <f aca="false">IF(B8&gt;0,PROPER(TEXT(B8,"dddd")),"")</f>
        <v>Viernes</v>
      </c>
      <c r="B8" s="32" t="n">
        <v>46115</v>
      </c>
      <c r="C8" s="33" t="n">
        <v>0.4375</v>
      </c>
      <c r="D8" s="34" t="n">
        <v>0.541666666666667</v>
      </c>
      <c r="E8" s="33" t="n">
        <v>0.583333333333333</v>
      </c>
      <c r="F8" s="34" t="n">
        <v>0.761111111111111</v>
      </c>
      <c r="G8" s="33"/>
      <c r="H8" s="34"/>
      <c r="I8" s="33" t="n">
        <f aca="false">SUM(D8-C8, F8-E8, H8-G8)</f>
        <v>0.281944444444444</v>
      </c>
      <c r="J8" s="35" t="s">
        <v>97</v>
      </c>
      <c r="K8" s="1" t="n">
        <f aca="false">SUM((D8-C8)*2*24,(F8-E8)*2*24)</f>
        <v>13.5333333333333</v>
      </c>
    </row>
    <row r="9" customFormat="false" ht="17.25" hidden="false" customHeight="true" outlineLevel="0" collapsed="false">
      <c r="A9" s="27" t="str">
        <f aca="false">IF(B9&gt;0,PROPER(TEXT(B9,"dddd")),"")</f>
        <v>Sábado</v>
      </c>
      <c r="B9" s="32" t="n">
        <v>46116</v>
      </c>
      <c r="C9" s="33" t="n">
        <v>0.34375</v>
      </c>
      <c r="D9" s="34" t="n">
        <v>0.514583333333333</v>
      </c>
      <c r="E9" s="33" t="n">
        <v>0.604861111111111</v>
      </c>
      <c r="F9" s="34" t="n">
        <v>0.646527777777778</v>
      </c>
      <c r="G9" s="33" t="n">
        <v>0.684027777777778</v>
      </c>
      <c r="H9" s="34" t="n">
        <v>0.767361111111111</v>
      </c>
      <c r="I9" s="33" t="n">
        <f aca="false">SUM(D9-C9, F9-E9, H9-G9)</f>
        <v>0.295833333333333</v>
      </c>
      <c r="J9" s="35" t="s">
        <v>98</v>
      </c>
      <c r="K9" s="1" t="n">
        <f aca="false">SUM((D9-C9)*2*24,(F9-E9)*2*24,(H9-G9)*2*24)</f>
        <v>14.2</v>
      </c>
    </row>
    <row r="10" customFormat="false" ht="17.25" hidden="false" customHeight="true" outlineLevel="0" collapsed="false">
      <c r="A10" s="27" t="str">
        <f aca="false">IF(B10&gt;0,PROPER(TEXT(B10,"dddd")),"")</f>
        <v>Domingo</v>
      </c>
      <c r="B10" s="32" t="n">
        <v>46117</v>
      </c>
      <c r="C10" s="33" t="n">
        <v>0.388888888888889</v>
      </c>
      <c r="D10" s="34" t="n">
        <v>0.541666666666667</v>
      </c>
      <c r="E10" s="33" t="n">
        <v>0.583333333333333</v>
      </c>
      <c r="F10" s="34" t="n">
        <v>0.701388888888889</v>
      </c>
      <c r="G10" s="33" t="n">
        <v>0.798611111111111</v>
      </c>
      <c r="H10" s="34" t="n">
        <v>0.902777777777778</v>
      </c>
      <c r="I10" s="33" t="n">
        <f aca="false">SUM(D10-C10, F10-E10, H10-G10)</f>
        <v>0.375</v>
      </c>
      <c r="J10" s="35" t="s">
        <v>99</v>
      </c>
      <c r="K10" s="1" t="n">
        <f aca="false">SUM((D10-C10)*2*24,(F10-E10)*2*24,(H10-G10)*2*24)</f>
        <v>18</v>
      </c>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t="n">
        <v>0.8375</v>
      </c>
      <c r="D19" s="34" t="n">
        <v>0.879166666666667</v>
      </c>
      <c r="E19" s="33"/>
      <c r="F19" s="34"/>
      <c r="G19" s="33"/>
      <c r="H19" s="34"/>
      <c r="I19" s="33" t="n">
        <f aca="false">SUM(D19-C19, F19-E19, H19-G19)</f>
        <v>0.0416666666666667</v>
      </c>
      <c r="J19" s="35" t="s">
        <v>92</v>
      </c>
      <c r="K19" s="1" t="n">
        <f aca="false">SUM((D19-C19)*1.5*24)</f>
        <v>1.5</v>
      </c>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101</v>
      </c>
      <c r="I2" s="8" t="n">
        <f aca="false">SUM(K6:K36)</f>
        <v>23.5416666666667</v>
      </c>
      <c r="J2" s="9" t="s">
        <v>3</v>
      </c>
    </row>
    <row r="3" customFormat="false" ht="18.75" hidden="false" customHeight="true" outlineLevel="0" collapsed="false">
      <c r="A3" s="10" t="s">
        <v>4</v>
      </c>
      <c r="B3" s="10"/>
      <c r="C3" s="10"/>
      <c r="D3" s="10"/>
      <c r="E3" s="11"/>
      <c r="F3" s="11"/>
      <c r="G3" s="11"/>
      <c r="H3" s="7" t="s">
        <v>95</v>
      </c>
      <c r="I3" s="12" t="n">
        <f aca="false">SUM(I6:I36)*24</f>
        <v>14.4166666666667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t="n">
        <v>0.784722222222222</v>
      </c>
      <c r="D25" s="34" t="n">
        <v>0.948611111111111</v>
      </c>
      <c r="E25" s="33"/>
      <c r="F25" s="34"/>
      <c r="G25" s="33"/>
      <c r="H25" s="34"/>
      <c r="I25" s="33" t="n">
        <f aca="false">SUM(D25-C25, F25-E25, H25-G25)</f>
        <v>0.163888888888889</v>
      </c>
      <c r="J25" s="35" t="s">
        <v>102</v>
      </c>
      <c r="K25" s="1" t="n">
        <f aca="false">SUM((D25-C25)*1.5*24)</f>
        <v>5.9</v>
      </c>
    </row>
    <row r="26" customFormat="false" ht="17.25" hidden="false" customHeight="true" outlineLevel="0" collapsed="false">
      <c r="A26" s="27" t="str">
        <f aca="false">IF(B26&gt;0,PROPER(TEXT(B26,"dddd")),"")</f>
        <v>Martes</v>
      </c>
      <c r="B26" s="32" t="n">
        <v>46133</v>
      </c>
      <c r="C26" s="33" t="n">
        <v>0.0534722222222222</v>
      </c>
      <c r="D26" s="34" t="n">
        <v>0.136805555555556</v>
      </c>
      <c r="E26" s="33"/>
      <c r="F26" s="34"/>
      <c r="G26" s="33"/>
      <c r="H26" s="34"/>
      <c r="I26" s="33" t="n">
        <f aca="false">SUM(D26-C26, F26-E26, H26-G26)</f>
        <v>0.0833333333333333</v>
      </c>
      <c r="J26" s="35" t="s">
        <v>86</v>
      </c>
      <c r="K26" s="1" t="n">
        <f aca="false">SUM((D26-C26)*2*24)</f>
        <v>4</v>
      </c>
    </row>
    <row r="27" customFormat="false" ht="17.25" hidden="false" customHeight="true" outlineLevel="0" collapsed="false">
      <c r="A27" s="27" t="str">
        <f aca="false">IF(B27&gt;0,PROPER(TEXT(B27,"dddd")),"")</f>
        <v>Miércoles</v>
      </c>
      <c r="B27" s="32" t="n">
        <v>46134</v>
      </c>
      <c r="C27" s="33" t="n">
        <v>0.708333333333333</v>
      </c>
      <c r="D27" s="34" t="n">
        <v>0.834027777777778</v>
      </c>
      <c r="E27" s="33" t="n">
        <v>0.854166666666667</v>
      </c>
      <c r="F27" s="34" t="n">
        <v>0.938194444444444</v>
      </c>
      <c r="G27" s="33"/>
      <c r="H27" s="34"/>
      <c r="I27" s="33" t="n">
        <f aca="false">SUM(D27-C27, F27-E27, H27-G27)</f>
        <v>0.209722222222222</v>
      </c>
      <c r="J27" s="35" t="s">
        <v>87</v>
      </c>
      <c r="K27" s="1" t="n">
        <f aca="false">SUM((D27-C27)*1.5*24,(F27-E27)*1.5*24)</f>
        <v>7.55</v>
      </c>
    </row>
    <row r="28" customFormat="false" ht="17.25" hidden="false" customHeight="true" outlineLevel="0" collapsed="false">
      <c r="A28" s="27" t="str">
        <f aca="false">IF(B28&gt;0,PROPER(TEXT(B28,"dddd")),"")</f>
        <v>Jueves</v>
      </c>
      <c r="B28" s="32" t="n">
        <v>46135</v>
      </c>
      <c r="C28" s="33" t="n">
        <v>0.850694444444444</v>
      </c>
      <c r="D28" s="34" t="n">
        <v>0.918055555555556</v>
      </c>
      <c r="E28" s="33"/>
      <c r="F28" s="34"/>
      <c r="G28" s="33"/>
      <c r="H28" s="34"/>
      <c r="I28" s="33" t="n">
        <f aca="false">SUM(D28-C28, F28-E28, H28-G28)</f>
        <v>0.0673611111111111</v>
      </c>
      <c r="J28" s="35" t="s">
        <v>88</v>
      </c>
      <c r="K28" s="1" t="n">
        <f aca="false">SUM((D28-C28)*1.5*24)</f>
        <v>2.425</v>
      </c>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t="n">
        <v>0.480555555555556</v>
      </c>
      <c r="D30" s="34" t="n">
        <v>0.513888888888889</v>
      </c>
      <c r="E30" s="33"/>
      <c r="F30" s="34"/>
      <c r="G30" s="33"/>
      <c r="H30" s="34"/>
      <c r="I30" s="33" t="n">
        <f aca="false">SUM(D30-C30, F30-E30, H30-G30)</f>
        <v>0.0333333333333333</v>
      </c>
      <c r="J30" s="35" t="s">
        <v>89</v>
      </c>
      <c r="K30" s="1" t="n">
        <f aca="false">SUM((D30-C30)*2*24)</f>
        <v>1.6</v>
      </c>
    </row>
    <row r="31" customFormat="false" ht="17.25" hidden="false" customHeight="true" outlineLevel="0" collapsed="false">
      <c r="A31" s="27" t="str">
        <f aca="false">IF(B31&gt;0,PROPER(TEXT(B31,"dddd")),"")</f>
        <v>Domingo</v>
      </c>
      <c r="B31" s="32" t="n">
        <v>46138</v>
      </c>
      <c r="C31" s="33" t="n">
        <v>0.582638888888889</v>
      </c>
      <c r="D31" s="34" t="n">
        <v>0.625694444444444</v>
      </c>
      <c r="E31" s="33"/>
      <c r="F31" s="34"/>
      <c r="G31" s="33"/>
      <c r="H31" s="34"/>
      <c r="I31" s="33" t="n">
        <f aca="false">SUM(D31-C31, F31-E31, H31-G31)</f>
        <v>0.0430555555555556</v>
      </c>
      <c r="J31" s="35" t="s">
        <v>90</v>
      </c>
      <c r="K31" s="1" t="n">
        <f aca="false">SUM((D31-C31)*2*24)</f>
        <v>2.06666666666667</v>
      </c>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103</v>
      </c>
      <c r="I2" s="8" t="n">
        <f aca="false">SUM(K6:K36)</f>
        <v>26.95</v>
      </c>
      <c r="J2" s="9" t="s">
        <v>3</v>
      </c>
    </row>
    <row r="3" customFormat="false" ht="18.75" hidden="false" customHeight="true" outlineLevel="0" collapsed="false">
      <c r="A3" s="10" t="s">
        <v>4</v>
      </c>
      <c r="B3" s="10"/>
      <c r="C3" s="10"/>
      <c r="D3" s="10"/>
      <c r="E3" s="11"/>
      <c r="F3" s="11"/>
      <c r="G3" s="11"/>
      <c r="H3" s="7" t="s">
        <v>104</v>
      </c>
      <c r="I3" s="12" t="n">
        <f aca="false">SUM(I6:I36)*24</f>
        <v>15.6</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t="n">
        <v>0.431944444444445</v>
      </c>
      <c r="D9" s="34" t="n">
        <v>0.475694444444444</v>
      </c>
      <c r="E9" s="33"/>
      <c r="F9" s="34"/>
      <c r="G9" s="33"/>
      <c r="H9" s="34"/>
      <c r="I9" s="33" t="n">
        <f aca="false">SUM(D9-C9, F9-E9, H9-G9)</f>
        <v>0.04375</v>
      </c>
      <c r="J9" s="35" t="s">
        <v>105</v>
      </c>
      <c r="K9" s="1" t="n">
        <f aca="false">SUM((D9-C9)*2*24)</f>
        <v>2.1</v>
      </c>
    </row>
    <row r="10" customFormat="false" ht="17.25" hidden="false" customHeight="true" outlineLevel="0" collapsed="false">
      <c r="A10" s="27" t="str">
        <f aca="false">IF(B10&gt;0,PROPER(TEXT(B10,"dddd")),"")</f>
        <v>Domingo</v>
      </c>
      <c r="B10" s="32" t="n">
        <v>46117</v>
      </c>
      <c r="C10" s="33" t="n">
        <v>0.638194444444444</v>
      </c>
      <c r="D10" s="34" t="n">
        <v>0.688194444444444</v>
      </c>
      <c r="E10" s="33"/>
      <c r="F10" s="34"/>
      <c r="G10" s="33"/>
      <c r="H10" s="34"/>
      <c r="I10" s="33" t="n">
        <f aca="false">SUM(D10-C10, F10-E10, H10-G10)</f>
        <v>0.05</v>
      </c>
      <c r="J10" s="35" t="s">
        <v>106</v>
      </c>
      <c r="K10" s="1" t="n">
        <f aca="false">SUM((D10-C10)*2*24)</f>
        <v>2.4</v>
      </c>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t="n">
        <v>0.708333333333333</v>
      </c>
      <c r="D14" s="34" t="n">
        <v>0.8125</v>
      </c>
      <c r="E14" s="33"/>
      <c r="F14" s="34"/>
      <c r="G14" s="33"/>
      <c r="H14" s="34"/>
      <c r="I14" s="33" t="n">
        <f aca="false">SUM(D14-C14, F14-E14, H14-G14)</f>
        <v>0.104166666666667</v>
      </c>
      <c r="J14" s="35" t="s">
        <v>107</v>
      </c>
      <c r="K14" s="1" t="n">
        <f aca="false">SUM((D14-C14)*1.5*24)</f>
        <v>3.75</v>
      </c>
    </row>
    <row r="15" customFormat="false" ht="17.25" hidden="false" customHeight="true" outlineLevel="0" collapsed="false">
      <c r="A15" s="27" t="str">
        <f aca="false">IF(B15&gt;0,PROPER(TEXT(B15,"dddd")),"")</f>
        <v>Viernes</v>
      </c>
      <c r="B15" s="32" t="n">
        <v>46122</v>
      </c>
      <c r="C15" s="33" t="n">
        <v>0.25</v>
      </c>
      <c r="D15" s="34" t="n">
        <v>0.333333333333333</v>
      </c>
      <c r="E15" s="33" t="n">
        <v>0.708333333333333</v>
      </c>
      <c r="F15" s="34" t="n">
        <v>0.75</v>
      </c>
      <c r="G15" s="33"/>
      <c r="H15" s="34"/>
      <c r="I15" s="33" t="n">
        <f aca="false">SUM(D15-C15, F15-E15, H15-G15)</f>
        <v>0.125</v>
      </c>
      <c r="J15" s="35" t="s">
        <v>108</v>
      </c>
      <c r="K15" s="1" t="n">
        <f aca="false">SUM((D15-C15)*1.5*24,(F15-E15)*1.5*24)</f>
        <v>4.5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t="n">
        <v>0.291666666666667</v>
      </c>
      <c r="D20" s="34" t="n">
        <v>0.333333333333333</v>
      </c>
      <c r="E20" s="33" t="n">
        <v>0.708333333333333</v>
      </c>
      <c r="F20" s="34" t="n">
        <v>0.791666666666667</v>
      </c>
      <c r="G20" s="33"/>
      <c r="H20" s="34"/>
      <c r="I20" s="33" t="n">
        <f aca="false">SUM(D20-C20, F20-E20, H20-G20)</f>
        <v>0.125</v>
      </c>
      <c r="J20" s="35" t="s">
        <v>109</v>
      </c>
      <c r="K20" s="1" t="n">
        <f aca="false">SUM((D20-C20)*1.5*24,(F20-E20)*1.5*24)</f>
        <v>4.5</v>
      </c>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t="n">
        <v>0.3375</v>
      </c>
      <c r="D23" s="34" t="n">
        <v>0.495138888888889</v>
      </c>
      <c r="E23" s="33"/>
      <c r="F23" s="34"/>
      <c r="G23" s="33"/>
      <c r="H23" s="34"/>
      <c r="I23" s="33" t="n">
        <f aca="false">SUM(D23-C23, F23-E23, H23-G23)</f>
        <v>0.157638888888889</v>
      </c>
      <c r="J23" s="35" t="s">
        <v>110</v>
      </c>
      <c r="K23" s="1" t="n">
        <f aca="false">SUM((D23-C23)*2*24)</f>
        <v>7.56666666666667</v>
      </c>
    </row>
    <row r="24" customFormat="false" ht="17.25" hidden="false" customHeight="true" outlineLevel="0" collapsed="false">
      <c r="A24" s="27" t="str">
        <f aca="false">IF(B24&gt;0,PROPER(TEXT(B24,"dddd")),"")</f>
        <v>Domingo</v>
      </c>
      <c r="B24" s="32" t="n">
        <v>46131</v>
      </c>
      <c r="C24" s="33" t="n">
        <v>0.74375</v>
      </c>
      <c r="D24" s="34" t="n">
        <v>0.788194444444444</v>
      </c>
      <c r="E24" s="33"/>
      <c r="F24" s="34"/>
      <c r="G24" s="33"/>
      <c r="H24" s="34"/>
      <c r="I24" s="33" t="n">
        <f aca="false">SUM(D24-C24, F24-E24, H24-G24)</f>
        <v>0.0444444444444444</v>
      </c>
      <c r="J24" s="35" t="s">
        <v>111</v>
      </c>
      <c r="K24" s="1" t="n">
        <f aca="false">SUM((D24-C24)*2*24)</f>
        <v>2.13333333333333</v>
      </c>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112</v>
      </c>
      <c r="I2" s="8" t="n">
        <f aca="false">SUM(K6:K36)</f>
        <v>44.625</v>
      </c>
      <c r="J2" s="9" t="s">
        <v>3</v>
      </c>
    </row>
    <row r="3" customFormat="false" ht="18.75" hidden="false" customHeight="true" outlineLevel="0" collapsed="false">
      <c r="A3" s="10" t="s">
        <v>4</v>
      </c>
      <c r="B3" s="10"/>
      <c r="C3" s="10"/>
      <c r="D3" s="10"/>
      <c r="E3" s="11"/>
      <c r="F3" s="11"/>
      <c r="G3" s="11"/>
      <c r="H3" s="7" t="s">
        <v>104</v>
      </c>
      <c r="I3" s="12" t="n">
        <f aca="false">SUM(I6:I36)*24</f>
        <v>25.5166666666667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t="n">
        <v>0.708333333333333</v>
      </c>
      <c r="D14" s="34" t="n">
        <v>0.8125</v>
      </c>
      <c r="E14" s="33"/>
      <c r="F14" s="34"/>
      <c r="G14" s="33"/>
      <c r="H14" s="34"/>
      <c r="I14" s="33" t="n">
        <f aca="false">SUM(D14-C14, F14-E14, H14-G14)</f>
        <v>0.104166666666667</v>
      </c>
      <c r="J14" s="35" t="s">
        <v>107</v>
      </c>
      <c r="K14" s="1" t="n">
        <f aca="false">SUM((D14-C14)*1.5*24)</f>
        <v>3.75</v>
      </c>
    </row>
    <row r="15" customFormat="false" ht="17.25" hidden="false" customHeight="true" outlineLevel="0" collapsed="false">
      <c r="A15" s="27" t="str">
        <f aca="false">IF(B15&gt;0,PROPER(TEXT(B15,"dddd")),"")</f>
        <v>Viernes</v>
      </c>
      <c r="B15" s="32" t="n">
        <v>46122</v>
      </c>
      <c r="C15" s="33" t="n">
        <v>0.25</v>
      </c>
      <c r="D15" s="34" t="n">
        <v>0.333333333333333</v>
      </c>
      <c r="E15" s="33" t="n">
        <v>0.708333333333333</v>
      </c>
      <c r="F15" s="34" t="n">
        <v>0.75</v>
      </c>
      <c r="G15" s="33"/>
      <c r="H15" s="34"/>
      <c r="I15" s="33" t="n">
        <f aca="false">SUM(D15-C15, F15-E15, H15-G15)</f>
        <v>0.125</v>
      </c>
      <c r="J15" s="35" t="s">
        <v>108</v>
      </c>
      <c r="K15" s="1" t="n">
        <f aca="false">SUM((D15-C15)*1.5*24,(F15-E15)*1.5*24)</f>
        <v>4.5</v>
      </c>
    </row>
    <row r="16" customFormat="false" ht="17.25" hidden="false" customHeight="true" outlineLevel="0" collapsed="false">
      <c r="A16" s="27" t="str">
        <f aca="false">IF(B16&gt;0,PROPER(TEXT(B16,"dddd")),"")</f>
        <v>Sábado</v>
      </c>
      <c r="B16" s="32" t="n">
        <v>46123</v>
      </c>
      <c r="C16" s="33" t="n">
        <v>0.55625</v>
      </c>
      <c r="D16" s="34" t="n">
        <v>0.709722222222222</v>
      </c>
      <c r="E16" s="33"/>
      <c r="F16" s="34"/>
      <c r="G16" s="33"/>
      <c r="H16" s="34"/>
      <c r="I16" s="33" t="n">
        <f aca="false">SUM(D16-C16, F16-E16, H16-G16)</f>
        <v>0.153472222222222</v>
      </c>
      <c r="J16" s="35" t="s">
        <v>113</v>
      </c>
      <c r="K16" s="1" t="n">
        <f aca="false">SUM((D16-C16)*2*24)</f>
        <v>7.36666666666667</v>
      </c>
    </row>
    <row r="17" customFormat="false" ht="17.25" hidden="false" customHeight="true" outlineLevel="0" collapsed="false">
      <c r="A17" s="27" t="str">
        <f aca="false">IF(B17&gt;0,PROPER(TEXT(B17,"dddd")),"")</f>
        <v>Domingo</v>
      </c>
      <c r="B17" s="32" t="n">
        <v>46124</v>
      </c>
      <c r="C17" s="33" t="n">
        <v>0.586111111111111</v>
      </c>
      <c r="D17" s="34" t="n">
        <v>0.682638888888889</v>
      </c>
      <c r="E17" s="33"/>
      <c r="F17" s="34"/>
      <c r="G17" s="33"/>
      <c r="H17" s="34"/>
      <c r="I17" s="33" t="n">
        <f aca="false">SUM(D17-C17, F17-E17, H17-G17)</f>
        <v>0.0965277777777778</v>
      </c>
      <c r="J17" s="35" t="s">
        <v>114</v>
      </c>
      <c r="K17" s="1" t="n">
        <f aca="false">SUM((D17-C17)*2*24)</f>
        <v>4.63333333333333</v>
      </c>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t="n">
        <v>0.291666666666667</v>
      </c>
      <c r="D20" s="34" t="n">
        <v>0.333333333333333</v>
      </c>
      <c r="E20" s="33" t="n">
        <v>0.708333333333333</v>
      </c>
      <c r="F20" s="34" t="n">
        <v>0.791666666666667</v>
      </c>
      <c r="G20" s="33"/>
      <c r="H20" s="34"/>
      <c r="I20" s="33" t="n">
        <f aca="false">SUM(D20-C20, F20-E20, H20-G20)</f>
        <v>0.125</v>
      </c>
      <c r="J20" s="35" t="s">
        <v>109</v>
      </c>
      <c r="K20" s="1" t="n">
        <f aca="false">SUM((D20-C20)*1.5*24,(F20-E20)*1.5*24)</f>
        <v>4.5</v>
      </c>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t="n">
        <v>0.830555555555556</v>
      </c>
      <c r="D28" s="34" t="n">
        <v>0.896527777777778</v>
      </c>
      <c r="E28" s="33"/>
      <c r="F28" s="34"/>
      <c r="G28" s="33"/>
      <c r="H28" s="34"/>
      <c r="I28" s="33" t="n">
        <f aca="false">SUM(D28-C28, F28-E28, H28-G28)</f>
        <v>0.0659722222222222</v>
      </c>
      <c r="J28" s="35" t="s">
        <v>115</v>
      </c>
      <c r="K28" s="1" t="n">
        <f aca="false">SUM((D28-C28)*1.5*24)</f>
        <v>2.375</v>
      </c>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t="n">
        <v>0.663888888888889</v>
      </c>
      <c r="D30" s="34" t="n">
        <v>0.875</v>
      </c>
      <c r="E30" s="33"/>
      <c r="F30" s="34"/>
      <c r="G30" s="33"/>
      <c r="H30" s="34"/>
      <c r="I30" s="33" t="n">
        <f aca="false">SUM(D30-C30, F30-E30, H30-G30)</f>
        <v>0.211111111111111</v>
      </c>
      <c r="J30" s="35" t="s">
        <v>116</v>
      </c>
      <c r="K30" s="1" t="n">
        <f aca="false">SUM((D30-C30)*2*24)</f>
        <v>10.1333333333333</v>
      </c>
    </row>
    <row r="31" customFormat="false" ht="17.25" hidden="false" customHeight="true" outlineLevel="0" collapsed="false">
      <c r="A31" s="27" t="str">
        <f aca="false">IF(B31&gt;0,PROPER(TEXT(B31,"dddd")),"")</f>
        <v>Domingo</v>
      </c>
      <c r="B31" s="32" t="n">
        <v>46138</v>
      </c>
      <c r="C31" s="33" t="n">
        <v>0.578472222222222</v>
      </c>
      <c r="D31" s="34" t="n">
        <v>0.646527777777778</v>
      </c>
      <c r="E31" s="33"/>
      <c r="F31" s="34"/>
      <c r="G31" s="33"/>
      <c r="H31" s="34"/>
      <c r="I31" s="33" t="n">
        <f aca="false">SUM(D31-C31, F31-E31, H31-G31)</f>
        <v>0.0680555555555556</v>
      </c>
      <c r="J31" s="35" t="s">
        <v>117</v>
      </c>
      <c r="K31" s="1" t="n">
        <f aca="false">SUM((D31-C31)*2*24)</f>
        <v>3.26666666666667</v>
      </c>
    </row>
    <row r="32" customFormat="false" ht="17.25" hidden="false" customHeight="true" outlineLevel="0" collapsed="false">
      <c r="A32" s="27" t="str">
        <f aca="false">IF(B32&gt;0,PROPER(TEXT(B32,"dddd")),"")</f>
        <v>Lunes</v>
      </c>
      <c r="B32" s="32" t="n">
        <v>46139</v>
      </c>
      <c r="C32" s="33" t="n">
        <v>0.885416666666667</v>
      </c>
      <c r="D32" s="34" t="n">
        <v>0.999305555555556</v>
      </c>
      <c r="E32" s="33"/>
      <c r="F32" s="34"/>
      <c r="G32" s="33"/>
      <c r="H32" s="34"/>
      <c r="I32" s="33" t="n">
        <f aca="false">SUM(D32-C32, F32-E32, H32-G32)</f>
        <v>0.113888888888889</v>
      </c>
      <c r="J32" s="35" t="s">
        <v>118</v>
      </c>
      <c r="K32" s="1" t="n">
        <f aca="false">SUM((D32-C32)*1.5*24)</f>
        <v>4.1</v>
      </c>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119</v>
      </c>
      <c r="I2" s="8" t="n">
        <f aca="false">SUM(K6:K36)</f>
        <v>33.425</v>
      </c>
      <c r="J2" s="9" t="s">
        <v>3</v>
      </c>
    </row>
    <row r="3" customFormat="false" ht="18.75" hidden="false" customHeight="true" outlineLevel="0" collapsed="false">
      <c r="A3" s="10" t="s">
        <v>4</v>
      </c>
      <c r="B3" s="10"/>
      <c r="C3" s="10"/>
      <c r="D3" s="10"/>
      <c r="E3" s="11"/>
      <c r="F3" s="11"/>
      <c r="G3" s="11"/>
      <c r="H3" s="7" t="s">
        <v>104</v>
      </c>
      <c r="I3" s="12" t="n">
        <f aca="false">SUM(I6:I36)*24</f>
        <v>19.9166666666667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t="n">
        <v>0.431944444444445</v>
      </c>
      <c r="D9" s="34" t="n">
        <v>0.475694444444444</v>
      </c>
      <c r="E9" s="33"/>
      <c r="F9" s="34"/>
      <c r="G9" s="33"/>
      <c r="H9" s="34"/>
      <c r="I9" s="33" t="n">
        <f aca="false">SUM(D9-C9, F9-E9, H9-G9)</f>
        <v>0.04375</v>
      </c>
      <c r="J9" s="35" t="s">
        <v>105</v>
      </c>
      <c r="K9" s="1" t="n">
        <f aca="false">SUM((D9-C9)*2*24)</f>
        <v>2.1</v>
      </c>
    </row>
    <row r="10" customFormat="false" ht="17.25" hidden="false" customHeight="true" outlineLevel="0" collapsed="false">
      <c r="A10" s="27" t="str">
        <f aca="false">IF(B10&gt;0,PROPER(TEXT(B10,"dddd")),"")</f>
        <v>Domingo</v>
      </c>
      <c r="B10" s="32" t="n">
        <v>46117</v>
      </c>
      <c r="C10" s="33" t="n">
        <v>0.638194444444444</v>
      </c>
      <c r="D10" s="34" t="n">
        <v>0.688194444444444</v>
      </c>
      <c r="E10" s="33"/>
      <c r="F10" s="34"/>
      <c r="G10" s="33"/>
      <c r="H10" s="34"/>
      <c r="I10" s="33" t="n">
        <f aca="false">SUM(D10-C10, F10-E10, H10-G10)</f>
        <v>0.05</v>
      </c>
      <c r="J10" s="35" t="s">
        <v>106</v>
      </c>
      <c r="K10" s="1" t="n">
        <f aca="false">SUM((D10-C10)*2*24)</f>
        <v>2.4</v>
      </c>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t="n">
        <v>0.708333333333333</v>
      </c>
      <c r="D14" s="34" t="n">
        <v>0.8125</v>
      </c>
      <c r="E14" s="33"/>
      <c r="F14" s="34"/>
      <c r="G14" s="33"/>
      <c r="H14" s="34"/>
      <c r="I14" s="33" t="n">
        <f aca="false">SUM(D14-C14, F14-E14, H14-G14)</f>
        <v>0.104166666666667</v>
      </c>
      <c r="J14" s="35" t="s">
        <v>107</v>
      </c>
      <c r="K14" s="1" t="n">
        <f aca="false">SUM((D14-C14)*1.5*24)</f>
        <v>3.75</v>
      </c>
    </row>
    <row r="15" customFormat="false" ht="17.25" hidden="false" customHeight="true" outlineLevel="0" collapsed="false">
      <c r="A15" s="27" t="str">
        <f aca="false">IF(B15&gt;0,PROPER(TEXT(B15,"dddd")),"")</f>
        <v>Viernes</v>
      </c>
      <c r="B15" s="32" t="n">
        <v>46122</v>
      </c>
      <c r="C15" s="33" t="n">
        <v>0.25</v>
      </c>
      <c r="D15" s="34" t="n">
        <v>0.333333333333333</v>
      </c>
      <c r="E15" s="33" t="n">
        <v>0.708333333333333</v>
      </c>
      <c r="F15" s="34" t="n">
        <v>0.75</v>
      </c>
      <c r="G15" s="33"/>
      <c r="H15" s="34"/>
      <c r="I15" s="33" t="n">
        <f aca="false">SUM(D15-C15, F15-E15, H15-G15)</f>
        <v>0.125</v>
      </c>
      <c r="J15" s="35" t="s">
        <v>108</v>
      </c>
      <c r="K15" s="1" t="n">
        <f aca="false">SUM((D15-C15)*1.5*24,(F15-E15)*1.5*24)</f>
        <v>4.5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t="n">
        <v>0.291666666666667</v>
      </c>
      <c r="D20" s="34" t="n">
        <v>0.333333333333333</v>
      </c>
      <c r="E20" s="33" t="n">
        <v>0.708333333333333</v>
      </c>
      <c r="F20" s="34" t="n">
        <v>0.791666666666667</v>
      </c>
      <c r="G20" s="33"/>
      <c r="H20" s="34"/>
      <c r="I20" s="33" t="n">
        <f aca="false">SUM(D20-C20, F20-E20, H20-G20)</f>
        <v>0.125</v>
      </c>
      <c r="J20" s="35" t="s">
        <v>109</v>
      </c>
      <c r="K20" s="1" t="n">
        <f aca="false">SUM((D20-C20)*1.5*24,(F20-E20)*1.5*24)</f>
        <v>4.5</v>
      </c>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t="n">
        <v>0.3375</v>
      </c>
      <c r="D23" s="34" t="n">
        <v>0.495138888888889</v>
      </c>
      <c r="E23" s="33"/>
      <c r="F23" s="34"/>
      <c r="G23" s="33"/>
      <c r="H23" s="34"/>
      <c r="I23" s="33" t="n">
        <f aca="false">SUM(D23-C23, F23-E23, H23-G23)</f>
        <v>0.157638888888889</v>
      </c>
      <c r="J23" s="35" t="s">
        <v>110</v>
      </c>
      <c r="K23" s="1" t="n">
        <f aca="false">SUM((D23-C23)*2*24)</f>
        <v>7.56666666666667</v>
      </c>
    </row>
    <row r="24" customFormat="false" ht="17.25" hidden="false" customHeight="true" outlineLevel="0" collapsed="false">
      <c r="A24" s="27" t="str">
        <f aca="false">IF(B24&gt;0,PROPER(TEXT(B24,"dddd")),"")</f>
        <v>Domingo</v>
      </c>
      <c r="B24" s="32" t="n">
        <v>46131</v>
      </c>
      <c r="C24" s="33" t="n">
        <v>0.74375</v>
      </c>
      <c r="D24" s="34" t="n">
        <v>0.788194444444444</v>
      </c>
      <c r="E24" s="33"/>
      <c r="F24" s="34"/>
      <c r="G24" s="33"/>
      <c r="H24" s="34"/>
      <c r="I24" s="33" t="n">
        <f aca="false">SUM(D24-C24, F24-E24, H24-G24)</f>
        <v>0.0444444444444444</v>
      </c>
      <c r="J24" s="35" t="s">
        <v>111</v>
      </c>
      <c r="K24" s="1" t="n">
        <f aca="false">SUM((D24-C24)*2*24)</f>
        <v>2.13333333333333</v>
      </c>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t="n">
        <v>0.830555555555556</v>
      </c>
      <c r="D28" s="34" t="n">
        <v>0.896527777777778</v>
      </c>
      <c r="E28" s="33"/>
      <c r="F28" s="34"/>
      <c r="G28" s="33"/>
      <c r="H28" s="34"/>
      <c r="I28" s="33" t="n">
        <f aca="false">SUM(D28-C28, F28-E28, H28-G28)</f>
        <v>0.0659722222222222</v>
      </c>
      <c r="J28" s="35" t="s">
        <v>115</v>
      </c>
      <c r="K28" s="1" t="n">
        <f aca="false">SUM((D28-C28)*1.5*24)</f>
        <v>2.375</v>
      </c>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t="n">
        <v>0.885416666666667</v>
      </c>
      <c r="D32" s="34" t="n">
        <v>0.999305555555556</v>
      </c>
      <c r="E32" s="33"/>
      <c r="F32" s="34"/>
      <c r="G32" s="33"/>
      <c r="H32" s="34"/>
      <c r="I32" s="33" t="n">
        <f aca="false">SUM(D32-C32, F32-E32, H32-G32)</f>
        <v>0.113888888888889</v>
      </c>
      <c r="J32" s="35" t="s">
        <v>118</v>
      </c>
      <c r="K32" s="1" t="n">
        <f aca="false">SUM((D32-C32)*1.5*24)</f>
        <v>4.1</v>
      </c>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120</v>
      </c>
      <c r="I2" s="8" t="n">
        <f aca="false">SUM(K6:K36)</f>
        <v>38.15</v>
      </c>
      <c r="J2" s="9" t="s">
        <v>3</v>
      </c>
    </row>
    <row r="3" customFormat="false" ht="18.75" hidden="false" customHeight="true" outlineLevel="0" collapsed="false">
      <c r="A3" s="10" t="s">
        <v>4</v>
      </c>
      <c r="B3" s="10"/>
      <c r="C3" s="10"/>
      <c r="D3" s="10"/>
      <c r="E3" s="11"/>
      <c r="F3" s="11"/>
      <c r="G3" s="11"/>
      <c r="H3" s="7" t="s">
        <v>104</v>
      </c>
      <c r="I3" s="12" t="n">
        <f aca="false">SUM(I6:I36)*24</f>
        <v>21.2</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t="n">
        <v>0.708333333333333</v>
      </c>
      <c r="D14" s="34" t="n">
        <v>0.8125</v>
      </c>
      <c r="E14" s="33"/>
      <c r="F14" s="34"/>
      <c r="G14" s="33"/>
      <c r="H14" s="34"/>
      <c r="I14" s="33" t="n">
        <f aca="false">SUM(D14-C14, F14-E14, H14-G14)</f>
        <v>0.104166666666667</v>
      </c>
      <c r="J14" s="35" t="s">
        <v>107</v>
      </c>
      <c r="K14" s="1" t="n">
        <f aca="false">SUM((D14-C14)*1.5*24)</f>
        <v>3.75</v>
      </c>
    </row>
    <row r="15" customFormat="false" ht="17.25" hidden="false" customHeight="true" outlineLevel="0" collapsed="false">
      <c r="A15" s="27" t="str">
        <f aca="false">IF(B15&gt;0,PROPER(TEXT(B15,"dddd")),"")</f>
        <v>Viernes</v>
      </c>
      <c r="B15" s="32" t="n">
        <v>46122</v>
      </c>
      <c r="C15" s="33" t="n">
        <v>0.25</v>
      </c>
      <c r="D15" s="34" t="n">
        <v>0.333333333333333</v>
      </c>
      <c r="E15" s="33" t="n">
        <v>0.708333333333333</v>
      </c>
      <c r="F15" s="34" t="n">
        <v>0.75</v>
      </c>
      <c r="G15" s="33"/>
      <c r="H15" s="34"/>
      <c r="I15" s="33" t="n">
        <f aca="false">SUM(D15-C15, F15-E15, H15-G15)</f>
        <v>0.125</v>
      </c>
      <c r="J15" s="35" t="s">
        <v>108</v>
      </c>
      <c r="K15" s="1" t="n">
        <f aca="false">SUM((D15-C15)*1.5*24,(F15-E15)*1.5*24)</f>
        <v>4.5</v>
      </c>
    </row>
    <row r="16" customFormat="false" ht="17.25" hidden="false" customHeight="true" outlineLevel="0" collapsed="false">
      <c r="A16" s="27" t="str">
        <f aca="false">IF(B16&gt;0,PROPER(TEXT(B16,"dddd")),"")</f>
        <v>Sábado</v>
      </c>
      <c r="B16" s="32" t="n">
        <v>46123</v>
      </c>
      <c r="C16" s="33" t="n">
        <v>0.55625</v>
      </c>
      <c r="D16" s="34" t="n">
        <v>0.709722222222222</v>
      </c>
      <c r="E16" s="33"/>
      <c r="F16" s="34"/>
      <c r="G16" s="33"/>
      <c r="H16" s="34"/>
      <c r="I16" s="33" t="n">
        <f aca="false">SUM(D16-C16, F16-E16, H16-G16)</f>
        <v>0.153472222222222</v>
      </c>
      <c r="J16" s="35" t="s">
        <v>113</v>
      </c>
      <c r="K16" s="1" t="n">
        <f aca="false">SUM((D16-C16)*2*24)</f>
        <v>7.36666666666667</v>
      </c>
    </row>
    <row r="17" customFormat="false" ht="17.25" hidden="false" customHeight="true" outlineLevel="0" collapsed="false">
      <c r="A17" s="27" t="str">
        <f aca="false">IF(B17&gt;0,PROPER(TEXT(B17,"dddd")),"")</f>
        <v>Domingo</v>
      </c>
      <c r="B17" s="32" t="n">
        <v>46124</v>
      </c>
      <c r="C17" s="33" t="n">
        <v>0.586111111111111</v>
      </c>
      <c r="D17" s="34" t="n">
        <v>0.682638888888889</v>
      </c>
      <c r="E17" s="33"/>
      <c r="F17" s="34"/>
      <c r="G17" s="33"/>
      <c r="H17" s="34"/>
      <c r="I17" s="33" t="n">
        <f aca="false">SUM(D17-C17, F17-E17, H17-G17)</f>
        <v>0.0965277777777778</v>
      </c>
      <c r="J17" s="35" t="s">
        <v>114</v>
      </c>
      <c r="K17" s="1" t="n">
        <f aca="false">SUM((D17-C17)*2*24)</f>
        <v>4.63333333333333</v>
      </c>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t="n">
        <v>0.291666666666667</v>
      </c>
      <c r="D20" s="34" t="n">
        <v>0.333333333333333</v>
      </c>
      <c r="E20" s="33" t="n">
        <v>0.708333333333333</v>
      </c>
      <c r="F20" s="34" t="n">
        <v>0.791666666666667</v>
      </c>
      <c r="G20" s="33"/>
      <c r="H20" s="34"/>
      <c r="I20" s="33" t="n">
        <f aca="false">SUM(D20-C20, F20-E20, H20-G20)</f>
        <v>0.125</v>
      </c>
      <c r="J20" s="35" t="s">
        <v>109</v>
      </c>
      <c r="K20" s="1" t="n">
        <f aca="false">SUM((D20-C20)*1.5*24,(F20-E20)*1.5*24)</f>
        <v>4.5</v>
      </c>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t="n">
        <v>0.663888888888889</v>
      </c>
      <c r="D30" s="34" t="n">
        <v>0.875</v>
      </c>
      <c r="E30" s="33"/>
      <c r="F30" s="34"/>
      <c r="G30" s="33"/>
      <c r="H30" s="34"/>
      <c r="I30" s="33" t="n">
        <f aca="false">SUM(D30-C30, F30-E30, H30-G30)</f>
        <v>0.211111111111111</v>
      </c>
      <c r="J30" s="35" t="s">
        <v>116</v>
      </c>
      <c r="K30" s="1" t="n">
        <f aca="false">SUM((D30-C30)*2*24)</f>
        <v>10.1333333333333</v>
      </c>
    </row>
    <row r="31" customFormat="false" ht="17.25" hidden="false" customHeight="true" outlineLevel="0" collapsed="false">
      <c r="A31" s="27" t="str">
        <f aca="false">IF(B31&gt;0,PROPER(TEXT(B31,"dddd")),"")</f>
        <v>Domingo</v>
      </c>
      <c r="B31" s="32" t="n">
        <v>46138</v>
      </c>
      <c r="C31" s="33" t="n">
        <v>0.578472222222222</v>
      </c>
      <c r="D31" s="34" t="n">
        <v>0.646527777777778</v>
      </c>
      <c r="E31" s="33"/>
      <c r="F31" s="34"/>
      <c r="G31" s="33"/>
      <c r="H31" s="34"/>
      <c r="I31" s="33" t="n">
        <f aca="false">SUM(D31-C31, F31-E31, H31-G31)</f>
        <v>0.0680555555555556</v>
      </c>
      <c r="J31" s="35" t="s">
        <v>117</v>
      </c>
      <c r="K31" s="1" t="n">
        <f aca="false">SUM((D31-C31)*2*24)</f>
        <v>3.26666666666667</v>
      </c>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121</v>
      </c>
      <c r="I2" s="8" t="n">
        <f aca="false">SUM(K6:K36)</f>
        <v>19.9833333333333</v>
      </c>
      <c r="J2" s="9" t="s">
        <v>3</v>
      </c>
    </row>
    <row r="3" customFormat="false" ht="18.75" hidden="false" customHeight="true" outlineLevel="0" collapsed="false">
      <c r="A3" s="10" t="s">
        <v>4</v>
      </c>
      <c r="B3" s="10"/>
      <c r="C3" s="10"/>
      <c r="D3" s="10"/>
      <c r="E3" s="11"/>
      <c r="F3" s="11"/>
      <c r="G3" s="11"/>
      <c r="H3" s="7" t="s">
        <v>122</v>
      </c>
      <c r="I3" s="12" t="n">
        <f aca="false">SUM(I6:I36)*24</f>
        <v>12.0333333333333</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t="n">
        <v>0.270833333333333</v>
      </c>
      <c r="D14" s="34" t="n">
        <v>0.333333333333333</v>
      </c>
      <c r="E14" s="33" t="n">
        <v>0.708333333333333</v>
      </c>
      <c r="F14" s="34" t="n">
        <v>0.754166666666667</v>
      </c>
      <c r="G14" s="33"/>
      <c r="H14" s="34"/>
      <c r="I14" s="33" t="n">
        <f aca="false">SUM(D14-C14, F14-E14, H14-G14)</f>
        <v>0.108333333333333</v>
      </c>
      <c r="J14" s="35" t="s">
        <v>123</v>
      </c>
      <c r="K14" s="1" t="n">
        <f aca="false">SUM((D14-C14)*1.5*24,(F14-E14)*1.5*24)</f>
        <v>3.9</v>
      </c>
    </row>
    <row r="15" customFormat="false" ht="17.25" hidden="false" customHeight="true" outlineLevel="0" collapsed="false">
      <c r="A15" s="27" t="str">
        <f aca="false">IF(B15&gt;0,PROPER(TEXT(B15,"dddd")),"")</f>
        <v>Viernes</v>
      </c>
      <c r="B15" s="32" t="n">
        <v>46122</v>
      </c>
      <c r="C15" s="33" t="n">
        <v>0.284722222222222</v>
      </c>
      <c r="D15" s="34" t="n">
        <v>0.333333333333333</v>
      </c>
      <c r="E15" s="33"/>
      <c r="F15" s="34"/>
      <c r="G15" s="33"/>
      <c r="H15" s="34"/>
      <c r="I15" s="33" t="n">
        <f aca="false">SUM(D15-C15, F15-E15, H15-G15)</f>
        <v>0.0486111111111111</v>
      </c>
      <c r="J15" s="35" t="s">
        <v>124</v>
      </c>
      <c r="K15" s="1" t="n">
        <f aca="false">SUM((D15-C15)*1.5*24)</f>
        <v>1.75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t="n">
        <v>0.293055555555556</v>
      </c>
      <c r="D20" s="34" t="n">
        <v>0.333333333333333</v>
      </c>
      <c r="E20" s="33" t="n">
        <v>0.708333333333333</v>
      </c>
      <c r="F20" s="34" t="n">
        <v>0.802083333333333</v>
      </c>
      <c r="G20" s="33"/>
      <c r="H20" s="34"/>
      <c r="I20" s="33" t="n">
        <f aca="false">SUM(D20-C20, F20-E20, H20-G20)</f>
        <v>0.134027777777778</v>
      </c>
      <c r="J20" s="35" t="s">
        <v>125</v>
      </c>
      <c r="K20" s="1" t="n">
        <f aca="false">SUM((D20-C20)*1.5*24,(F20-E20)*1.5*24)</f>
        <v>4.825</v>
      </c>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t="n">
        <v>0.324305555555556</v>
      </c>
      <c r="D24" s="34" t="n">
        <v>0.485416666666667</v>
      </c>
      <c r="E24" s="33"/>
      <c r="F24" s="34"/>
      <c r="G24" s="33"/>
      <c r="H24" s="34"/>
      <c r="I24" s="33" t="n">
        <f aca="false">SUM(D24-C24, F24-E24, H24-G24)</f>
        <v>0.161111111111111</v>
      </c>
      <c r="J24" s="35" t="s">
        <v>126</v>
      </c>
      <c r="K24" s="1" t="n">
        <f aca="false">SUM((D24-C24)*2*24)</f>
        <v>7.73333333333333</v>
      </c>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t="n">
        <v>0.708333333333333</v>
      </c>
      <c r="D27" s="34" t="n">
        <v>0.757638888888889</v>
      </c>
      <c r="E27" s="33"/>
      <c r="F27" s="34"/>
      <c r="G27" s="33"/>
      <c r="H27" s="34"/>
      <c r="I27" s="33" t="n">
        <f aca="false">SUM(D27-C27, F27-E27, H27-G27)</f>
        <v>0.0493055555555556</v>
      </c>
      <c r="J27" s="35" t="s">
        <v>127</v>
      </c>
      <c r="K27" s="1" t="n">
        <f aca="false">SUM((D27-C27)*1.5*24)</f>
        <v>1.775</v>
      </c>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128</v>
      </c>
      <c r="I2" s="8" t="n">
        <f aca="false">SUM(K6:K36)</f>
        <v>10.475</v>
      </c>
      <c r="J2" s="9" t="s">
        <v>3</v>
      </c>
    </row>
    <row r="3" customFormat="false" ht="18.75" hidden="false" customHeight="true" outlineLevel="0" collapsed="false">
      <c r="A3" s="10" t="s">
        <v>4</v>
      </c>
      <c r="B3" s="10"/>
      <c r="C3" s="10"/>
      <c r="D3" s="10"/>
      <c r="E3" s="11"/>
      <c r="F3" s="11"/>
      <c r="G3" s="11"/>
      <c r="H3" s="7" t="s">
        <v>122</v>
      </c>
      <c r="I3" s="12" t="n">
        <f aca="false">SUM(I6:I36)*24</f>
        <v>6.98333333333333</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t="n">
        <v>0.270833333333333</v>
      </c>
      <c r="D14" s="34" t="n">
        <v>0.333333333333333</v>
      </c>
      <c r="E14" s="33" t="n">
        <v>0.708333333333333</v>
      </c>
      <c r="F14" s="34" t="n">
        <v>0.754166666666667</v>
      </c>
      <c r="G14" s="33"/>
      <c r="H14" s="34"/>
      <c r="I14" s="33" t="n">
        <f aca="false">SUM(D14-C14, F14-E14, H14-G14)</f>
        <v>0.108333333333333</v>
      </c>
      <c r="J14" s="35" t="s">
        <v>123</v>
      </c>
      <c r="K14" s="1" t="n">
        <f aca="false">SUM((D14-C14)*1.5*24,(F14-E14)*1.5*24)</f>
        <v>3.9</v>
      </c>
    </row>
    <row r="15" customFormat="false" ht="17.25" hidden="false" customHeight="true" outlineLevel="0" collapsed="false">
      <c r="A15" s="27" t="str">
        <f aca="false">IF(B15&gt;0,PROPER(TEXT(B15,"dddd")),"")</f>
        <v>Viernes</v>
      </c>
      <c r="B15" s="32" t="n">
        <v>46122</v>
      </c>
      <c r="C15" s="33" t="n">
        <v>0.284722222222222</v>
      </c>
      <c r="D15" s="34" t="n">
        <v>0.333333333333333</v>
      </c>
      <c r="E15" s="33"/>
      <c r="F15" s="34"/>
      <c r="G15" s="33"/>
      <c r="H15" s="34"/>
      <c r="I15" s="33" t="n">
        <f aca="false">SUM(D15-C15, F15-E15, H15-G15)</f>
        <v>0.0486111111111111</v>
      </c>
      <c r="J15" s="35" t="s">
        <v>124</v>
      </c>
      <c r="K15" s="1" t="n">
        <f aca="false">SUM((D15-C15)*1.5*24)</f>
        <v>1.75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t="n">
        <v>0.293055555555556</v>
      </c>
      <c r="D20" s="34" t="n">
        <v>0.333333333333333</v>
      </c>
      <c r="E20" s="33" t="n">
        <v>0.708333333333333</v>
      </c>
      <c r="F20" s="34" t="n">
        <v>0.802083333333333</v>
      </c>
      <c r="G20" s="33"/>
      <c r="H20" s="34"/>
      <c r="I20" s="33" t="n">
        <f aca="false">SUM(D20-C20, F20-E20, H20-G20)</f>
        <v>0.134027777777778</v>
      </c>
      <c r="J20" s="35" t="s">
        <v>125</v>
      </c>
      <c r="K20" s="1" t="n">
        <f aca="false">SUM((D20-C20)*1.5*24,(F20-E20)*1.5*24)</f>
        <v>4.825</v>
      </c>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129</v>
      </c>
      <c r="I2" s="8" t="n">
        <f aca="false">SUM(K6:K36)</f>
        <v>21.0833333333333</v>
      </c>
      <c r="J2" s="9" t="s">
        <v>3</v>
      </c>
    </row>
    <row r="3" customFormat="false" ht="18.75" hidden="false" customHeight="true" outlineLevel="0" collapsed="false">
      <c r="A3" s="10" t="s">
        <v>4</v>
      </c>
      <c r="B3" s="10"/>
      <c r="C3" s="10"/>
      <c r="D3" s="10"/>
      <c r="E3" s="11"/>
      <c r="F3" s="11"/>
      <c r="G3" s="11"/>
      <c r="H3" s="7" t="s">
        <v>122</v>
      </c>
      <c r="I3" s="12" t="n">
        <f aca="false">SUM(I6:I36)*24</f>
        <v>12.7666666666667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t="n">
        <v>0.270833333333333</v>
      </c>
      <c r="D14" s="34" t="n">
        <v>0.333333333333333</v>
      </c>
      <c r="E14" s="33" t="n">
        <v>0.708333333333333</v>
      </c>
      <c r="F14" s="34" t="n">
        <v>0.754166666666667</v>
      </c>
      <c r="G14" s="33"/>
      <c r="H14" s="34"/>
      <c r="I14" s="33" t="n">
        <f aca="false">SUM(D14-C14, F14-E14, H14-G14)</f>
        <v>0.108333333333333</v>
      </c>
      <c r="J14" s="35" t="s">
        <v>123</v>
      </c>
      <c r="K14" s="1" t="n">
        <f aca="false">SUM((D14-C14)*1.5*24,(F14-E14)*1.5*24)</f>
        <v>3.9</v>
      </c>
    </row>
    <row r="15" customFormat="false" ht="17.25" hidden="false" customHeight="true" outlineLevel="0" collapsed="false">
      <c r="A15" s="27" t="str">
        <f aca="false">IF(B15&gt;0,PROPER(TEXT(B15,"dddd")),"")</f>
        <v>Viernes</v>
      </c>
      <c r="B15" s="32" t="n">
        <v>46122</v>
      </c>
      <c r="C15" s="33" t="n">
        <v>0.284722222222222</v>
      </c>
      <c r="D15" s="34" t="n">
        <v>0.333333333333333</v>
      </c>
      <c r="E15" s="33" t="n">
        <v>0.708333333333333</v>
      </c>
      <c r="F15" s="34" t="n">
        <v>0.872916666666667</v>
      </c>
      <c r="G15" s="33"/>
      <c r="H15" s="34"/>
      <c r="I15" s="33" t="n">
        <f aca="false">SUM(D15-C15, F15-E15, H15-G15)</f>
        <v>0.213194444444444</v>
      </c>
      <c r="J15" s="35" t="s">
        <v>124</v>
      </c>
      <c r="K15" s="1" t="n">
        <f aca="false">SUM((D15-C15)*1.5*24,(F15-E15)*1.5*24)</f>
        <v>7.675</v>
      </c>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t="n">
        <v>0.324305555555556</v>
      </c>
      <c r="D24" s="34" t="n">
        <v>0.485416666666667</v>
      </c>
      <c r="E24" s="33"/>
      <c r="F24" s="34"/>
      <c r="G24" s="33"/>
      <c r="H24" s="34"/>
      <c r="I24" s="33" t="n">
        <f aca="false">SUM(D24-C24, F24-E24, H24-G24)</f>
        <v>0.161111111111111</v>
      </c>
      <c r="J24" s="35" t="s">
        <v>126</v>
      </c>
      <c r="K24" s="1" t="n">
        <f aca="false">SUM((D24-C24)*2*24)</f>
        <v>7.73333333333333</v>
      </c>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t="n">
        <v>0.708333333333333</v>
      </c>
      <c r="D27" s="34" t="n">
        <v>0.757638888888889</v>
      </c>
      <c r="E27" s="33"/>
      <c r="F27" s="34"/>
      <c r="G27" s="33"/>
      <c r="H27" s="34"/>
      <c r="I27" s="33" t="n">
        <f aca="false">SUM(D27-C27, F27-E27, H27-G27)</f>
        <v>0.0493055555555556</v>
      </c>
      <c r="J27" s="35" t="s">
        <v>127</v>
      </c>
      <c r="K27" s="1" t="n">
        <f aca="false">SUM((D27-C27)*1.5*24)</f>
        <v>1.775</v>
      </c>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130</v>
      </c>
      <c r="I2" s="8" t="n">
        <f aca="false">SUM(K6:K36)</f>
        <v>33.9583333333333</v>
      </c>
      <c r="J2" s="9" t="s">
        <v>3</v>
      </c>
    </row>
    <row r="3" customFormat="false" ht="18.75" hidden="false" customHeight="true" outlineLevel="0" collapsed="false">
      <c r="A3" s="10" t="s">
        <v>4</v>
      </c>
      <c r="B3" s="10"/>
      <c r="C3" s="10"/>
      <c r="D3" s="10"/>
      <c r="E3" s="11"/>
      <c r="F3" s="11"/>
      <c r="G3" s="11"/>
      <c r="H3" s="7" t="s">
        <v>131</v>
      </c>
      <c r="I3" s="12" t="n">
        <f aca="false">SUM(I6:I36)*24</f>
        <v>18.5</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t="n">
        <v>0.286805555555556</v>
      </c>
      <c r="D6" s="30" t="n">
        <v>0.333333333333333</v>
      </c>
      <c r="E6" s="29"/>
      <c r="F6" s="30"/>
      <c r="G6" s="29"/>
      <c r="H6" s="30"/>
      <c r="I6" s="29" t="n">
        <f aca="false">SUM(D6-C6, F6-E6, H6-G6)</f>
        <v>0.0465277777777778</v>
      </c>
      <c r="J6" s="31" t="s">
        <v>132</v>
      </c>
      <c r="K6" s="1" t="n">
        <f aca="false">SUM((D6-C6)*1.5*24)</f>
        <v>1.675</v>
      </c>
    </row>
    <row r="7" customFormat="false" ht="17.25" hidden="false" customHeight="true" outlineLevel="0" collapsed="false">
      <c r="A7" s="27" t="str">
        <f aca="false">IF(B7&gt;0,PROPER(TEXT(B7,"dddd")),"")</f>
        <v>Jueves</v>
      </c>
      <c r="B7" s="32" t="n">
        <v>46114</v>
      </c>
      <c r="C7" s="33" t="n">
        <v>0.815277777777778</v>
      </c>
      <c r="D7" s="34" t="n">
        <v>0.835416666666667</v>
      </c>
      <c r="E7" s="33"/>
      <c r="F7" s="34"/>
      <c r="G7" s="33"/>
      <c r="H7" s="34"/>
      <c r="I7" s="33" t="n">
        <f aca="false">SUM(D7-C7, F7-E7, H7-G7)</f>
        <v>0.0201388888888889</v>
      </c>
      <c r="J7" s="35" t="s">
        <v>133</v>
      </c>
      <c r="K7" s="1" t="n">
        <f aca="false">SUM((D7-C7)*1.5*24)</f>
        <v>0.725</v>
      </c>
    </row>
    <row r="8" customFormat="false" ht="17.25" hidden="false" customHeight="true" outlineLevel="0" collapsed="false">
      <c r="A8" s="27" t="str">
        <f aca="false">IF(B8&gt;0,PROPER(TEXT(B8,"dddd")),"")</f>
        <v>Viernes</v>
      </c>
      <c r="B8" s="32" t="n">
        <v>46115</v>
      </c>
      <c r="C8" s="33" t="n">
        <v>0.478472222222222</v>
      </c>
      <c r="D8" s="34" t="n">
        <v>0.510416666666667</v>
      </c>
      <c r="E8" s="33"/>
      <c r="F8" s="34"/>
      <c r="G8" s="33"/>
      <c r="H8" s="34"/>
      <c r="I8" s="33" t="n">
        <f aca="false">SUM(D8-C8, F8-E8, H8-G8)</f>
        <v>0.0319444444444444</v>
      </c>
      <c r="J8" s="35" t="s">
        <v>134</v>
      </c>
      <c r="K8" s="1" t="n">
        <f aca="false">SUM((D8-C8)*2*24)</f>
        <v>1.53333333333333</v>
      </c>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t="n">
        <v>0.306944444444445</v>
      </c>
      <c r="D10" s="34" t="n">
        <v>0.498611111111111</v>
      </c>
      <c r="E10" s="33"/>
      <c r="F10" s="34"/>
      <c r="G10" s="33"/>
      <c r="H10" s="34"/>
      <c r="I10" s="33" t="n">
        <f aca="false">SUM(D10-C10, F10-E10, H10-G10)</f>
        <v>0.191666666666667</v>
      </c>
      <c r="J10" s="35" t="s">
        <v>135</v>
      </c>
      <c r="K10" s="1" t="n">
        <f aca="false">SUM((D10-C10)*2*24)</f>
        <v>9.2</v>
      </c>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t="n">
        <v>0.792361111111111</v>
      </c>
      <c r="D18" s="34" t="n">
        <v>0.884722222222222</v>
      </c>
      <c r="E18" s="33"/>
      <c r="F18" s="34"/>
      <c r="G18" s="33"/>
      <c r="H18" s="34"/>
      <c r="I18" s="33" t="n">
        <f aca="false">SUM(D18-C18, F18-E18, H18-G18)</f>
        <v>0.0923611111111111</v>
      </c>
      <c r="J18" s="35" t="s">
        <v>136</v>
      </c>
      <c r="K18" s="1" t="n">
        <f aca="false">SUM((D18-C18)*1.5*24)</f>
        <v>3.325</v>
      </c>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t="n">
        <v>0.608333333333333</v>
      </c>
      <c r="D23" s="34" t="n">
        <v>0.779861111111111</v>
      </c>
      <c r="E23" s="33"/>
      <c r="F23" s="34"/>
      <c r="G23" s="33"/>
      <c r="H23" s="34"/>
      <c r="I23" s="33" t="n">
        <f aca="false">SUM(D23-C23, F23-E23, H23-G23)</f>
        <v>0.171527777777778</v>
      </c>
      <c r="J23" s="35" t="s">
        <v>137</v>
      </c>
      <c r="K23" s="1" t="n">
        <f aca="false">SUM((D23-C23)*2*24)</f>
        <v>8.23333333333333</v>
      </c>
    </row>
    <row r="24" customFormat="false" ht="17.25" hidden="false" customHeight="true" outlineLevel="0" collapsed="false">
      <c r="A24" s="27" t="str">
        <f aca="false">IF(B24&gt;0,PROPER(TEXT(B24,"dddd")),"")</f>
        <v>Domingo</v>
      </c>
      <c r="B24" s="32" t="n">
        <v>46131</v>
      </c>
      <c r="C24" s="33" t="n">
        <v>0.380555555555556</v>
      </c>
      <c r="D24" s="34" t="n">
        <v>0.502777777777778</v>
      </c>
      <c r="E24" s="33"/>
      <c r="F24" s="34"/>
      <c r="G24" s="33"/>
      <c r="H24" s="34"/>
      <c r="I24" s="33" t="n">
        <f aca="false">SUM(D24-C24, F24-E24, H24-G24)</f>
        <v>0.122222222222222</v>
      </c>
      <c r="J24" s="35" t="s">
        <v>138</v>
      </c>
      <c r="K24" s="1" t="n">
        <f aca="false">SUM((D24-C24)*2*24)</f>
        <v>5.86666666666667</v>
      </c>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t="n">
        <v>0.308333333333333</v>
      </c>
      <c r="D28" s="34" t="n">
        <v>0.333333333333333</v>
      </c>
      <c r="E28" s="33"/>
      <c r="F28" s="34"/>
      <c r="G28" s="33"/>
      <c r="H28" s="34"/>
      <c r="I28" s="33" t="n">
        <f aca="false">SUM(D28-C28, F28-E28, H28-G28)</f>
        <v>0.025</v>
      </c>
      <c r="J28" s="35" t="s">
        <v>139</v>
      </c>
      <c r="K28" s="1" t="n">
        <f aca="false">SUM((D28-C28)*1.5*24)</f>
        <v>0.9</v>
      </c>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t="n">
        <v>0.708333333333333</v>
      </c>
      <c r="D32" s="34" t="n">
        <v>0.777777777777778</v>
      </c>
      <c r="E32" s="33"/>
      <c r="F32" s="34"/>
      <c r="G32" s="33"/>
      <c r="H32" s="34"/>
      <c r="I32" s="33" t="n">
        <f aca="false">SUM(D32-C32, F32-E32, H32-G32)</f>
        <v>0.0694444444444445</v>
      </c>
      <c r="J32" s="35" t="s">
        <v>140</v>
      </c>
      <c r="K32" s="1" t="n">
        <f aca="false">SUM((D32-C32)*1.5*24)</f>
        <v>2.5</v>
      </c>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141</v>
      </c>
      <c r="I2" s="8" t="n">
        <f aca="false">SUM(K6:K36)</f>
        <v>28.775</v>
      </c>
      <c r="J2" s="9" t="s">
        <v>3</v>
      </c>
    </row>
    <row r="3" customFormat="false" ht="18.75" hidden="false" customHeight="true" outlineLevel="0" collapsed="false">
      <c r="A3" s="10" t="s">
        <v>4</v>
      </c>
      <c r="B3" s="10"/>
      <c r="C3" s="10"/>
      <c r="D3" s="10"/>
      <c r="E3" s="11"/>
      <c r="F3" s="11"/>
      <c r="G3" s="11"/>
      <c r="H3" s="7" t="s">
        <v>131</v>
      </c>
      <c r="I3" s="12" t="n">
        <f aca="false">SUM(I6:I36)*24</f>
        <v>14.6666666666667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t="n">
        <v>0.286805555555556</v>
      </c>
      <c r="D6" s="30" t="n">
        <v>0.333333333333333</v>
      </c>
      <c r="E6" s="29"/>
      <c r="F6" s="30"/>
      <c r="G6" s="29"/>
      <c r="H6" s="30"/>
      <c r="I6" s="29" t="n">
        <f aca="false">SUM(D6-C6, F6-E6, H6-G6)</f>
        <v>0.0465277777777778</v>
      </c>
      <c r="J6" s="31" t="s">
        <v>132</v>
      </c>
      <c r="K6" s="1" t="n">
        <f aca="false">SUM((D6-C6)*1.5*24)</f>
        <v>1.675</v>
      </c>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t="n">
        <v>0.333333333333333</v>
      </c>
      <c r="D30" s="34" t="n">
        <v>0.583333333333333</v>
      </c>
      <c r="E30" s="33"/>
      <c r="F30" s="34"/>
      <c r="G30" s="33"/>
      <c r="H30" s="34"/>
      <c r="I30" s="33" t="n">
        <f aca="false">SUM(D30-C30, F30-E30, H30-G30)</f>
        <v>0.25</v>
      </c>
      <c r="J30" s="35" t="s">
        <v>142</v>
      </c>
      <c r="K30" s="1" t="n">
        <f aca="false">SUM((D30-C30)*2*24)</f>
        <v>12</v>
      </c>
    </row>
    <row r="31" customFormat="false" ht="17.25" hidden="false" customHeight="true" outlineLevel="0" collapsed="false">
      <c r="A31" s="27" t="str">
        <f aca="false">IF(B31&gt;0,PROPER(TEXT(B31,"dddd")),"")</f>
        <v>Domingo</v>
      </c>
      <c r="B31" s="32" t="n">
        <v>46138</v>
      </c>
      <c r="C31" s="33" t="n">
        <v>0.478472222222222</v>
      </c>
      <c r="D31" s="34" t="n">
        <v>0.510416666666667</v>
      </c>
      <c r="E31" s="33" t="n">
        <v>0.511111111111111</v>
      </c>
      <c r="F31" s="34" t="n">
        <v>0.713888888888889</v>
      </c>
      <c r="G31" s="33" t="n">
        <v>0.790277777777778</v>
      </c>
      <c r="H31" s="34" t="n">
        <v>0.870138888888889</v>
      </c>
      <c r="I31" s="33" t="n">
        <f aca="false">SUM(D31-C31, F31-E31, H31-G31)</f>
        <v>0.314583333333333</v>
      </c>
      <c r="J31" s="35" t="s">
        <v>143</v>
      </c>
      <c r="K31" s="1" t="n">
        <f aca="false">SUM((D31-C31)*2*24,(F31-E31)*2*24,(H31-G31)*2*24)</f>
        <v>15.1</v>
      </c>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144</v>
      </c>
      <c r="I2" s="8" t="n">
        <f aca="false">SUM(K6:K36)</f>
        <v>22.8</v>
      </c>
      <c r="J2" s="9" t="s">
        <v>3</v>
      </c>
    </row>
    <row r="3" customFormat="false" ht="18.75" hidden="false" customHeight="true" outlineLevel="0" collapsed="false">
      <c r="A3" s="10" t="s">
        <v>4</v>
      </c>
      <c r="B3" s="10"/>
      <c r="C3" s="10"/>
      <c r="D3" s="10"/>
      <c r="E3" s="11"/>
      <c r="F3" s="11"/>
      <c r="G3" s="11"/>
      <c r="H3" s="7" t="s">
        <v>131</v>
      </c>
      <c r="I3" s="12" t="n">
        <f aca="false">SUM(I6:I36)*24</f>
        <v>11.9666666666667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t="n">
        <v>0.586805555555556</v>
      </c>
      <c r="D16" s="34" t="n">
        <v>0.786111111111111</v>
      </c>
      <c r="E16" s="33"/>
      <c r="F16" s="34"/>
      <c r="G16" s="33"/>
      <c r="H16" s="34"/>
      <c r="I16" s="33" t="n">
        <f aca="false">SUM(D16-C16, F16-E16, H16-G16)</f>
        <v>0.199305555555556</v>
      </c>
      <c r="J16" s="35" t="s">
        <v>84</v>
      </c>
      <c r="K16" s="1" t="n">
        <f aca="false">SUM((D16-C16)*2*24)</f>
        <v>9.56666666666667</v>
      </c>
    </row>
    <row r="17" customFormat="false" ht="17.25" hidden="false" customHeight="true" outlineLevel="0" collapsed="false">
      <c r="A17" s="27" t="str">
        <f aca="false">IF(B17&gt;0,PROPER(TEXT(B17,"dddd")),"")</f>
        <v>Domingo</v>
      </c>
      <c r="B17" s="32" t="n">
        <v>46124</v>
      </c>
      <c r="C17" s="33" t="n">
        <v>0.586805555555556</v>
      </c>
      <c r="D17" s="34" t="n">
        <v>0.791666666666667</v>
      </c>
      <c r="E17" s="33"/>
      <c r="F17" s="34"/>
      <c r="G17" s="33"/>
      <c r="H17" s="34"/>
      <c r="I17" s="33" t="n">
        <f aca="false">SUM(D17-C17, F17-E17, H17-G17)</f>
        <v>0.204861111111111</v>
      </c>
      <c r="J17" s="35" t="s">
        <v>85</v>
      </c>
      <c r="K17" s="1" t="n">
        <f aca="false">SUM((D17-C17)*2*24)</f>
        <v>9.83333333333333</v>
      </c>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t="n">
        <v>0.308333333333333</v>
      </c>
      <c r="D28" s="34" t="n">
        <v>0.333333333333333</v>
      </c>
      <c r="E28" s="33"/>
      <c r="F28" s="34"/>
      <c r="G28" s="33"/>
      <c r="H28" s="34"/>
      <c r="I28" s="33" t="n">
        <f aca="false">SUM(D28-C28, F28-E28, H28-G28)</f>
        <v>0.025</v>
      </c>
      <c r="J28" s="35" t="s">
        <v>139</v>
      </c>
      <c r="K28" s="1" t="n">
        <f aca="false">SUM((D28-C28)*1.5*24)</f>
        <v>0.9</v>
      </c>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t="n">
        <v>0.708333333333333</v>
      </c>
      <c r="D32" s="34" t="n">
        <v>0.777777777777778</v>
      </c>
      <c r="E32" s="33"/>
      <c r="F32" s="34"/>
      <c r="G32" s="33"/>
      <c r="H32" s="34"/>
      <c r="I32" s="33" t="n">
        <f aca="false">SUM(D32-C32, F32-E32, H32-G32)</f>
        <v>0.0694444444444445</v>
      </c>
      <c r="J32" s="35" t="s">
        <v>140</v>
      </c>
      <c r="K32" s="1" t="n">
        <f aca="false">SUM((D32-C32)*1.5*24)</f>
        <v>2.5</v>
      </c>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true" showOutlineSymbols="true" defaultGridColor="true" view="normal" topLeftCell="B9" colorId="64" zoomScale="100" zoomScaleNormal="100" zoomScalePageLayoutView="100" workbookViewId="0">
      <selection pane="topLeft" activeCell="J23" activeCellId="0" sqref="J23"/>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145</v>
      </c>
      <c r="I2" s="8" t="n">
        <f aca="false">SUM(K6:K36)</f>
        <v>35.8666666666667</v>
      </c>
      <c r="J2" s="9" t="s">
        <v>3</v>
      </c>
    </row>
    <row r="3" customFormat="false" ht="18.75" hidden="false" customHeight="true" outlineLevel="0" collapsed="false">
      <c r="A3" s="10" t="s">
        <v>4</v>
      </c>
      <c r="B3" s="10"/>
      <c r="C3" s="10"/>
      <c r="D3" s="10"/>
      <c r="E3" s="11"/>
      <c r="F3" s="11"/>
      <c r="G3" s="11"/>
      <c r="H3" s="7" t="s">
        <v>146</v>
      </c>
      <c r="I3" s="12" t="n">
        <f aca="false">SUM(I6:I36)*24</f>
        <v>19.3</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t="n">
        <v>0.792361111111111</v>
      </c>
      <c r="D18" s="34" t="n">
        <v>0.884722222222222</v>
      </c>
      <c r="E18" s="33"/>
      <c r="F18" s="34"/>
      <c r="G18" s="33"/>
      <c r="H18" s="34"/>
      <c r="I18" s="33" t="n">
        <f aca="false">SUM(D18-C18, F18-E18, H18-G18)</f>
        <v>0.0923611111111111</v>
      </c>
      <c r="J18" s="35" t="s">
        <v>136</v>
      </c>
      <c r="K18" s="1" t="n">
        <f aca="false">SUM((D18-C18)*1.5*24)</f>
        <v>3.325</v>
      </c>
    </row>
    <row r="19" customFormat="false" ht="17.25" hidden="false" customHeight="true" outlineLevel="0" collapsed="false">
      <c r="A19" s="27" t="str">
        <f aca="false">IF(B19&gt;0,PROPER(TEXT(B19,"dddd")),"")</f>
        <v>Martes</v>
      </c>
      <c r="B19" s="32" t="n">
        <v>46126</v>
      </c>
      <c r="C19" s="33" t="n">
        <v>0.708333333333333</v>
      </c>
      <c r="D19" s="34" t="n">
        <v>0.763888888888889</v>
      </c>
      <c r="E19" s="33"/>
      <c r="F19" s="34"/>
      <c r="G19" s="33"/>
      <c r="H19" s="34"/>
      <c r="I19" s="33" t="n">
        <f aca="false">SUM(D19-C19, F19-E19, H19-G19)</f>
        <v>0.0555555555555556</v>
      </c>
      <c r="J19" s="35" t="s">
        <v>147</v>
      </c>
      <c r="K19" s="1" t="n">
        <f aca="false">SUM((D19-C19)*1.5*24)</f>
        <v>2</v>
      </c>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30.55" hidden="false" customHeight="false" outlineLevel="0" collapsed="false">
      <c r="A23" s="27" t="str">
        <f aca="false">IF(B23&gt;0,PROPER(TEXT(B23,"dddd")),"")</f>
        <v>Sábado</v>
      </c>
      <c r="B23" s="32" t="n">
        <v>46130</v>
      </c>
      <c r="C23" s="33" t="n">
        <v>0.608333333333333</v>
      </c>
      <c r="D23" s="34" t="n">
        <v>0.779861111111111</v>
      </c>
      <c r="E23" s="33"/>
      <c r="F23" s="34"/>
      <c r="G23" s="33"/>
      <c r="H23" s="34"/>
      <c r="I23" s="33" t="n">
        <f aca="false">SUM(D23-C23, F23-E23, H23-G23)</f>
        <v>0.171527777777778</v>
      </c>
      <c r="J23" s="35" t="s">
        <v>137</v>
      </c>
      <c r="K23" s="1" t="n">
        <f aca="false">SUM((D23-C23)*2*24)</f>
        <v>8.23333333333333</v>
      </c>
    </row>
    <row r="24" customFormat="false" ht="17.25" hidden="false" customHeight="true" outlineLevel="0" collapsed="false">
      <c r="A24" s="27" t="str">
        <f aca="false">IF(B24&gt;0,PROPER(TEXT(B24,"dddd")),"")</f>
        <v>Domingo</v>
      </c>
      <c r="B24" s="32" t="n">
        <v>46131</v>
      </c>
      <c r="C24" s="33" t="n">
        <v>0.380555555555556</v>
      </c>
      <c r="D24" s="34" t="n">
        <v>0.502777777777778</v>
      </c>
      <c r="E24" s="33"/>
      <c r="F24" s="34"/>
      <c r="G24" s="33"/>
      <c r="H24" s="34"/>
      <c r="I24" s="33" t="n">
        <f aca="false">SUM(D24-C24, F24-E24, H24-G24)</f>
        <v>0.122222222222222</v>
      </c>
      <c r="J24" s="35" t="s">
        <v>138</v>
      </c>
      <c r="K24" s="1" t="n">
        <f aca="false">SUM((D24-C24)*2*24)</f>
        <v>5.86666666666667</v>
      </c>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t="n">
        <v>0.759722222222222</v>
      </c>
      <c r="D26" s="34" t="n">
        <v>0.839583333333333</v>
      </c>
      <c r="E26" s="33"/>
      <c r="F26" s="34"/>
      <c r="G26" s="33"/>
      <c r="H26" s="34"/>
      <c r="I26" s="33" t="n">
        <f aca="false">SUM(D26-C26, F26-E26, H26-G26)</f>
        <v>0.0798611111111111</v>
      </c>
      <c r="J26" s="35" t="s">
        <v>148</v>
      </c>
      <c r="K26" s="1" t="n">
        <f aca="false">SUM((D26-C26)*1.5*24)</f>
        <v>2.875</v>
      </c>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t="n">
        <v>0.511111111111111</v>
      </c>
      <c r="D31" s="34" t="n">
        <v>0.713888888888889</v>
      </c>
      <c r="E31" s="33" t="n">
        <v>0.790277777777778</v>
      </c>
      <c r="F31" s="34" t="n">
        <v>0.870138888888889</v>
      </c>
      <c r="G31" s="33"/>
      <c r="H31" s="34"/>
      <c r="I31" s="33" t="n">
        <f aca="false">SUM(D31-C31, F31-E31, H31-G31)</f>
        <v>0.282638888888889</v>
      </c>
      <c r="J31" s="35" t="s">
        <v>149</v>
      </c>
      <c r="K31" s="1" t="n">
        <f aca="false">SUM((D31-C31)*2*24,(F31-E31)*2*24)</f>
        <v>13.5666666666667</v>
      </c>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150</v>
      </c>
      <c r="I2" s="8" t="n">
        <f aca="false">SUM(K6:K36)</f>
        <v>41.275</v>
      </c>
      <c r="J2" s="9" t="s">
        <v>3</v>
      </c>
    </row>
    <row r="3" customFormat="false" ht="18.75" hidden="false" customHeight="true" outlineLevel="0" collapsed="false">
      <c r="A3" s="10" t="s">
        <v>4</v>
      </c>
      <c r="B3" s="10"/>
      <c r="C3" s="10"/>
      <c r="D3" s="10"/>
      <c r="E3" s="11"/>
      <c r="F3" s="11"/>
      <c r="G3" s="11"/>
      <c r="H3" s="7" t="s">
        <v>146</v>
      </c>
      <c r="I3" s="12" t="n">
        <f aca="false">SUM(I6:I36)*24</f>
        <v>21.85</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t="n">
        <v>0.286805555555556</v>
      </c>
      <c r="D6" s="30" t="n">
        <v>0.333333333333333</v>
      </c>
      <c r="E6" s="29"/>
      <c r="F6" s="30"/>
      <c r="G6" s="29"/>
      <c r="H6" s="30"/>
      <c r="I6" s="29" t="n">
        <f aca="false">SUM(D6-C6, F6-E6, H6-G6)</f>
        <v>0.0465277777777778</v>
      </c>
      <c r="J6" s="31" t="s">
        <v>132</v>
      </c>
      <c r="K6" s="1" t="n">
        <f aca="false">SUM((D6-C6)*1.5*24)</f>
        <v>1.675</v>
      </c>
    </row>
    <row r="7" customFormat="false" ht="17.25" hidden="false" customHeight="true" outlineLevel="0" collapsed="false">
      <c r="A7" s="27" t="str">
        <f aca="false">IF(B7&gt;0,PROPER(TEXT(B7,"dddd")),"")</f>
        <v>Jueves</v>
      </c>
      <c r="B7" s="32" t="n">
        <v>46114</v>
      </c>
      <c r="C7" s="33" t="n">
        <v>0.815277777777778</v>
      </c>
      <c r="D7" s="34" t="n">
        <v>0.835416666666667</v>
      </c>
      <c r="E7" s="33"/>
      <c r="F7" s="34"/>
      <c r="G7" s="33"/>
      <c r="H7" s="34"/>
      <c r="I7" s="33" t="n">
        <f aca="false">SUM(D7-C7, F7-E7, H7-G7)</f>
        <v>0.0201388888888889</v>
      </c>
      <c r="J7" s="35" t="s">
        <v>133</v>
      </c>
      <c r="K7" s="1" t="n">
        <f aca="false">SUM((D7-C7)*1.5*24)</f>
        <v>0.725</v>
      </c>
    </row>
    <row r="8" customFormat="false" ht="17.25" hidden="false" customHeight="true" outlineLevel="0" collapsed="false">
      <c r="A8" s="27" t="str">
        <f aca="false">IF(B8&gt;0,PROPER(TEXT(B8,"dddd")),"")</f>
        <v>Viernes</v>
      </c>
      <c r="B8" s="32" t="n">
        <v>46115</v>
      </c>
      <c r="C8" s="33" t="n">
        <v>0.478472222222222</v>
      </c>
      <c r="D8" s="34" t="n">
        <v>0.510416666666667</v>
      </c>
      <c r="E8" s="33"/>
      <c r="F8" s="34"/>
      <c r="G8" s="33"/>
      <c r="H8" s="34"/>
      <c r="I8" s="33" t="n">
        <f aca="false">SUM(D8-C8, F8-E8, H8-G8)</f>
        <v>0.0319444444444444</v>
      </c>
      <c r="J8" s="35" t="s">
        <v>134</v>
      </c>
      <c r="K8" s="1" t="n">
        <f aca="false">SUM((D8-C8)*2*24)</f>
        <v>1.53333333333333</v>
      </c>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t="n">
        <v>0.306944444444445</v>
      </c>
      <c r="D10" s="34" t="n">
        <v>0.498611111111111</v>
      </c>
      <c r="E10" s="33"/>
      <c r="F10" s="34"/>
      <c r="G10" s="33"/>
      <c r="H10" s="34"/>
      <c r="I10" s="33" t="n">
        <f aca="false">SUM(D10-C10, F10-E10, H10-G10)</f>
        <v>0.191666666666667</v>
      </c>
      <c r="J10" s="35" t="s">
        <v>135</v>
      </c>
      <c r="K10" s="1" t="n">
        <f aca="false">SUM((D10-C10)*2*24)</f>
        <v>9.2</v>
      </c>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t="n">
        <v>0.708333333333333</v>
      </c>
      <c r="D19" s="34" t="n">
        <v>0.763888888888889</v>
      </c>
      <c r="E19" s="33"/>
      <c r="F19" s="34"/>
      <c r="G19" s="33"/>
      <c r="H19" s="34"/>
      <c r="I19" s="33" t="n">
        <f aca="false">SUM(D19-C19, F19-E19, H19-G19)</f>
        <v>0.0555555555555556</v>
      </c>
      <c r="J19" s="35" t="s">
        <v>147</v>
      </c>
      <c r="K19" s="1" t="n">
        <f aca="false">SUM((D19-C19)*1.5*24)</f>
        <v>2</v>
      </c>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t="n">
        <v>0.759722222222222</v>
      </c>
      <c r="D26" s="34" t="n">
        <v>0.839583333333333</v>
      </c>
      <c r="E26" s="33"/>
      <c r="F26" s="34"/>
      <c r="G26" s="33"/>
      <c r="H26" s="34"/>
      <c r="I26" s="33" t="n">
        <f aca="false">SUM(D26-C26, F26-E26, H26-G26)</f>
        <v>0.0798611111111111</v>
      </c>
      <c r="J26" s="35" t="s">
        <v>148</v>
      </c>
      <c r="K26" s="1" t="n">
        <f aca="false">SUM((D26-C26)*1.5*24)</f>
        <v>2.875</v>
      </c>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t="n">
        <v>0.333333333333333</v>
      </c>
      <c r="D30" s="34" t="n">
        <v>0.583333333333333</v>
      </c>
      <c r="E30" s="33"/>
      <c r="F30" s="34"/>
      <c r="G30" s="33"/>
      <c r="H30" s="34"/>
      <c r="I30" s="33" t="n">
        <f aca="false">SUM(D30-C30, F30-E30, H30-G30)</f>
        <v>0.25</v>
      </c>
      <c r="J30" s="35" t="s">
        <v>142</v>
      </c>
      <c r="K30" s="1" t="n">
        <f aca="false">SUM((D30-C30)*2*24)</f>
        <v>12</v>
      </c>
    </row>
    <row r="31" customFormat="false" ht="17.25" hidden="false" customHeight="true" outlineLevel="0" collapsed="false">
      <c r="A31" s="27" t="str">
        <f aca="false">IF(B31&gt;0,PROPER(TEXT(B31,"dddd")),"")</f>
        <v>Domingo</v>
      </c>
      <c r="B31" s="32" t="n">
        <v>46138</v>
      </c>
      <c r="C31" s="33" t="n">
        <v>0.478472222222222</v>
      </c>
      <c r="D31" s="34" t="n">
        <v>0.510416666666667</v>
      </c>
      <c r="E31" s="33" t="n">
        <v>0.511111111111111</v>
      </c>
      <c r="F31" s="34" t="n">
        <v>0.713888888888889</v>
      </c>
      <c r="G31" s="33"/>
      <c r="H31" s="34"/>
      <c r="I31" s="33" t="n">
        <f aca="false">SUM(D31-C31, F31-E31, H31-G31)</f>
        <v>0.234722222222222</v>
      </c>
      <c r="J31" s="35" t="s">
        <v>143</v>
      </c>
      <c r="K31" s="1" t="n">
        <f aca="false">SUM((D31-C31)*2*24,(F31-E31)*2*24)</f>
        <v>11.2666666666667</v>
      </c>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151</v>
      </c>
      <c r="I2" s="8" t="n">
        <f aca="false">SUM(K6:K36)</f>
        <v>34.3083333333333</v>
      </c>
      <c r="J2" s="9" t="s">
        <v>3</v>
      </c>
    </row>
    <row r="3" customFormat="false" ht="18.75" hidden="false" customHeight="true" outlineLevel="0" collapsed="false">
      <c r="A3" s="10" t="s">
        <v>4</v>
      </c>
      <c r="B3" s="10"/>
      <c r="C3" s="10"/>
      <c r="D3" s="10"/>
      <c r="E3" s="11"/>
      <c r="F3" s="11"/>
      <c r="G3" s="11"/>
      <c r="H3" s="7" t="s">
        <v>152</v>
      </c>
      <c r="I3" s="12" t="n">
        <f aca="false">SUM(I6:I36)*24</f>
        <v>20.0166666666667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t="n">
        <v>0.84375</v>
      </c>
      <c r="D18" s="34" t="n">
        <v>0.918055555555556</v>
      </c>
      <c r="E18" s="33"/>
      <c r="F18" s="34"/>
      <c r="G18" s="33"/>
      <c r="H18" s="34"/>
      <c r="I18" s="33" t="n">
        <f aca="false">SUM(D18-C18, F18-E18, H18-G18)</f>
        <v>0.0743055555555556</v>
      </c>
      <c r="J18" s="35" t="s">
        <v>153</v>
      </c>
      <c r="K18" s="1" t="n">
        <f aca="false">SUM((D18-C18)*1.5*24)</f>
        <v>2.675</v>
      </c>
    </row>
    <row r="19" customFormat="false" ht="17.25" hidden="false" customHeight="true" outlineLevel="0" collapsed="false">
      <c r="A19" s="27" t="str">
        <f aca="false">IF(B19&gt;0,PROPER(TEXT(B19,"dddd")),"")</f>
        <v>Martes</v>
      </c>
      <c r="B19" s="32" t="n">
        <v>46126</v>
      </c>
      <c r="C19" s="33" t="n">
        <v>0.708333333333333</v>
      </c>
      <c r="D19" s="34" t="n">
        <v>0.79375</v>
      </c>
      <c r="E19" s="33"/>
      <c r="F19" s="34"/>
      <c r="G19" s="33"/>
      <c r="H19" s="34"/>
      <c r="I19" s="33" t="n">
        <f aca="false">SUM(D19-C19, F19-E19, H19-G19)</f>
        <v>0.0854166666666667</v>
      </c>
      <c r="J19" s="35" t="s">
        <v>154</v>
      </c>
      <c r="K19" s="1" t="n">
        <f aca="false">SUM((D19-C19)*1.5*24)</f>
        <v>3.075</v>
      </c>
    </row>
    <row r="20" customFormat="false" ht="17.25" hidden="false" customHeight="true" outlineLevel="0" collapsed="false">
      <c r="A20" s="27" t="str">
        <f aca="false">IF(B20&gt;0,PROPER(TEXT(B20,"dddd")),"")</f>
        <v>Miércoles</v>
      </c>
      <c r="B20" s="32" t="n">
        <v>46127</v>
      </c>
      <c r="C20" s="33" t="n">
        <v>0.708333333333333</v>
      </c>
      <c r="D20" s="34" t="n">
        <v>0.754861111111111</v>
      </c>
      <c r="E20" s="33"/>
      <c r="F20" s="34"/>
      <c r="G20" s="33"/>
      <c r="H20" s="34"/>
      <c r="I20" s="33" t="n">
        <f aca="false">SUM(D20-C20, F20-E20, H20-G20)</f>
        <v>0.0465277777777778</v>
      </c>
      <c r="J20" s="35" t="s">
        <v>155</v>
      </c>
      <c r="K20" s="1" t="n">
        <f aca="false">SUM((D20-C20)*1.5*24)</f>
        <v>1.675</v>
      </c>
    </row>
    <row r="21" customFormat="false" ht="17.25" hidden="false" customHeight="true" outlineLevel="0" collapsed="false">
      <c r="A21" s="27" t="str">
        <f aca="false">IF(B21&gt;0,PROPER(TEXT(B21,"dddd")),"")</f>
        <v>Jueves</v>
      </c>
      <c r="B21" s="32" t="n">
        <v>46128</v>
      </c>
      <c r="C21" s="33" t="n">
        <v>0.754861111111111</v>
      </c>
      <c r="D21" s="34" t="n">
        <v>0.795138888888889</v>
      </c>
      <c r="E21" s="33"/>
      <c r="F21" s="34"/>
      <c r="G21" s="33"/>
      <c r="H21" s="34"/>
      <c r="I21" s="33" t="n">
        <f aca="false">SUM(D21-C21, F21-E21, H21-G21)</f>
        <v>0.0402777777777778</v>
      </c>
      <c r="J21" s="35" t="s">
        <v>156</v>
      </c>
      <c r="K21" s="1" t="n">
        <f aca="false">SUM((D21-C21)*1.5*24)</f>
        <v>1.45</v>
      </c>
    </row>
    <row r="22" customFormat="false" ht="17.25" hidden="false" customHeight="true" outlineLevel="0" collapsed="false">
      <c r="A22" s="27" t="str">
        <f aca="false">IF(B22&gt;0,PROPER(TEXT(B22,"dddd")),"")</f>
        <v>Viernes</v>
      </c>
      <c r="B22" s="32" t="n">
        <v>46129</v>
      </c>
      <c r="C22" s="33" t="n">
        <v>0.777777777777778</v>
      </c>
      <c r="D22" s="34" t="n">
        <v>0.861111111111111</v>
      </c>
      <c r="E22" s="33"/>
      <c r="F22" s="34"/>
      <c r="G22" s="33"/>
      <c r="H22" s="34"/>
      <c r="I22" s="33" t="n">
        <f aca="false">SUM(D22-C22, F22-E22, H22-G22)</f>
        <v>0.0833333333333333</v>
      </c>
      <c r="J22" s="35" t="s">
        <v>157</v>
      </c>
      <c r="K22" s="1" t="n">
        <f aca="false">SUM((D22-C22)*1.5*24)</f>
        <v>3</v>
      </c>
    </row>
    <row r="23" customFormat="false" ht="17.25" hidden="false" customHeight="true" outlineLevel="0" collapsed="false">
      <c r="A23" s="27" t="str">
        <f aca="false">IF(B23&gt;0,PROPER(TEXT(B23,"dddd")),"")</f>
        <v>Sábado</v>
      </c>
      <c r="B23" s="32" t="n">
        <v>46130</v>
      </c>
      <c r="C23" s="33" t="n">
        <v>0.405555555555556</v>
      </c>
      <c r="D23" s="34" t="n">
        <v>0.616666666666667</v>
      </c>
      <c r="E23" s="33"/>
      <c r="F23" s="34"/>
      <c r="G23" s="33"/>
      <c r="H23" s="34"/>
      <c r="I23" s="33" t="n">
        <f aca="false">SUM(D23-C23, F23-E23, H23-G23)</f>
        <v>0.211111111111111</v>
      </c>
      <c r="J23" s="35" t="s">
        <v>158</v>
      </c>
      <c r="K23" s="1" t="n">
        <f aca="false">SUM((D23-C23)*2*24)</f>
        <v>10.1333333333333</v>
      </c>
    </row>
    <row r="24" customFormat="false" ht="17.25" hidden="false" customHeight="true" outlineLevel="0" collapsed="false">
      <c r="A24" s="27" t="str">
        <f aca="false">IF(B24&gt;0,PROPER(TEXT(B24,"dddd")),"")</f>
        <v>Domingo</v>
      </c>
      <c r="B24" s="32" t="n">
        <v>46131</v>
      </c>
      <c r="C24" s="33" t="n">
        <v>0.590277777777778</v>
      </c>
      <c r="D24" s="34" t="n">
        <v>0.65625</v>
      </c>
      <c r="E24" s="33" t="n">
        <v>0.776388888888889</v>
      </c>
      <c r="F24" s="34" t="n">
        <v>0.85625</v>
      </c>
      <c r="G24" s="33"/>
      <c r="H24" s="34"/>
      <c r="I24" s="33" t="n">
        <f aca="false">SUM(D24-C24, F24-E24, H24-G24)</f>
        <v>0.145833333333333</v>
      </c>
      <c r="J24" s="35" t="s">
        <v>159</v>
      </c>
      <c r="K24" s="1" t="n">
        <f aca="false">SUM((D24-C24)*2*24,(F24-E24)*2*24)</f>
        <v>7</v>
      </c>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t="n">
        <v>0.708333333333333</v>
      </c>
      <c r="D32" s="34" t="n">
        <v>0.855555555555556</v>
      </c>
      <c r="E32" s="33"/>
      <c r="F32" s="34"/>
      <c r="G32" s="33"/>
      <c r="H32" s="34"/>
      <c r="I32" s="33" t="n">
        <f aca="false">SUM(D32-C32, F32-E32, H32-G32)</f>
        <v>0.147222222222222</v>
      </c>
      <c r="J32" s="35" t="s">
        <v>160</v>
      </c>
      <c r="K32" s="1" t="n">
        <f aca="false">SUM((D32-C32)*1.5*24)</f>
        <v>5.3</v>
      </c>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161</v>
      </c>
      <c r="I2" s="8" t="n">
        <f aca="false">SUM(K6:K36)</f>
        <v>41.6583333333333</v>
      </c>
      <c r="J2" s="9" t="s">
        <v>3</v>
      </c>
    </row>
    <row r="3" customFormat="false" ht="18.75" hidden="false" customHeight="true" outlineLevel="0" collapsed="false">
      <c r="A3" s="10" t="s">
        <v>4</v>
      </c>
      <c r="B3" s="10"/>
      <c r="C3" s="10"/>
      <c r="D3" s="10"/>
      <c r="E3" s="11"/>
      <c r="F3" s="11"/>
      <c r="G3" s="11"/>
      <c r="H3" s="7" t="s">
        <v>152</v>
      </c>
      <c r="I3" s="12" t="n">
        <f aca="false">SUM(I6:I36)*24</f>
        <v>24.3166666666667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t="n">
        <v>0.798611111111111</v>
      </c>
      <c r="D11" s="34" t="n">
        <v>0.885416666666667</v>
      </c>
      <c r="E11" s="33"/>
      <c r="F11" s="34"/>
      <c r="G11" s="33"/>
      <c r="H11" s="34"/>
      <c r="I11" s="33" t="n">
        <f aca="false">SUM(D11-C11, F11-E11, H11-G11)</f>
        <v>0.0868055555555556</v>
      </c>
      <c r="J11" s="35" t="s">
        <v>162</v>
      </c>
      <c r="K11" s="1" t="n">
        <f aca="false">SUM((D11-C11)*1.5*24)</f>
        <v>3.125</v>
      </c>
    </row>
    <row r="12" customFormat="false" ht="17.25" hidden="false" customHeight="true" outlineLevel="0" collapsed="false">
      <c r="A12" s="27" t="str">
        <f aca="false">IF(B12&gt;0,PROPER(TEXT(B12,"dddd")),"")</f>
        <v>Martes</v>
      </c>
      <c r="B12" s="32" t="n">
        <v>46119</v>
      </c>
      <c r="C12" s="33" t="n">
        <v>0.75</v>
      </c>
      <c r="D12" s="34" t="n">
        <v>0.847222222222222</v>
      </c>
      <c r="E12" s="33"/>
      <c r="F12" s="34"/>
      <c r="G12" s="33"/>
      <c r="H12" s="34"/>
      <c r="I12" s="36" t="n">
        <f aca="false">SUM(D12-C12, F12-E12, H12-G12)</f>
        <v>0.0972222222222222</v>
      </c>
      <c r="J12" s="35" t="s">
        <v>163</v>
      </c>
      <c r="K12" s="1" t="n">
        <f aca="false">SUM((D12-C12)*1.5*24)</f>
        <v>3.5</v>
      </c>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t="n">
        <v>0.727083333333333</v>
      </c>
      <c r="D15" s="34" t="n">
        <v>0.817361111111111</v>
      </c>
      <c r="E15" s="33"/>
      <c r="F15" s="34"/>
      <c r="G15" s="33"/>
      <c r="H15" s="34"/>
      <c r="I15" s="33" t="n">
        <f aca="false">SUM(D15-C15, F15-E15, H15-G15)</f>
        <v>0.0902777777777778</v>
      </c>
      <c r="J15" s="35" t="s">
        <v>164</v>
      </c>
      <c r="K15" s="1" t="n">
        <f aca="false">SUM((D15-C15)*1.5*24)</f>
        <v>3.25</v>
      </c>
    </row>
    <row r="16" customFormat="false" ht="17.25" hidden="false" customHeight="true" outlineLevel="0" collapsed="false">
      <c r="A16" s="27" t="str">
        <f aca="false">IF(B16&gt;0,PROPER(TEXT(B16,"dddd")),"")</f>
        <v>Sábado</v>
      </c>
      <c r="B16" s="32" t="n">
        <v>46123</v>
      </c>
      <c r="C16" s="33" t="n">
        <v>0.347222222222222</v>
      </c>
      <c r="D16" s="34" t="n">
        <v>0.543055555555556</v>
      </c>
      <c r="E16" s="33" t="n">
        <v>0.585416666666667</v>
      </c>
      <c r="F16" s="34" t="n">
        <v>0.694444444444444</v>
      </c>
      <c r="G16" s="33" t="n">
        <v>0.894444444444445</v>
      </c>
      <c r="H16" s="34" t="n">
        <v>0.9375</v>
      </c>
      <c r="I16" s="33" t="n">
        <f aca="false">SUM(D16-C16, F16-E16, H16-G16)</f>
        <v>0.347916666666667</v>
      </c>
      <c r="J16" s="35" t="s">
        <v>165</v>
      </c>
      <c r="K16" s="1" t="n">
        <f aca="false">SUM((D16-C16)*2*24,(F16-E16)*2*24,(H16-G16)*2*24)</f>
        <v>16.7</v>
      </c>
    </row>
    <row r="17" customFormat="false" ht="17.25" hidden="false" customHeight="true" outlineLevel="0" collapsed="false">
      <c r="A17" s="27" t="str">
        <f aca="false">IF(B17&gt;0,PROPER(TEXT(B17,"dddd")),"")</f>
        <v>Domingo</v>
      </c>
      <c r="B17" s="32" t="n">
        <v>46124</v>
      </c>
      <c r="C17" s="33" t="n">
        <v>0.402083333333333</v>
      </c>
      <c r="D17" s="34" t="n">
        <v>0.486111111111111</v>
      </c>
      <c r="E17" s="33"/>
      <c r="F17" s="34"/>
      <c r="G17" s="33"/>
      <c r="H17" s="34"/>
      <c r="I17" s="33" t="n">
        <f aca="false">SUM(D17-C17, F17-E17, H17-G17)</f>
        <v>0.0840277777777778</v>
      </c>
      <c r="J17" s="35" t="s">
        <v>166</v>
      </c>
      <c r="K17" s="1" t="n">
        <f aca="false">SUM((D17-C17)*2*24)</f>
        <v>4.03333333333333</v>
      </c>
    </row>
    <row r="18" customFormat="false" ht="17.25" hidden="false" customHeight="true" outlineLevel="0" collapsed="false">
      <c r="A18" s="27" t="str">
        <f aca="false">IF(B18&gt;0,PROPER(TEXT(B18,"dddd")),"")</f>
        <v>Lunes</v>
      </c>
      <c r="B18" s="32" t="n">
        <v>46125</v>
      </c>
      <c r="C18" s="33" t="n">
        <v>0.84375</v>
      </c>
      <c r="D18" s="34" t="n">
        <v>0.918055555555556</v>
      </c>
      <c r="E18" s="33"/>
      <c r="F18" s="34"/>
      <c r="G18" s="33"/>
      <c r="H18" s="34"/>
      <c r="I18" s="33" t="n">
        <f aca="false">SUM(D18-C18, F18-E18, H18-G18)</f>
        <v>0.0743055555555556</v>
      </c>
      <c r="J18" s="35" t="s">
        <v>153</v>
      </c>
      <c r="K18" s="1" t="n">
        <f aca="false">SUM((D18-C18)*1.5*24)</f>
        <v>2.675</v>
      </c>
    </row>
    <row r="19" customFormat="false" ht="17.25" hidden="false" customHeight="true" outlineLevel="0" collapsed="false">
      <c r="A19" s="27" t="str">
        <f aca="false">IF(B19&gt;0,PROPER(TEXT(B19,"dddd")),"")</f>
        <v>Martes</v>
      </c>
      <c r="B19" s="32" t="n">
        <v>46126</v>
      </c>
      <c r="C19" s="33" t="n">
        <v>0.708333333333333</v>
      </c>
      <c r="D19" s="34" t="n">
        <v>0.79375</v>
      </c>
      <c r="E19" s="33"/>
      <c r="F19" s="34"/>
      <c r="G19" s="33"/>
      <c r="H19" s="34"/>
      <c r="I19" s="33" t="n">
        <f aca="false">SUM(D19-C19, F19-E19, H19-G19)</f>
        <v>0.0854166666666667</v>
      </c>
      <c r="J19" s="35" t="s">
        <v>154</v>
      </c>
      <c r="K19" s="1" t="n">
        <f aca="false">SUM((D19-C19)*1.5*24)</f>
        <v>3.075</v>
      </c>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t="n">
        <v>0.708333333333333</v>
      </c>
      <c r="D32" s="34" t="n">
        <v>0.855555555555556</v>
      </c>
      <c r="E32" s="33"/>
      <c r="F32" s="34"/>
      <c r="G32" s="33"/>
      <c r="H32" s="34"/>
      <c r="I32" s="33" t="n">
        <f aca="false">SUM(D32-C32, F32-E32, H32-G32)</f>
        <v>0.147222222222222</v>
      </c>
      <c r="J32" s="35" t="s">
        <v>160</v>
      </c>
      <c r="K32" s="1" t="n">
        <f aca="false">SUM((D32-C32)*1.5*24)</f>
        <v>5.3</v>
      </c>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167</v>
      </c>
      <c r="I2" s="8" t="n">
        <f aca="false">SUM(K6:K36)</f>
        <v>34.1083333333333</v>
      </c>
      <c r="J2" s="9" t="s">
        <v>3</v>
      </c>
    </row>
    <row r="3" customFormat="false" ht="18.75" hidden="false" customHeight="true" outlineLevel="0" collapsed="false">
      <c r="A3" s="10" t="s">
        <v>4</v>
      </c>
      <c r="B3" s="10"/>
      <c r="C3" s="10"/>
      <c r="D3" s="10"/>
      <c r="E3" s="11"/>
      <c r="F3" s="11"/>
      <c r="G3" s="11"/>
      <c r="H3" s="7" t="s">
        <v>152</v>
      </c>
      <c r="I3" s="12" t="n">
        <f aca="false">SUM(I6:I36)*24</f>
        <v>19.8833333333333</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c r="D7" s="34"/>
      <c r="E7" s="33"/>
      <c r="F7" s="34"/>
      <c r="G7" s="33"/>
      <c r="H7" s="34"/>
      <c r="I7" s="33" t="n">
        <f aca="false">SUM(D7-C7, F7-E7, H7-G7)</f>
        <v>0</v>
      </c>
      <c r="J7" s="35"/>
    </row>
    <row r="8" customFormat="false" ht="17.25" hidden="false" customHeight="true" outlineLevel="0" collapsed="false">
      <c r="A8" s="27" t="str">
        <f aca="false">IF(B8&gt;0,PROPER(TEXT(B8,"dddd")),"")</f>
        <v>Viernes</v>
      </c>
      <c r="B8" s="32" t="n">
        <v>46115</v>
      </c>
      <c r="C8" s="33"/>
      <c r="D8" s="34"/>
      <c r="E8" s="33"/>
      <c r="F8" s="34"/>
      <c r="G8" s="33"/>
      <c r="H8" s="34"/>
      <c r="I8" s="33" t="n">
        <f aca="false">SUM(D8-C8, F8-E8, H8-G8)</f>
        <v>0</v>
      </c>
      <c r="J8" s="35"/>
    </row>
    <row r="9" customFormat="false" ht="17.25" hidden="false" customHeight="true" outlineLevel="0" collapsed="false">
      <c r="A9" s="27" t="str">
        <f aca="false">IF(B9&gt;0,PROPER(TEXT(B9,"dddd")),"")</f>
        <v>Sábado</v>
      </c>
      <c r="B9" s="32" t="n">
        <v>46116</v>
      </c>
      <c r="C9" s="33"/>
      <c r="D9" s="34"/>
      <c r="E9" s="33"/>
      <c r="F9" s="34"/>
      <c r="G9" s="33"/>
      <c r="H9" s="34"/>
      <c r="I9" s="33" t="n">
        <f aca="false">SUM(D9-C9, F9-E9, H9-G9)</f>
        <v>0</v>
      </c>
      <c r="J9" s="35"/>
    </row>
    <row r="10" customFormat="false" ht="17.25" hidden="false" customHeight="true" outlineLevel="0" collapsed="false">
      <c r="A10" s="27" t="str">
        <f aca="false">IF(B10&gt;0,PROPER(TEXT(B10,"dddd")),"")</f>
        <v>Domingo</v>
      </c>
      <c r="B10" s="32" t="n">
        <v>46117</v>
      </c>
      <c r="C10" s="33"/>
      <c r="D10" s="34"/>
      <c r="E10" s="33"/>
      <c r="F10" s="34"/>
      <c r="G10" s="33"/>
      <c r="H10" s="34"/>
      <c r="I10" s="33" t="n">
        <f aca="false">SUM(D10-C10, F10-E10, H10-G10)</f>
        <v>0</v>
      </c>
      <c r="J10" s="35"/>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t="n">
        <v>0.708333333333333</v>
      </c>
      <c r="D19" s="34" t="n">
        <v>0.79375</v>
      </c>
      <c r="E19" s="33"/>
      <c r="F19" s="34"/>
      <c r="G19" s="33"/>
      <c r="H19" s="34"/>
      <c r="I19" s="33" t="n">
        <f aca="false">SUM(D19-C19, F19-E19, H19-G19)</f>
        <v>0.0854166666666667</v>
      </c>
      <c r="J19" s="35" t="s">
        <v>154</v>
      </c>
      <c r="K19" s="1" t="n">
        <f aca="false">SUM((D19-C19)*1.5*24)</f>
        <v>3.075</v>
      </c>
    </row>
    <row r="20" customFormat="false" ht="17.25" hidden="false" customHeight="true" outlineLevel="0" collapsed="false">
      <c r="A20" s="27" t="str">
        <f aca="false">IF(B20&gt;0,PROPER(TEXT(B20,"dddd")),"")</f>
        <v>Miércoles</v>
      </c>
      <c r="B20" s="32" t="n">
        <v>46127</v>
      </c>
      <c r="C20" s="33" t="n">
        <v>0.708333333333333</v>
      </c>
      <c r="D20" s="34" t="n">
        <v>0.754861111111111</v>
      </c>
      <c r="E20" s="33"/>
      <c r="F20" s="34"/>
      <c r="G20" s="33"/>
      <c r="H20" s="34"/>
      <c r="I20" s="33" t="n">
        <f aca="false">SUM(D20-C20, F20-E20, H20-G20)</f>
        <v>0.0465277777777778</v>
      </c>
      <c r="J20" s="35" t="s">
        <v>155</v>
      </c>
      <c r="K20" s="1" t="n">
        <f aca="false">SUM((D20-C20)*1.5*24)</f>
        <v>1.675</v>
      </c>
    </row>
    <row r="21" customFormat="false" ht="17.25" hidden="false" customHeight="true" outlineLevel="0" collapsed="false">
      <c r="A21" s="27" t="str">
        <f aca="false">IF(B21&gt;0,PROPER(TEXT(B21,"dddd")),"")</f>
        <v>Jueves</v>
      </c>
      <c r="B21" s="32" t="n">
        <v>46128</v>
      </c>
      <c r="C21" s="33" t="n">
        <v>0.754861111111111</v>
      </c>
      <c r="D21" s="34" t="n">
        <v>0.795138888888889</v>
      </c>
      <c r="E21" s="33"/>
      <c r="F21" s="34"/>
      <c r="G21" s="33"/>
      <c r="H21" s="34"/>
      <c r="I21" s="33" t="n">
        <f aca="false">SUM(D21-C21, F21-E21, H21-G21)</f>
        <v>0.0402777777777778</v>
      </c>
      <c r="J21" s="35" t="s">
        <v>156</v>
      </c>
      <c r="K21" s="1" t="n">
        <f aca="false">SUM((D21-C21)*1.5*24)</f>
        <v>1.45</v>
      </c>
    </row>
    <row r="22" customFormat="false" ht="17.25" hidden="false" customHeight="true" outlineLevel="0" collapsed="false">
      <c r="A22" s="27" t="str">
        <f aca="false">IF(B22&gt;0,PROPER(TEXT(B22,"dddd")),"")</f>
        <v>Viernes</v>
      </c>
      <c r="B22" s="32" t="n">
        <v>46129</v>
      </c>
      <c r="C22" s="33" t="n">
        <v>0.777777777777778</v>
      </c>
      <c r="D22" s="34" t="n">
        <v>0.861111111111111</v>
      </c>
      <c r="E22" s="33"/>
      <c r="F22" s="34"/>
      <c r="G22" s="33"/>
      <c r="H22" s="34"/>
      <c r="I22" s="33" t="n">
        <f aca="false">SUM(D22-C22, F22-E22, H22-G22)</f>
        <v>0.0833333333333333</v>
      </c>
      <c r="J22" s="35" t="s">
        <v>157</v>
      </c>
      <c r="K22" s="1" t="n">
        <f aca="false">SUM((D22-C22)*1.5*24)</f>
        <v>3</v>
      </c>
    </row>
    <row r="23" customFormat="false" ht="17.25" hidden="false" customHeight="true" outlineLevel="0" collapsed="false">
      <c r="A23" s="27" t="str">
        <f aca="false">IF(B23&gt;0,PROPER(TEXT(B23,"dddd")),"")</f>
        <v>Sábado</v>
      </c>
      <c r="B23" s="32" t="n">
        <v>46130</v>
      </c>
      <c r="C23" s="33" t="n">
        <v>0.405555555555556</v>
      </c>
      <c r="D23" s="34" t="n">
        <v>0.616666666666667</v>
      </c>
      <c r="E23" s="33"/>
      <c r="F23" s="34"/>
      <c r="G23" s="33"/>
      <c r="H23" s="34"/>
      <c r="I23" s="33" t="n">
        <f aca="false">SUM(D23-C23, F23-E23, H23-G23)</f>
        <v>0.211111111111111</v>
      </c>
      <c r="J23" s="35" t="s">
        <v>158</v>
      </c>
      <c r="K23" s="1" t="n">
        <f aca="false">SUM((D23-C23)*2*24)</f>
        <v>10.1333333333333</v>
      </c>
    </row>
    <row r="24" customFormat="false" ht="17.25" hidden="false" customHeight="true" outlineLevel="0" collapsed="false">
      <c r="A24" s="27" t="str">
        <f aca="false">IF(B24&gt;0,PROPER(TEXT(B24,"dddd")),"")</f>
        <v>Domingo</v>
      </c>
      <c r="B24" s="32" t="n">
        <v>46131</v>
      </c>
      <c r="C24" s="33" t="n">
        <v>0.590277777777778</v>
      </c>
      <c r="D24" s="34" t="n">
        <v>0.65625</v>
      </c>
      <c r="E24" s="33" t="n">
        <v>0.776388888888889</v>
      </c>
      <c r="F24" s="34" t="n">
        <v>0.85625</v>
      </c>
      <c r="G24" s="33"/>
      <c r="H24" s="34"/>
      <c r="I24" s="33" t="n">
        <f aca="false">SUM(D24-C24, F24-E24, H24-G24)</f>
        <v>0.145833333333333</v>
      </c>
      <c r="J24" s="35" t="s">
        <v>159</v>
      </c>
      <c r="K24" s="1" t="n">
        <f aca="false">SUM((D24-C24)*2*24,(F24-E24)*2*24)</f>
        <v>7</v>
      </c>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t="n">
        <v>0.739583333333333</v>
      </c>
      <c r="D29" s="34" t="n">
        <v>0.808333333333333</v>
      </c>
      <c r="E29" s="33"/>
      <c r="F29" s="34"/>
      <c r="G29" s="33"/>
      <c r="H29" s="34"/>
      <c r="I29" s="33" t="n">
        <f aca="false">SUM(D29-C29, F29-E29, H29-G29)</f>
        <v>0.06875</v>
      </c>
      <c r="J29" s="35" t="s">
        <v>168</v>
      </c>
      <c r="K29" s="1" t="n">
        <f aca="false">SUM((D29-C29)*1.5*24)</f>
        <v>2.475</v>
      </c>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t="n">
        <v>0.708333333333333</v>
      </c>
      <c r="D32" s="34" t="n">
        <v>0.855555555555556</v>
      </c>
      <c r="E32" s="33"/>
      <c r="F32" s="34"/>
      <c r="G32" s="33"/>
      <c r="H32" s="34"/>
      <c r="I32" s="33" t="n">
        <f aca="false">SUM(D32-C32, F32-E32, H32-G32)</f>
        <v>0.147222222222222</v>
      </c>
      <c r="J32" s="35" t="s">
        <v>160</v>
      </c>
      <c r="K32" s="1" t="n">
        <f aca="false">SUM((D32-C32)*1.5*24)</f>
        <v>5.3</v>
      </c>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2" activeCellId="0" sqref="J22"/>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169</v>
      </c>
      <c r="I2" s="8" t="n">
        <f aca="false">SUM(K6:K36)</f>
        <v>23.3916666666667</v>
      </c>
      <c r="J2" s="9" t="s">
        <v>3</v>
      </c>
    </row>
    <row r="3" customFormat="false" ht="18.75" hidden="false" customHeight="true" outlineLevel="0" collapsed="false">
      <c r="A3" s="10" t="s">
        <v>4</v>
      </c>
      <c r="B3" s="10"/>
      <c r="C3" s="10"/>
      <c r="D3" s="10"/>
      <c r="E3" s="11"/>
      <c r="F3" s="11"/>
      <c r="G3" s="11"/>
      <c r="H3" s="7" t="s">
        <v>170</v>
      </c>
      <c r="I3" s="12" t="n">
        <f aca="false">SUM(I6:I36)*24</f>
        <v>12.0666666666667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t="n">
        <v>0.803472222222222</v>
      </c>
      <c r="D7" s="34" t="n">
        <v>0.865277777777778</v>
      </c>
      <c r="E7" s="33"/>
      <c r="F7" s="34"/>
      <c r="G7" s="33"/>
      <c r="H7" s="34"/>
      <c r="I7" s="33" t="n">
        <f aca="false">SUM(D7-C7, F7-E7, H7-G7)</f>
        <v>0.0618055555555556</v>
      </c>
      <c r="J7" s="35" t="s">
        <v>171</v>
      </c>
      <c r="K7" s="1" t="n">
        <f aca="false">SUM((D7-C7)*1.5*24)</f>
        <v>2.225</v>
      </c>
    </row>
    <row r="8" customFormat="false" ht="17.25" hidden="false" customHeight="true" outlineLevel="0" collapsed="false">
      <c r="A8" s="27" t="str">
        <f aca="false">IF(B8&gt;0,PROPER(TEXT(B8,"dddd")),"")</f>
        <v>Viernes</v>
      </c>
      <c r="B8" s="32" t="n">
        <v>46115</v>
      </c>
      <c r="C8" s="33" t="n">
        <v>0.370138888888889</v>
      </c>
      <c r="D8" s="34" t="n">
        <v>0.552083333333333</v>
      </c>
      <c r="E8" s="33" t="n">
        <v>0.709027777777778</v>
      </c>
      <c r="F8" s="34" t="n">
        <v>0.795138888888889</v>
      </c>
      <c r="G8" s="33"/>
      <c r="H8" s="34"/>
      <c r="I8" s="33" t="n">
        <f aca="false">SUM(D8-C8, F8-E8, H8-G8)</f>
        <v>0.268055555555556</v>
      </c>
      <c r="J8" s="35" t="s">
        <v>172</v>
      </c>
      <c r="K8" s="1" t="n">
        <f aca="false">SUM((D8-C8)*2*24,(F8-E8)*2*24)</f>
        <v>12.8666666666667</v>
      </c>
    </row>
    <row r="9" customFormat="false" ht="17.25" hidden="false" customHeight="true" outlineLevel="0" collapsed="false">
      <c r="A9" s="27" t="str">
        <f aca="false">IF(B9&gt;0,PROPER(TEXT(B9,"dddd")),"")</f>
        <v>Sábado</v>
      </c>
      <c r="B9" s="32" t="n">
        <v>46116</v>
      </c>
      <c r="C9" s="33" t="n">
        <v>0.677777777777778</v>
      </c>
      <c r="D9" s="34" t="n">
        <v>0.766666666666667</v>
      </c>
      <c r="E9" s="33"/>
      <c r="F9" s="34"/>
      <c r="G9" s="33"/>
      <c r="H9" s="34"/>
      <c r="I9" s="33" t="n">
        <f aca="false">SUM(D9-C9, F9-E9, H9-G9)</f>
        <v>0.0888888888888889</v>
      </c>
      <c r="J9" s="35" t="s">
        <v>173</v>
      </c>
      <c r="K9" s="1" t="n">
        <f aca="false">SUM((D9-C9)*2*24)</f>
        <v>4.26666666666667</v>
      </c>
    </row>
    <row r="10" customFormat="false" ht="17.25" hidden="false" customHeight="true" outlineLevel="0" collapsed="false">
      <c r="A10" s="27" t="str">
        <f aca="false">IF(B10&gt;0,PROPER(TEXT(B10,"dddd")),"")</f>
        <v>Domingo</v>
      </c>
      <c r="B10" s="32" t="n">
        <v>46117</v>
      </c>
      <c r="C10" s="33" t="n">
        <v>0.366666666666667</v>
      </c>
      <c r="D10" s="34" t="n">
        <v>0.450694444444445</v>
      </c>
      <c r="E10" s="33"/>
      <c r="F10" s="34"/>
      <c r="G10" s="33"/>
      <c r="H10" s="34"/>
      <c r="I10" s="33" t="n">
        <f aca="false">SUM(D10-C10, F10-E10, H10-G10)</f>
        <v>0.0840277777777778</v>
      </c>
      <c r="J10" s="35" t="s">
        <v>174</v>
      </c>
      <c r="K10" s="1" t="n">
        <f aca="false">SUM((D10-C10)*2*24)</f>
        <v>4.03333333333333</v>
      </c>
    </row>
    <row r="11" customFormat="false" ht="17.25" hidden="false" customHeight="true" outlineLevel="0" collapsed="false">
      <c r="A11" s="27" t="str">
        <f aca="false">IF(B11&gt;0,PROPER(TEXT(B11,"dddd")),"")</f>
        <v>Lunes</v>
      </c>
      <c r="B11" s="32" t="n">
        <v>46118</v>
      </c>
      <c r="C11" s="33"/>
      <c r="D11" s="34"/>
      <c r="E11" s="33"/>
      <c r="F11" s="34"/>
      <c r="G11" s="33"/>
      <c r="H11" s="34"/>
      <c r="I11" s="33" t="n">
        <f aca="false">SUM(D11-C11, F11-E11, H11-G11)</f>
        <v>0</v>
      </c>
      <c r="J11" s="35"/>
    </row>
    <row r="12" customFormat="false" ht="17.25" hidden="false" customHeight="true" outlineLevel="0" collapsed="false">
      <c r="A12" s="27" t="str">
        <f aca="false">IF(B12&gt;0,PROPER(TEXT(B12,"dddd")),"")</f>
        <v>Martes</v>
      </c>
      <c r="B12" s="32" t="n">
        <v>46119</v>
      </c>
      <c r="C12" s="33"/>
      <c r="D12" s="34"/>
      <c r="E12" s="33"/>
      <c r="F12" s="34"/>
      <c r="G12" s="33"/>
      <c r="H12" s="34"/>
      <c r="I12" s="36" t="n">
        <f aca="false">SUM(D12-C12, F12-E12, H12-G12)</f>
        <v>0</v>
      </c>
      <c r="J12" s="35"/>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c r="D15" s="34"/>
      <c r="E15" s="33"/>
      <c r="F15" s="34"/>
      <c r="G15" s="33"/>
      <c r="H15" s="34"/>
      <c r="I15" s="33" t="n">
        <f aca="false">SUM(D15-C15, F15-E15, H15-G15)</f>
        <v>0</v>
      </c>
      <c r="J15" s="35"/>
    </row>
    <row r="16" customFormat="false" ht="17.25" hidden="false" customHeight="true" outlineLevel="0" collapsed="false">
      <c r="A16" s="27" t="str">
        <f aca="false">IF(B16&gt;0,PROPER(TEXT(B16,"dddd")),"")</f>
        <v>Sábado</v>
      </c>
      <c r="B16" s="32" t="n">
        <v>46123</v>
      </c>
      <c r="C16" s="33"/>
      <c r="D16" s="34"/>
      <c r="E16" s="33"/>
      <c r="F16" s="34"/>
      <c r="G16" s="33"/>
      <c r="H16" s="34"/>
      <c r="I16" s="33" t="n">
        <f aca="false">SUM(D16-C16, F16-E16, H16-G16)</f>
        <v>0</v>
      </c>
      <c r="J16" s="35"/>
    </row>
    <row r="17" customFormat="false" ht="17.25" hidden="false" customHeight="true" outlineLevel="0" collapsed="false">
      <c r="A17" s="27" t="str">
        <f aca="false">IF(B17&gt;0,PROPER(TEXT(B17,"dddd")),"")</f>
        <v>Domingo</v>
      </c>
      <c r="B17" s="32" t="n">
        <v>46124</v>
      </c>
      <c r="C17" s="33"/>
      <c r="D17" s="34"/>
      <c r="E17" s="33"/>
      <c r="F17" s="34"/>
      <c r="G17" s="33"/>
      <c r="H17" s="34"/>
      <c r="I17" s="33" t="n">
        <f aca="false">SUM(D17-C17, F17-E17, H17-G17)</f>
        <v>0</v>
      </c>
      <c r="J17" s="35"/>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c r="D29" s="34"/>
      <c r="E29" s="33"/>
      <c r="F29" s="34"/>
      <c r="G29" s="33"/>
      <c r="H29" s="34"/>
      <c r="I29" s="33" t="n">
        <f aca="false">SUM(D29-C29, F29-E29, H29-G29)</f>
        <v>0</v>
      </c>
      <c r="J29" s="35"/>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5.75" customHeight="false" zeroHeight="false" outlineLevelRow="0" outlineLevelCol="0"/>
  <cols>
    <col collapsed="false" customWidth="true" hidden="false" outlineLevel="0" max="1" min="1" style="1" width="9.3"/>
    <col collapsed="false" customWidth="true" hidden="false" outlineLevel="0" max="2" min="2" style="1" width="11.8"/>
    <col collapsed="false" customWidth="true" hidden="false" outlineLevel="0" max="8" min="3" style="1" width="7"/>
    <col collapsed="false" customWidth="true" hidden="false" outlineLevel="0" max="9" min="9" style="2" width="9.9"/>
    <col collapsed="false" customWidth="true" hidden="false" outlineLevel="0" max="10" min="10" style="1" width="88.06"/>
    <col collapsed="false" customWidth="true" hidden="true" outlineLevel="0" max="11" min="11" style="1" width="4.65"/>
    <col collapsed="false" customWidth="true" hidden="false" outlineLevel="0" max="12" min="12" style="1" width="8.6"/>
    <col collapsed="false" customWidth="true" hidden="false" outlineLevel="0" max="13" min="13" style="1" width="12.2"/>
    <col collapsed="false" customWidth="true" hidden="false" outlineLevel="0" max="14" min="14" style="1" width="3.3"/>
  </cols>
  <sheetData>
    <row r="1" customFormat="false" ht="84.75" hidden="false" customHeight="true" outlineLevel="0" collapsed="false">
      <c r="A1" s="3" t="s">
        <v>0</v>
      </c>
      <c r="B1" s="3"/>
      <c r="C1" s="3"/>
      <c r="D1" s="3"/>
      <c r="E1" s="3"/>
      <c r="F1" s="3"/>
      <c r="G1" s="3"/>
      <c r="H1" s="3"/>
      <c r="I1" s="3"/>
      <c r="J1" s="3"/>
    </row>
    <row r="2" customFormat="false" ht="21.75" hidden="false" customHeight="true" outlineLevel="0" collapsed="false">
      <c r="A2" s="4" t="s">
        <v>1</v>
      </c>
      <c r="B2" s="4"/>
      <c r="C2" s="4"/>
      <c r="D2" s="4"/>
      <c r="E2" s="5"/>
      <c r="F2" s="5"/>
      <c r="G2" s="6"/>
      <c r="H2" s="7" t="s">
        <v>175</v>
      </c>
      <c r="I2" s="8" t="n">
        <f aca="false">SUM(K6:K36)</f>
        <v>56.475</v>
      </c>
      <c r="J2" s="9" t="s">
        <v>3</v>
      </c>
    </row>
    <row r="3" customFormat="false" ht="18.75" hidden="false" customHeight="true" outlineLevel="0" collapsed="false">
      <c r="A3" s="10" t="s">
        <v>4</v>
      </c>
      <c r="B3" s="10"/>
      <c r="C3" s="10"/>
      <c r="D3" s="10"/>
      <c r="E3" s="11"/>
      <c r="F3" s="11"/>
      <c r="G3" s="11"/>
      <c r="H3" s="7" t="s">
        <v>170</v>
      </c>
      <c r="I3" s="12" t="n">
        <f aca="false">SUM(I6:I36)*24</f>
        <v>30.6666666666667</v>
      </c>
      <c r="J3" s="13" t="s">
        <v>6</v>
      </c>
      <c r="K3" s="14"/>
      <c r="L3" s="14"/>
      <c r="M3" s="14"/>
      <c r="N3" s="14"/>
    </row>
    <row r="4" s="21" customFormat="true" ht="22.5" hidden="false" customHeight="true" outlineLevel="0" collapsed="false">
      <c r="A4" s="15" t="s">
        <v>7</v>
      </c>
      <c r="B4" s="15"/>
      <c r="C4" s="15"/>
      <c r="D4" s="15"/>
      <c r="E4" s="16"/>
      <c r="F4" s="16"/>
      <c r="G4" s="16"/>
      <c r="H4" s="17" t="str">
        <f aca="false">UPPER(TEXT(B6, "mmmm aaaa"))</f>
        <v>ABRIL 2026</v>
      </c>
      <c r="I4" s="18"/>
      <c r="J4" s="19" t="s">
        <v>8</v>
      </c>
      <c r="K4" s="20"/>
      <c r="L4" s="20"/>
      <c r="M4" s="20"/>
      <c r="N4" s="20"/>
    </row>
    <row r="5" customFormat="false" ht="15.75" hidden="false" customHeight="true" outlineLevel="0" collapsed="false">
      <c r="A5" s="22" t="s">
        <v>9</v>
      </c>
      <c r="B5" s="23" t="s">
        <v>10</v>
      </c>
      <c r="C5" s="24" t="s">
        <v>11</v>
      </c>
      <c r="D5" s="24" t="s">
        <v>12</v>
      </c>
      <c r="E5" s="24" t="s">
        <v>13</v>
      </c>
      <c r="F5" s="23" t="s">
        <v>14</v>
      </c>
      <c r="G5" s="24" t="s">
        <v>15</v>
      </c>
      <c r="H5" s="24" t="s">
        <v>16</v>
      </c>
      <c r="I5" s="24" t="s">
        <v>17</v>
      </c>
      <c r="J5" s="25" t="s">
        <v>18</v>
      </c>
      <c r="K5" s="26"/>
      <c r="L5" s="26"/>
      <c r="M5" s="26"/>
      <c r="N5" s="26"/>
    </row>
    <row r="6" customFormat="false" ht="17.25" hidden="false" customHeight="true" outlineLevel="0" collapsed="false">
      <c r="A6" s="27" t="str">
        <f aca="false">IF(B6&gt;0,PROPER(TEXT(B6,"dddd")),"")</f>
        <v>Miércoles</v>
      </c>
      <c r="B6" s="28" t="n">
        <v>46113</v>
      </c>
      <c r="C6" s="29"/>
      <c r="D6" s="30"/>
      <c r="E6" s="29"/>
      <c r="F6" s="30"/>
      <c r="G6" s="29"/>
      <c r="H6" s="30"/>
      <c r="I6" s="29" t="n">
        <f aca="false">SUM(D6-C6, F6-E6, H6-G6)</f>
        <v>0</v>
      </c>
      <c r="J6" s="31"/>
    </row>
    <row r="7" customFormat="false" ht="17.25" hidden="false" customHeight="true" outlineLevel="0" collapsed="false">
      <c r="A7" s="27" t="str">
        <f aca="false">IF(B7&gt;0,PROPER(TEXT(B7,"dddd")),"")</f>
        <v>Jueves</v>
      </c>
      <c r="B7" s="32" t="n">
        <v>46114</v>
      </c>
      <c r="C7" s="33" t="n">
        <v>0.803472222222222</v>
      </c>
      <c r="D7" s="34" t="n">
        <v>0.865277777777778</v>
      </c>
      <c r="E7" s="33"/>
      <c r="F7" s="34"/>
      <c r="G7" s="33"/>
      <c r="H7" s="34"/>
      <c r="I7" s="33" t="n">
        <f aca="false">SUM(D7-C7, F7-E7, H7-G7)</f>
        <v>0.0618055555555556</v>
      </c>
      <c r="J7" s="35" t="s">
        <v>171</v>
      </c>
      <c r="K7" s="1" t="n">
        <f aca="false">SUM((D7-C7)*1.5*24)</f>
        <v>2.225</v>
      </c>
    </row>
    <row r="8" customFormat="false" ht="17.25" hidden="false" customHeight="true" outlineLevel="0" collapsed="false">
      <c r="A8" s="27" t="str">
        <f aca="false">IF(B8&gt;0,PROPER(TEXT(B8,"dddd")),"")</f>
        <v>Viernes</v>
      </c>
      <c r="B8" s="32" t="n">
        <v>46115</v>
      </c>
      <c r="C8" s="33" t="n">
        <v>0.370138888888889</v>
      </c>
      <c r="D8" s="34" t="n">
        <v>0.552083333333333</v>
      </c>
      <c r="E8" s="33" t="n">
        <v>0.709027777777778</v>
      </c>
      <c r="F8" s="34" t="n">
        <v>0.795138888888889</v>
      </c>
      <c r="G8" s="33"/>
      <c r="H8" s="34"/>
      <c r="I8" s="33" t="n">
        <f aca="false">SUM(D8-C8, F8-E8, H8-G8)</f>
        <v>0.268055555555556</v>
      </c>
      <c r="J8" s="35" t="s">
        <v>172</v>
      </c>
      <c r="K8" s="1" t="n">
        <f aca="false">SUM((D8-C8)*2*24,(F8-E8)*2*24)</f>
        <v>12.8666666666667</v>
      </c>
    </row>
    <row r="9" customFormat="false" ht="17.25" hidden="false" customHeight="true" outlineLevel="0" collapsed="false">
      <c r="A9" s="27" t="str">
        <f aca="false">IF(B9&gt;0,PROPER(TEXT(B9,"dddd")),"")</f>
        <v>Sábado</v>
      </c>
      <c r="B9" s="32" t="n">
        <v>46116</v>
      </c>
      <c r="C9" s="33" t="n">
        <v>0.677777777777778</v>
      </c>
      <c r="D9" s="34" t="n">
        <v>0.766666666666667</v>
      </c>
      <c r="E9" s="33"/>
      <c r="F9" s="34"/>
      <c r="G9" s="33"/>
      <c r="H9" s="34"/>
      <c r="I9" s="33" t="n">
        <f aca="false">SUM(D9-C9, F9-E9, H9-G9)</f>
        <v>0.0888888888888889</v>
      </c>
      <c r="J9" s="35" t="s">
        <v>173</v>
      </c>
      <c r="K9" s="1" t="n">
        <f aca="false">SUM((D9-C9)*2*24)</f>
        <v>4.26666666666667</v>
      </c>
    </row>
    <row r="10" customFormat="false" ht="17.25" hidden="false" customHeight="true" outlineLevel="0" collapsed="false">
      <c r="A10" s="27" t="str">
        <f aca="false">IF(B10&gt;0,PROPER(TEXT(B10,"dddd")),"")</f>
        <v>Domingo</v>
      </c>
      <c r="B10" s="32" t="n">
        <v>46117</v>
      </c>
      <c r="C10" s="33" t="n">
        <v>0.366666666666667</v>
      </c>
      <c r="D10" s="34" t="n">
        <v>0.450694444444445</v>
      </c>
      <c r="E10" s="33"/>
      <c r="F10" s="34"/>
      <c r="G10" s="33"/>
      <c r="H10" s="34"/>
      <c r="I10" s="33" t="n">
        <f aca="false">SUM(D10-C10, F10-E10, H10-G10)</f>
        <v>0.0840277777777778</v>
      </c>
      <c r="J10" s="35" t="s">
        <v>174</v>
      </c>
      <c r="K10" s="1" t="n">
        <f aca="false">SUM((D10-C10)*2*24)</f>
        <v>4.03333333333333</v>
      </c>
    </row>
    <row r="11" customFormat="false" ht="17.25" hidden="false" customHeight="true" outlineLevel="0" collapsed="false">
      <c r="A11" s="27" t="str">
        <f aca="false">IF(B11&gt;0,PROPER(TEXT(B11,"dddd")),"")</f>
        <v>Lunes</v>
      </c>
      <c r="B11" s="32" t="n">
        <v>46118</v>
      </c>
      <c r="C11" s="33" t="n">
        <v>0.798611111111111</v>
      </c>
      <c r="D11" s="34" t="n">
        <v>0.885416666666667</v>
      </c>
      <c r="E11" s="33"/>
      <c r="F11" s="34"/>
      <c r="G11" s="33"/>
      <c r="H11" s="34"/>
      <c r="I11" s="33" t="n">
        <f aca="false">SUM(D11-C11, F11-E11, H11-G11)</f>
        <v>0.0868055555555556</v>
      </c>
      <c r="J11" s="35" t="s">
        <v>162</v>
      </c>
      <c r="K11" s="1" t="n">
        <f aca="false">SUM((D11-C11)*1.5*24)</f>
        <v>3.125</v>
      </c>
    </row>
    <row r="12" customFormat="false" ht="17.25" hidden="false" customHeight="true" outlineLevel="0" collapsed="false">
      <c r="A12" s="27" t="str">
        <f aca="false">IF(B12&gt;0,PROPER(TEXT(B12,"dddd")),"")</f>
        <v>Martes</v>
      </c>
      <c r="B12" s="32" t="n">
        <v>46119</v>
      </c>
      <c r="C12" s="33" t="n">
        <v>0.75</v>
      </c>
      <c r="D12" s="34" t="n">
        <v>0.847222222222222</v>
      </c>
      <c r="E12" s="33"/>
      <c r="F12" s="34"/>
      <c r="G12" s="33"/>
      <c r="H12" s="34"/>
      <c r="I12" s="36" t="n">
        <f aca="false">SUM(D12-C12, F12-E12, H12-G12)</f>
        <v>0.0972222222222222</v>
      </c>
      <c r="J12" s="35" t="s">
        <v>163</v>
      </c>
      <c r="K12" s="1" t="n">
        <f aca="false">SUM((D12-C12)*1.5*24)</f>
        <v>3.5</v>
      </c>
    </row>
    <row r="13" customFormat="false" ht="17.25" hidden="false" customHeight="true" outlineLevel="0" collapsed="false">
      <c r="A13" s="27" t="str">
        <f aca="false">IF(B13&gt;0,PROPER(TEXT(B13,"dddd")),"")</f>
        <v>Miércoles</v>
      </c>
      <c r="B13" s="32" t="n">
        <v>46120</v>
      </c>
      <c r="C13" s="33"/>
      <c r="D13" s="34"/>
      <c r="E13" s="33"/>
      <c r="F13" s="34"/>
      <c r="G13" s="33"/>
      <c r="H13" s="34"/>
      <c r="I13" s="33" t="n">
        <f aca="false">SUM(D13-C13, F13-E13, H13-G13)</f>
        <v>0</v>
      </c>
      <c r="J13" s="35"/>
    </row>
    <row r="14" customFormat="false" ht="17.25" hidden="false" customHeight="true" outlineLevel="0" collapsed="false">
      <c r="A14" s="27" t="str">
        <f aca="false">IF(B14&gt;0,PROPER(TEXT(B14,"dddd")),"")</f>
        <v>Jueves</v>
      </c>
      <c r="B14" s="32" t="n">
        <v>46121</v>
      </c>
      <c r="C14" s="33"/>
      <c r="D14" s="34"/>
      <c r="E14" s="33"/>
      <c r="F14" s="34"/>
      <c r="G14" s="33"/>
      <c r="H14" s="34"/>
      <c r="I14" s="33" t="n">
        <f aca="false">SUM(D14-C14, F14-E14, H14-G14)</f>
        <v>0</v>
      </c>
      <c r="J14" s="35"/>
    </row>
    <row r="15" customFormat="false" ht="17.25" hidden="false" customHeight="true" outlineLevel="0" collapsed="false">
      <c r="A15" s="27" t="str">
        <f aca="false">IF(B15&gt;0,PROPER(TEXT(B15,"dddd")),"")</f>
        <v>Viernes</v>
      </c>
      <c r="B15" s="32" t="n">
        <v>46122</v>
      </c>
      <c r="C15" s="33" t="n">
        <v>0.727083333333333</v>
      </c>
      <c r="D15" s="34" t="n">
        <v>0.817361111111111</v>
      </c>
      <c r="E15" s="33"/>
      <c r="F15" s="34"/>
      <c r="G15" s="33"/>
      <c r="H15" s="34"/>
      <c r="I15" s="33" t="n">
        <f aca="false">SUM(D15-C15, F15-E15, H15-G15)</f>
        <v>0.0902777777777778</v>
      </c>
      <c r="J15" s="35" t="s">
        <v>164</v>
      </c>
      <c r="K15" s="1" t="n">
        <f aca="false">SUM((D15-C15)*1.5*24)</f>
        <v>3.25</v>
      </c>
    </row>
    <row r="16" customFormat="false" ht="17.25" hidden="false" customHeight="true" outlineLevel="0" collapsed="false">
      <c r="A16" s="27" t="str">
        <f aca="false">IF(B16&gt;0,PROPER(TEXT(B16,"dddd")),"")</f>
        <v>Sábado</v>
      </c>
      <c r="B16" s="32" t="n">
        <v>46123</v>
      </c>
      <c r="C16" s="33" t="n">
        <v>0.347222222222222</v>
      </c>
      <c r="D16" s="34" t="n">
        <v>0.543055555555556</v>
      </c>
      <c r="E16" s="33" t="n">
        <v>0.585416666666667</v>
      </c>
      <c r="F16" s="34" t="n">
        <v>0.694444444444444</v>
      </c>
      <c r="G16" s="33" t="n">
        <v>0.894444444444445</v>
      </c>
      <c r="H16" s="34" t="n">
        <v>0.9375</v>
      </c>
      <c r="I16" s="33" t="n">
        <f aca="false">SUM(D16-C16, F16-E16, H16-G16)</f>
        <v>0.347916666666667</v>
      </c>
      <c r="J16" s="35" t="s">
        <v>165</v>
      </c>
      <c r="K16" s="1" t="n">
        <f aca="false">SUM((D16-C16)*2*24,(F16-E16)*2*24,(H16-G16)*2*24)</f>
        <v>16.7</v>
      </c>
    </row>
    <row r="17" customFormat="false" ht="17.25" hidden="false" customHeight="true" outlineLevel="0" collapsed="false">
      <c r="A17" s="27" t="str">
        <f aca="false">IF(B17&gt;0,PROPER(TEXT(B17,"dddd")),"")</f>
        <v>Domingo</v>
      </c>
      <c r="B17" s="32" t="n">
        <v>46124</v>
      </c>
      <c r="C17" s="33" t="n">
        <v>0.402083333333333</v>
      </c>
      <c r="D17" s="34" t="n">
        <v>0.486111111111111</v>
      </c>
      <c r="E17" s="33"/>
      <c r="F17" s="34"/>
      <c r="G17" s="33"/>
      <c r="H17" s="34"/>
      <c r="I17" s="33" t="n">
        <f aca="false">SUM(D17-C17, F17-E17, H17-G17)</f>
        <v>0.0840277777777778</v>
      </c>
      <c r="J17" s="35" t="s">
        <v>166</v>
      </c>
      <c r="K17" s="1" t="n">
        <f aca="false">SUM((D17-C17)*2*24)</f>
        <v>4.03333333333333</v>
      </c>
    </row>
    <row r="18" customFormat="false" ht="17.25" hidden="false" customHeight="true" outlineLevel="0" collapsed="false">
      <c r="A18" s="27" t="str">
        <f aca="false">IF(B18&gt;0,PROPER(TEXT(B18,"dddd")),"")</f>
        <v>Lunes</v>
      </c>
      <c r="B18" s="32" t="n">
        <v>46125</v>
      </c>
      <c r="C18" s="33"/>
      <c r="D18" s="34"/>
      <c r="E18" s="33"/>
      <c r="F18" s="34"/>
      <c r="G18" s="33"/>
      <c r="H18" s="34"/>
      <c r="I18" s="33" t="n">
        <f aca="false">SUM(D18-C18, F18-E18, H18-G18)</f>
        <v>0</v>
      </c>
      <c r="J18" s="35"/>
    </row>
    <row r="19" customFormat="false" ht="17.25" hidden="false" customHeight="true" outlineLevel="0" collapsed="false">
      <c r="A19" s="27" t="str">
        <f aca="false">IF(B19&gt;0,PROPER(TEXT(B19,"dddd")),"")</f>
        <v>Martes</v>
      </c>
      <c r="B19" s="32" t="n">
        <v>46126</v>
      </c>
      <c r="C19" s="33"/>
      <c r="D19" s="34"/>
      <c r="E19" s="33"/>
      <c r="F19" s="34"/>
      <c r="G19" s="33"/>
      <c r="H19" s="34"/>
      <c r="I19" s="33" t="n">
        <f aca="false">SUM(D19-C19, F19-E19, H19-G19)</f>
        <v>0</v>
      </c>
      <c r="J19" s="35"/>
    </row>
    <row r="20" customFormat="false" ht="17.25" hidden="false" customHeight="true" outlineLevel="0" collapsed="false">
      <c r="A20" s="27" t="str">
        <f aca="false">IF(B20&gt;0,PROPER(TEXT(B20,"dddd")),"")</f>
        <v>Miércoles</v>
      </c>
      <c r="B20" s="32" t="n">
        <v>46127</v>
      </c>
      <c r="C20" s="33"/>
      <c r="D20" s="34"/>
      <c r="E20" s="33"/>
      <c r="F20" s="34"/>
      <c r="G20" s="33"/>
      <c r="H20" s="34"/>
      <c r="I20" s="33" t="n">
        <f aca="false">SUM(D20-C20, F20-E20, H20-G20)</f>
        <v>0</v>
      </c>
      <c r="J20" s="35"/>
    </row>
    <row r="21" customFormat="false" ht="17.25" hidden="false" customHeight="true" outlineLevel="0" collapsed="false">
      <c r="A21" s="27" t="str">
        <f aca="false">IF(B21&gt;0,PROPER(TEXT(B21,"dddd")),"")</f>
        <v>Jueves</v>
      </c>
      <c r="B21" s="32" t="n">
        <v>46128</v>
      </c>
      <c r="C21" s="33"/>
      <c r="D21" s="34"/>
      <c r="E21" s="33"/>
      <c r="F21" s="34"/>
      <c r="G21" s="33"/>
      <c r="H21" s="34"/>
      <c r="I21" s="33" t="n">
        <f aca="false">SUM(D21-C21, F21-E21, H21-G21)</f>
        <v>0</v>
      </c>
      <c r="J21" s="35"/>
    </row>
    <row r="22" customFormat="false" ht="17.25" hidden="false" customHeight="true" outlineLevel="0" collapsed="false">
      <c r="A22" s="27" t="str">
        <f aca="false">IF(B22&gt;0,PROPER(TEXT(B22,"dddd")),"")</f>
        <v>Viernes</v>
      </c>
      <c r="B22" s="32" t="n">
        <v>46129</v>
      </c>
      <c r="C22" s="33"/>
      <c r="D22" s="34"/>
      <c r="E22" s="33"/>
      <c r="F22" s="34"/>
      <c r="G22" s="33"/>
      <c r="H22" s="34"/>
      <c r="I22" s="33" t="n">
        <f aca="false">SUM(D22-C22, F22-E22, H22-G22)</f>
        <v>0</v>
      </c>
      <c r="J22" s="35"/>
    </row>
    <row r="23" customFormat="false" ht="17.25" hidden="false" customHeight="true" outlineLevel="0" collapsed="false">
      <c r="A23" s="27" t="str">
        <f aca="false">IF(B23&gt;0,PROPER(TEXT(B23,"dddd")),"")</f>
        <v>Sábado</v>
      </c>
      <c r="B23" s="32" t="n">
        <v>46130</v>
      </c>
      <c r="C23" s="33"/>
      <c r="D23" s="34"/>
      <c r="E23" s="33"/>
      <c r="F23" s="34"/>
      <c r="G23" s="33"/>
      <c r="H23" s="34"/>
      <c r="I23" s="33" t="n">
        <f aca="false">SUM(D23-C23, F23-E23, H23-G23)</f>
        <v>0</v>
      </c>
      <c r="J23" s="35"/>
    </row>
    <row r="24" customFormat="false" ht="17.25" hidden="false" customHeight="true" outlineLevel="0" collapsed="false">
      <c r="A24" s="27" t="str">
        <f aca="false">IF(B24&gt;0,PROPER(TEXT(B24,"dddd")),"")</f>
        <v>Domingo</v>
      </c>
      <c r="B24" s="32" t="n">
        <v>46131</v>
      </c>
      <c r="C24" s="33"/>
      <c r="D24" s="34"/>
      <c r="E24" s="33"/>
      <c r="F24" s="34"/>
      <c r="G24" s="33"/>
      <c r="H24" s="34"/>
      <c r="I24" s="33" t="n">
        <f aca="false">SUM(D24-C24, F24-E24, H24-G24)</f>
        <v>0</v>
      </c>
      <c r="J24" s="35"/>
    </row>
    <row r="25" customFormat="false" ht="17.25" hidden="false" customHeight="true" outlineLevel="0" collapsed="false">
      <c r="A25" s="27" t="str">
        <f aca="false">IF(B25&gt;0,PROPER(TEXT(B25,"dddd")),"")</f>
        <v>Lunes</v>
      </c>
      <c r="B25" s="32" t="n">
        <v>46132</v>
      </c>
      <c r="C25" s="33"/>
      <c r="D25" s="34"/>
      <c r="E25" s="33"/>
      <c r="F25" s="34"/>
      <c r="G25" s="33"/>
      <c r="H25" s="34"/>
      <c r="I25" s="33" t="n">
        <f aca="false">SUM(D25-C25, F25-E25, H25-G25)</f>
        <v>0</v>
      </c>
      <c r="J25" s="35"/>
    </row>
    <row r="26" customFormat="false" ht="17.25" hidden="false" customHeight="true" outlineLevel="0" collapsed="false">
      <c r="A26" s="27" t="str">
        <f aca="false">IF(B26&gt;0,PROPER(TEXT(B26,"dddd")),"")</f>
        <v>Martes</v>
      </c>
      <c r="B26" s="32" t="n">
        <v>46133</v>
      </c>
      <c r="C26" s="33"/>
      <c r="D26" s="34"/>
      <c r="E26" s="33"/>
      <c r="F26" s="34"/>
      <c r="G26" s="33"/>
      <c r="H26" s="34"/>
      <c r="I26" s="33" t="n">
        <f aca="false">SUM(D26-C26, F26-E26, H26-G26)</f>
        <v>0</v>
      </c>
      <c r="J26" s="35"/>
    </row>
    <row r="27" customFormat="false" ht="17.25" hidden="false" customHeight="true" outlineLevel="0" collapsed="false">
      <c r="A27" s="27" t="str">
        <f aca="false">IF(B27&gt;0,PROPER(TEXT(B27,"dddd")),"")</f>
        <v>Miércoles</v>
      </c>
      <c r="B27" s="32" t="n">
        <v>46134</v>
      </c>
      <c r="C27" s="33"/>
      <c r="D27" s="34"/>
      <c r="E27" s="33"/>
      <c r="F27" s="34"/>
      <c r="G27" s="33"/>
      <c r="H27" s="34"/>
      <c r="I27" s="33" t="n">
        <f aca="false">SUM(D27-C27, F27-E27, H27-G27)</f>
        <v>0</v>
      </c>
      <c r="J27" s="35"/>
    </row>
    <row r="28" customFormat="false" ht="17.25" hidden="false" customHeight="true" outlineLevel="0" collapsed="false">
      <c r="A28" s="27" t="str">
        <f aca="false">IF(B28&gt;0,PROPER(TEXT(B28,"dddd")),"")</f>
        <v>Jueves</v>
      </c>
      <c r="B28" s="32" t="n">
        <v>46135</v>
      </c>
      <c r="C28" s="33"/>
      <c r="D28" s="34"/>
      <c r="E28" s="33"/>
      <c r="F28" s="34"/>
      <c r="G28" s="33"/>
      <c r="H28" s="34"/>
      <c r="I28" s="33" t="n">
        <f aca="false">SUM(D28-C28, F28-E28, H28-G28)</f>
        <v>0</v>
      </c>
      <c r="J28" s="35"/>
    </row>
    <row r="29" customFormat="false" ht="17.25" hidden="false" customHeight="true" outlineLevel="0" collapsed="false">
      <c r="A29" s="27" t="str">
        <f aca="false">IF(B29&gt;0,PROPER(TEXT(B29,"dddd")),"")</f>
        <v>Viernes</v>
      </c>
      <c r="B29" s="32" t="n">
        <v>46136</v>
      </c>
      <c r="C29" s="33" t="n">
        <v>0.739583333333333</v>
      </c>
      <c r="D29" s="34" t="n">
        <v>0.808333333333333</v>
      </c>
      <c r="E29" s="33"/>
      <c r="F29" s="34"/>
      <c r="G29" s="33"/>
      <c r="H29" s="34"/>
      <c r="I29" s="33" t="n">
        <f aca="false">SUM(D29-C29, F29-E29, H29-G29)</f>
        <v>0.06875</v>
      </c>
      <c r="J29" s="35" t="s">
        <v>168</v>
      </c>
      <c r="K29" s="1" t="n">
        <f aca="false">SUM((D29-C29)*1.5*24)</f>
        <v>2.475</v>
      </c>
    </row>
    <row r="30" customFormat="false" ht="17.25" hidden="false" customHeight="true" outlineLevel="0" collapsed="false">
      <c r="A30" s="27" t="str">
        <f aca="false">IF(B30&gt;0,PROPER(TEXT(B30,"dddd")),"")</f>
        <v>Sábado</v>
      </c>
      <c r="B30" s="32" t="n">
        <v>46137</v>
      </c>
      <c r="C30" s="33"/>
      <c r="D30" s="34"/>
      <c r="E30" s="33"/>
      <c r="F30" s="34"/>
      <c r="G30" s="33"/>
      <c r="H30" s="34"/>
      <c r="I30" s="33" t="n">
        <f aca="false">SUM(D30-C30, F30-E30, H30-G30)</f>
        <v>0</v>
      </c>
      <c r="J30" s="35"/>
    </row>
    <row r="31" customFormat="false" ht="17.25" hidden="false" customHeight="true" outlineLevel="0" collapsed="false">
      <c r="A31" s="27" t="str">
        <f aca="false">IF(B31&gt;0,PROPER(TEXT(B31,"dddd")),"")</f>
        <v>Domingo</v>
      </c>
      <c r="B31" s="32" t="n">
        <v>46138</v>
      </c>
      <c r="C31" s="33"/>
      <c r="D31" s="34"/>
      <c r="E31" s="33"/>
      <c r="F31" s="34"/>
      <c r="G31" s="33"/>
      <c r="H31" s="34"/>
      <c r="I31" s="33" t="n">
        <f aca="false">SUM(D31-C31, F31-E31, H31-G31)</f>
        <v>0</v>
      </c>
      <c r="J31" s="35"/>
    </row>
    <row r="32" customFormat="false" ht="17.25" hidden="false" customHeight="true" outlineLevel="0" collapsed="false">
      <c r="A32" s="27" t="str">
        <f aca="false">IF(B32&gt;0,PROPER(TEXT(B32,"dddd")),"")</f>
        <v>Lunes</v>
      </c>
      <c r="B32" s="32" t="n">
        <v>46139</v>
      </c>
      <c r="C32" s="33"/>
      <c r="D32" s="34"/>
      <c r="E32" s="33"/>
      <c r="F32" s="34"/>
      <c r="G32" s="33"/>
      <c r="H32" s="34"/>
      <c r="I32" s="33" t="n">
        <f aca="false">SUM(D32-C32, F32-E32, H32-G32)</f>
        <v>0</v>
      </c>
      <c r="J32" s="35"/>
    </row>
    <row r="33" customFormat="false" ht="17.25" hidden="false" customHeight="true" outlineLevel="0" collapsed="false">
      <c r="A33" s="27" t="str">
        <f aca="false">IF(B33&gt;0,PROPER(TEXT(B33,"dddd")),"")</f>
        <v>Martes</v>
      </c>
      <c r="B33" s="32" t="n">
        <v>46140</v>
      </c>
      <c r="C33" s="33"/>
      <c r="D33" s="34"/>
      <c r="E33" s="33"/>
      <c r="F33" s="34"/>
      <c r="G33" s="33"/>
      <c r="H33" s="34"/>
      <c r="I33" s="33" t="n">
        <f aca="false">SUM(D33-C33, F33-E33, H33-G33)</f>
        <v>0</v>
      </c>
      <c r="J33" s="35"/>
    </row>
    <row r="34" customFormat="false" ht="17.25" hidden="false" customHeight="true" outlineLevel="0" collapsed="false">
      <c r="A34" s="27" t="str">
        <f aca="false">IF(B34&gt;0,PROPER(TEXT(B34,"dddd")),"")</f>
        <v>Miércoles</v>
      </c>
      <c r="B34" s="32" t="n">
        <v>46141</v>
      </c>
      <c r="C34" s="33"/>
      <c r="D34" s="34"/>
      <c r="E34" s="33"/>
      <c r="F34" s="34"/>
      <c r="G34" s="33"/>
      <c r="H34" s="34"/>
      <c r="I34" s="33" t="n">
        <f aca="false">SUM(D34-C34, F34-E34, H34-G34)</f>
        <v>0</v>
      </c>
      <c r="J34" s="35"/>
    </row>
    <row r="35" customFormat="false" ht="17.25" hidden="false" customHeight="true" outlineLevel="0" collapsed="false">
      <c r="A35" s="27" t="str">
        <f aca="false">IF(B35&gt;0,PROPER(TEXT(B35,"dddd")),"")</f>
        <v>Jueves</v>
      </c>
      <c r="B35" s="32" t="n">
        <v>46142</v>
      </c>
      <c r="C35" s="33"/>
      <c r="D35" s="34"/>
      <c r="E35" s="33"/>
      <c r="F35" s="34"/>
      <c r="G35" s="33"/>
      <c r="H35" s="34"/>
      <c r="I35" s="33" t="n">
        <f aca="false">SUM(D35-C35, F35-E35, H35-G35)</f>
        <v>0</v>
      </c>
      <c r="J35" s="35"/>
    </row>
    <row r="36" customFormat="false" ht="17.25" hidden="false" customHeight="true" outlineLevel="0" collapsed="false">
      <c r="A36" s="37" t="str">
        <f aca="false">IF(B36&gt;0,PROPER(TEXT(B36,"dddd")),"")</f>
        <v/>
      </c>
      <c r="B36" s="38"/>
      <c r="C36" s="39"/>
      <c r="D36" s="40"/>
      <c r="E36" s="39"/>
      <c r="F36" s="40"/>
      <c r="G36" s="39"/>
      <c r="H36" s="40"/>
      <c r="I36" s="39" t="n">
        <f aca="false">SUM(C36:H36)</f>
        <v>0</v>
      </c>
      <c r="J36" s="41"/>
    </row>
    <row r="37" customFormat="false" ht="15.75" hidden="false" customHeight="true" outlineLevel="0" collapsed="false">
      <c r="A37" s="42"/>
      <c r="B37" s="43"/>
      <c r="C37" s="43"/>
      <c r="D37" s="43"/>
      <c r="E37" s="43"/>
      <c r="F37" s="43"/>
      <c r="G37" s="43"/>
      <c r="H37" s="43"/>
      <c r="I37" s="44"/>
      <c r="J37" s="43"/>
    </row>
  </sheetData>
  <mergeCells count="1">
    <mergeCell ref="A1:J1"/>
  </mergeCells>
  <conditionalFormatting sqref="A6:J36">
    <cfRule type="expression" priority="2" aboveAverage="0" equalAverage="0" bottom="0" percent="0" rank="0" text="" dxfId="0">
      <formula>OR(WEEKDAY($B6, 2) &gt; 5, ISNUMBER(SEARCH("FESTIVO", $J6)))</formula>
    </cfRule>
  </conditionalFormatting>
  <conditionalFormatting sqref="A6:I36">
    <cfRule type="expression" priority="3" aboveAverage="0" equalAverage="0" bottom="0" percent="0" rank="0" text="" dxfId="1">
      <formula>ISNUMBER(SEARCH("FESTIVO", $J6))</formula>
    </cfRule>
  </conditionalFormatting>
  <printOptions headings="false" gridLines="false" gridLinesSet="true" horizontalCentered="true" verticalCentered="false"/>
  <pageMargins left="0.275694444444444" right="0.275694444444444" top="0.236111111111111" bottom="0.55"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TotalTime>
  <Application>LibreOffice/26.2.1.2$Linux_X86_64 LibreOffice_project/5937a82db3889b586a62e0a27a0d74b840403d7c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1999-03-18T09:31:00Z</dcterms:created>
  <dc:creator>Planificación</dc:creator>
  <dc:description/>
  <dc:language>es-EC</dc:language>
  <cp:lastModifiedBy>Ernesto Palacios</cp:lastModifiedBy>
  <cp:lastPrinted>2026-04-28T17:48:40Z</cp:lastPrinted>
  <dcterms:modified xsi:type="dcterms:W3CDTF">2026-04-28T16:49:06Z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