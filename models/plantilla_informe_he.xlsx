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RAS_EXTRA" sheetId="1" state="visible" r:id="rId3"/>
  </sheets>
  <definedNames>
    <definedName function="false" hidden="false" localSheetId="0" name="_xlnm.Print_Area" vbProcedure="false">HORAS_EXTRA!$A$1:$J$36</definedName>
    <definedName function="false" hidden="false" name="AREA" vbProcedure="false">NA()</definedName>
    <definedName function="false" hidden="false" name="AREA_2000" vbProcedure="false">NA()</definedName>
    <definedName function="false" hidden="false" name="LISTAMAT" vbProcedure="false">NA()</definedName>
    <definedName function="false" hidden="false" name="Listamateriales" vbProcedure="false">NA()</definedName>
    <definedName function="false" hidden="false" name="_Fill" vbProcedure="false">NA()</definedName>
    <definedName function="false" hidden="false" name="_Key1" vbProcedure="false">NA()</definedName>
    <definedName function="false" hidden="false" name="_Order1" vbProcedure="false">255</definedName>
    <definedName function="false" hidden="false" name="_Sort" vbProcedure="false">NA()</definedName>
    <definedName function="false" hidden="false" name="_xlfn_IFERROR" vbProcedure="false">#ref!</definedName>
    <definedName function="false" hidden="false" name="_xlfn__FV" vbProcedure="false">#ref!</definedName>
    <definedName function="false" hidden="false" localSheetId="0" name="Imprimir_títulos_IM" vbProcedure="false">NA()</definedName>
    <definedName function="false" hidden="false" localSheetId="0" name="Imprimir_área_IM" vbProcedure="false">NA()</definedName>
    <definedName function="false" hidden="false" localSheetId="0" name="_Regression_Int" vbProcedure="false">1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<sst xmlns="http://schemas.openxmlformats.org/spreadsheetml/2006/main" count="27" uniqueCount="24">
  <si>
    <r>
      <rPr>
        <b val="true"/>
        <sz val="12"/>
        <rFont val="Franklin Gothic Book"/>
        <family val="2"/>
        <charset val="1"/>
      </rPr>
      <t xml:space="preserve">GERENCIA DE OPERACIÓN Y MANTENIMIENTO
</t>
    </r>
    <r>
      <rPr>
        <sz val="12"/>
        <rFont val="Franklin Gothic Book"/>
        <family val="2"/>
        <charset val="1"/>
      </rPr>
      <t xml:space="preserve">SUPERINTENDENCIA DE OPERACIÓN Y MANTENIMIENTO ZONA 1
Reporte Horas Extraordinarias
</t>
    </r>
  </si>
  <si>
    <t xml:space="preserve">Nombre del trabajador: </t>
  </si>
  <si>
    <t xml:space="preserve">HOJA DE PRUEBA</t>
  </si>
  <si>
    <t xml:space="preserve">TOTAL</t>
  </si>
  <si>
    <t xml:space="preserve">Cuadrilla o Agencia:</t>
  </si>
  <si>
    <t xml:space="preserve">AGENCIA GUALAQUIZA</t>
  </si>
  <si>
    <t xml:space="preserve">( horas reloj )</t>
  </si>
  <si>
    <t xml:space="preserve">Parte:</t>
  </si>
  <si>
    <t xml:space="preserve">                      Trabajador                                                         Jefe Zonal                                                          Ingeniero 1                            </t>
  </si>
  <si>
    <t xml:space="preserve">DÍA</t>
  </si>
  <si>
    <t xml:space="preserve">FECHA</t>
  </si>
  <si>
    <t xml:space="preserve">Extra 1</t>
  </si>
  <si>
    <t xml:space="preserve">Fin 1</t>
  </si>
  <si>
    <t xml:space="preserve">Extra 2</t>
  </si>
  <si>
    <t xml:space="preserve">Fin 2</t>
  </si>
  <si>
    <t xml:space="preserve">Extra 3</t>
  </si>
  <si>
    <t xml:space="preserve">Fin 3</t>
  </si>
  <si>
    <t xml:space="preserve">Horas</t>
  </si>
  <si>
    <t xml:space="preserve">BREVE EXPLICACIÓN</t>
  </si>
  <si>
    <t xml:space="preserve">OT # 173960. Guayusal, reivision y limpieza RBV rehabilitacion de trafo # 23459.</t>
  </si>
  <si>
    <t xml:space="preserve">OT # 174080. FESTIVO. Naichap, restitución M# 194238 por 18-258039. Aguacate, restitución M# 194324 por 18-258040.</t>
  </si>
  <si>
    <t xml:space="preserve">OT # 174310. La Pradera, se arregla acometida M# 240908, se rehabilita trafo # 20916</t>
  </si>
  <si>
    <t xml:space="preserve">OT # 174313. Shiramentza, Est 22357 cambi0 tirafusible de 1.3A-SR</t>
  </si>
  <si>
    <t xml:space="preserve">OT # 174486.Tutus, Est 91980 cambio de tirafusible 12A-T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</si>
</sst>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&quot;( &quot;[h]:mm&quot; )&quot;"/>
    <numFmt numFmtId="167" formatCode="h:mm;@"/>
    <numFmt numFmtId="168" formatCode="[$-C0A]d/mmm\ yyyy;@"/>
  </numFmts>
  <fonts count="24">
    <font>
      <sz val="12"/>
      <name val="Courier New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"/>
      <color rgb="FF000000"/>
      <name val="Courier New"/>
      <family val="0"/>
      <charset val="134"/>
    </font>
    <font>
      <i val="true"/>
      <sz val="1"/>
      <color rgb="FF000000"/>
      <name val="Courier New"/>
      <family val="0"/>
      <charset val="134"/>
    </font>
    <font>
      <sz val="10"/>
      <name val="Arial"/>
      <family val="0"/>
      <charset val="134"/>
    </font>
    <font>
      <b val="true"/>
      <sz val="12"/>
      <name val="Franklin Gothic Book"/>
      <family val="2"/>
      <charset val="1"/>
    </font>
    <font>
      <sz val="12"/>
      <name val="Franklin Gothic Book"/>
      <family val="2"/>
      <charset val="1"/>
    </font>
    <font>
      <b val="true"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 val="true"/>
      <sz val="18"/>
      <name val="Calibri"/>
      <family val="2"/>
      <charset val="1"/>
    </font>
    <font>
      <b val="true"/>
      <sz val="18"/>
      <color rgb="FF000000"/>
      <name val="Calibri"/>
      <family val="2"/>
      <charset val="1"/>
    </font>
    <font>
      <b val="true"/>
      <sz val="12"/>
      <name val="Calibri"/>
      <family val="2"/>
      <charset val="1"/>
    </font>
    <font>
      <b val="true"/>
      <sz val="21"/>
      <name val="Calibri"/>
      <family val="2"/>
      <charset val="1"/>
    </font>
    <font>
      <sz val="12"/>
      <color rgb="FF000000"/>
      <name val="Calibri"/>
      <family val="2"/>
      <charset val="1"/>
    </font>
    <font>
      <b val="true"/>
      <sz val="21"/>
      <name val="Times New Roman"/>
      <family val="0"/>
      <charset val="134"/>
    </font>
    <font>
      <sz val="10"/>
      <name val="Calibri"/>
      <family val="2"/>
      <charset val="1"/>
    </font>
    <font>
      <b val="true"/>
      <sz val="12"/>
      <color theme="0"/>
      <name val="Calibri"/>
      <family val="2"/>
      <charset val="1"/>
    </font>
    <font>
      <b val="true"/>
      <sz val="12"/>
      <color theme="0"/>
      <name val="Aptos Display"/>
      <family val="2"/>
      <charset val="1"/>
    </font>
    <font>
      <sz val="12"/>
      <color theme="0"/>
      <name val="Courier New"/>
      <family val="3"/>
      <charset val="1"/>
    </font>
    <font>
      <sz val="14"/>
      <name val="Calibri"/>
      <family val="2"/>
      <charset val="1"/>
    </font>
    <font>
      <sz val="9"/>
      <name val="Iosevka Aile"/>
      <family val="0"/>
      <charset val="1"/>
    </font>
    <font>
      <sz val="12"/>
      <name val="Aptos Display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666699"/>
        <bgColor rgb="FF808080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thin"/>
      <right style="thin">
        <color rgb="FF3465A4"/>
      </right>
      <top style="thin"/>
      <bottom/>
      <diagonal/>
    </border>
    <border diagonalUp="false" diagonalDown="false">
      <left/>
      <right style="thin">
        <color rgb="FF3465A4"/>
      </right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hair">
        <color rgb="FF3465A4"/>
      </top>
      <bottom style="hair">
        <color rgb="FF3465A4"/>
      </bottom>
      <diagonal/>
    </border>
    <border diagonalUp="false" diagonalDown="false">
      <left/>
      <right style="thin">
        <color rgb="FF3465A4"/>
      </right>
      <top/>
      <bottom style="hair">
        <color rgb="FF3465A4"/>
      </bottom>
      <diagonal/>
    </border>
    <border diagonalUp="false" diagonalDown="false">
      <left/>
      <right/>
      <top/>
      <bottom style="hair">
        <color rgb="FF3465A4"/>
      </bottom>
      <diagonal/>
    </border>
    <border diagonalUp="false" diagonalDown="false">
      <left style="thin">
        <color rgb="FF3465A4"/>
      </left>
      <right style="thin"/>
      <top style="hair">
        <color rgb="FF3465A4"/>
      </top>
      <bottom style="hair">
        <color rgb="FF3465A4"/>
      </bottom>
      <diagonal/>
    </border>
    <border diagonalUp="false" diagonalDown="false">
      <left/>
      <right style="thin">
        <color rgb="FF3465A4"/>
      </right>
      <top style="hair">
        <color rgb="FF3465A4"/>
      </top>
      <bottom style="hair">
        <color rgb="FF3465A4"/>
      </bottom>
      <diagonal/>
    </border>
    <border diagonalUp="false" diagonalDown="false">
      <left/>
      <right/>
      <top style="hair">
        <color rgb="FF3465A4"/>
      </top>
      <bottom style="hair">
        <color rgb="FF3465A4"/>
      </bottom>
      <diagonal/>
    </border>
    <border diagonalUp="false" diagonalDown="false">
      <left/>
      <right/>
      <top style="hair">
        <color rgb="FF3465A4"/>
      </top>
      <bottom/>
      <diagonal/>
    </border>
    <border diagonalUp="false" diagonalDown="false">
      <left style="thin">
        <color rgb="FF3465A4"/>
      </left>
      <right style="thin">
        <color rgb="FF3465A4"/>
      </right>
      <top style="hair">
        <color theme="5"/>
      </top>
      <bottom style="hair">
        <color theme="5"/>
      </bottom>
      <diagonal/>
    </border>
    <border diagonalUp="false" diagonalDown="false">
      <left style="thin"/>
      <right/>
      <top style="hair">
        <color rgb="FF3465A4"/>
      </top>
      <bottom style="thin"/>
      <diagonal/>
    </border>
    <border diagonalUp="false" diagonalDown="false">
      <left/>
      <right style="thin">
        <color rgb="FF3465A4"/>
      </right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3465A4"/>
      </left>
      <right style="thin"/>
      <top/>
      <bottom style="thin"/>
      <diagonal/>
    </border>
  </borders>
  <cellStyleXfs count="2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left" vertical="top" textRotation="0" wrapText="false" indent="0" shrinkToFit="false"/>
      <protection locked="true" hidden="true"/>
    </xf>
    <xf numFmtId="164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0" fillId="0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0" borderId="1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1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F2" xfId="20"/>
    <cellStyle name="F3" xfId="21"/>
    <cellStyle name="F4" xfId="22"/>
    <cellStyle name="F5" xfId="23"/>
    <cellStyle name="F6" xfId="24"/>
    <cellStyle name="F7" xfId="25"/>
    <cellStyle name="F8" xfId="26"/>
    <cellStyle name="Normal 2" xfId="27"/>
  </cellStyles>
  <dxfs count="1">
    <dxf>
      <font>
        <color rgb="FFBFBFB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369A3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465A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108360</xdr:colOff>
      <xdr:row>1</xdr:row>
      <xdr:rowOff>86760</xdr:rowOff>
    </xdr:to>
    <xdr:pic>
      <xdr:nvPicPr>
        <xdr:cNvPr id="1" name="Imagen 2"/>
        <xdr:cNvPicPr/>
      </xdr:nvPicPr>
      <xdr:blipFill>
        <a:blip r:embed="rId1"/>
        <a:stretch/>
      </xdr:blipFill>
      <xdr:spPr>
        <a:xfrm>
          <a:off x="0" y="0"/>
          <a:ext cx="2037600" cy="1053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9</xdr:col>
      <xdr:colOff>3720240</xdr:colOff>
      <xdr:row>0</xdr:row>
      <xdr:rowOff>21960</xdr:rowOff>
    </xdr:from>
    <xdr:to>
      <xdr:col>9</xdr:col>
      <xdr:colOff>7869240</xdr:colOff>
      <xdr:row>0</xdr:row>
      <xdr:rowOff>398880</xdr:rowOff>
    </xdr:to>
    <xdr:pic>
      <xdr:nvPicPr>
        <xdr:cNvPr id="2" name="Imagen 4"/>
        <xdr:cNvPicPr/>
      </xdr:nvPicPr>
      <xdr:blipFill>
        <a:blip r:embed="rId2"/>
        <a:stretch/>
      </xdr:blipFill>
      <xdr:spPr>
        <a:xfrm>
          <a:off x="10009800" y="21960"/>
          <a:ext cx="4149000" cy="3769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I19" activeCellId="0" sqref="I19"/>
    </sheetView>
  </sheetViews>
  <sheetFormatPr defaultColWidth="8.8984375" defaultRowHeight="15.75" customHeight="false" zeroHeight="false" outlineLevelRow="0" outlineLevelCol="0"/>
  <cols>
    <col collapsed="false" customWidth="true" hidden="false" outlineLevel="0" max="1" min="1" style="0" width="9.3"/>
    <col collapsed="false" customWidth="true" hidden="false" outlineLevel="0" max="2" min="2" style="0" width="11.8"/>
    <col collapsed="false" customWidth="true" hidden="false" outlineLevel="0" max="8" min="3" style="0" width="6.3"/>
    <col collapsed="false" customWidth="true" hidden="false" outlineLevel="0" max="9" min="9" style="1" width="9.9"/>
    <col collapsed="false" customWidth="true" hidden="false" outlineLevel="0" max="10" min="10" style="0" width="101.6"/>
    <col collapsed="false" customWidth="true" hidden="true" outlineLevel="0" max="11" min="11" style="0" width="7.9"/>
    <col collapsed="false" customWidth="true" hidden="false" outlineLevel="0" max="12" min="12" style="0" width="8.6"/>
    <col collapsed="false" customWidth="true" hidden="false" outlineLevel="0" max="13" min="13" style="0" width="12.2"/>
    <col collapsed="false" customWidth="true" hidden="false" outlineLevel="0" max="14" min="14" style="0" width="3.3"/>
  </cols>
  <sheetData>
    <row r="1" customFormat="false" ht="76.1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8.65" hidden="false" customHeight="true" outlineLevel="0" collapsed="false">
      <c r="A2" s="3" t="s">
        <v>1</v>
      </c>
      <c r="B2" s="3"/>
      <c r="C2" s="3"/>
      <c r="D2" s="3"/>
      <c r="E2" s="4"/>
      <c r="F2" s="4"/>
      <c r="G2" s="5"/>
      <c r="H2" s="6" t="s">
        <v>2</v>
      </c>
      <c r="I2" s="7" t="n">
        <f aca="false">SUM(K6:K36)</f>
        <v>52.5166666666667</v>
      </c>
      <c r="J2" s="8" t="s">
        <v>3</v>
      </c>
    </row>
    <row r="3" customFormat="false" ht="18.75" hidden="false" customHeight="true" outlineLevel="0" collapsed="false">
      <c r="A3" s="9" t="s">
        <v>4</v>
      </c>
      <c r="B3" s="9"/>
      <c r="C3" s="9"/>
      <c r="D3" s="9"/>
      <c r="E3" s="10"/>
      <c r="F3" s="10"/>
      <c r="G3" s="10"/>
      <c r="H3" s="6" t="s">
        <v>5</v>
      </c>
      <c r="I3" s="11" t="n">
        <f aca="false">SUM(I6:I36)</f>
        <v>1.31875</v>
      </c>
      <c r="J3" s="12" t="s">
        <v>6</v>
      </c>
      <c r="K3" s="13"/>
      <c r="L3" s="13"/>
      <c r="M3" s="13"/>
      <c r="N3" s="13"/>
    </row>
    <row r="4" s="20" customFormat="true" ht="22.5" hidden="false" customHeight="true" outlineLevel="0" collapsed="false">
      <c r="A4" s="14" t="s">
        <v>7</v>
      </c>
      <c r="B4" s="14"/>
      <c r="C4" s="14"/>
      <c r="D4" s="14"/>
      <c r="E4" s="15"/>
      <c r="F4" s="15"/>
      <c r="G4" s="15"/>
      <c r="H4" s="16" t="str">
        <f aca="false">UPPER(TEXT(B6, "mmmm aaaa"))</f>
        <v>MAYO 2026</v>
      </c>
      <c r="I4" s="17"/>
      <c r="J4" s="18" t="s">
        <v>8</v>
      </c>
      <c r="K4" s="19"/>
      <c r="L4" s="19"/>
      <c r="M4" s="19"/>
      <c r="N4" s="19"/>
    </row>
    <row r="5" s="26" customFormat="true" ht="15.75" hidden="false" customHeight="false" outlineLevel="0" collapsed="false">
      <c r="A5" s="21" t="s">
        <v>9</v>
      </c>
      <c r="B5" s="22" t="s">
        <v>10</v>
      </c>
      <c r="C5" s="23" t="s">
        <v>11</v>
      </c>
      <c r="D5" s="23" t="s">
        <v>12</v>
      </c>
      <c r="E5" s="23" t="s">
        <v>13</v>
      </c>
      <c r="F5" s="22" t="s">
        <v>14</v>
      </c>
      <c r="G5" s="23" t="s">
        <v>15</v>
      </c>
      <c r="H5" s="23" t="s">
        <v>16</v>
      </c>
      <c r="I5" s="23" t="s">
        <v>17</v>
      </c>
      <c r="J5" s="24" t="s">
        <v>18</v>
      </c>
      <c r="K5" s="25"/>
      <c r="L5" s="25"/>
      <c r="M5" s="25"/>
      <c r="N5" s="25"/>
    </row>
    <row r="6" customFormat="false" ht="17.35" hidden="false" customHeight="false" outlineLevel="0" collapsed="false">
      <c r="A6" s="27" t="str">
        <f aca="false">IF(B6&gt;0,PROPER(TEXT(B6,"dddd")),"")</f>
        <v>Viernes</v>
      </c>
      <c r="B6" s="28" t="n">
        <v>46143</v>
      </c>
      <c r="C6" s="29"/>
      <c r="D6" s="30"/>
      <c r="E6" s="29"/>
      <c r="F6" s="30"/>
      <c r="G6" s="29"/>
      <c r="H6" s="30"/>
      <c r="I6" s="29" t="n">
        <v>0</v>
      </c>
      <c r="J6" s="31" t="s">
        <v>19</v>
      </c>
      <c r="K6" s="0" t="n">
        <f aca="true" t="array" ref="K6">SUM((INDIRECT("D"&amp;ROW())-INDIRECT("C"&amp;ROW()))*2*24,(INDIRECT("F"&amp;ROW())-INDIRECT("E"&amp;ROW()))*2*24,(INDIRECT("H"&amp;ROW())-INDIRECT("G"&amp;ROW()))*2*24)</f>
        <v>0</v>
      </c>
    </row>
    <row r="7" customFormat="false" ht="17.35" hidden="false" customHeight="false" outlineLevel="0" collapsed="false">
      <c r="A7" s="27" t="str">
        <f aca="false">IF(B7&gt;0,PROPER(TEXT(B7,"dddd")),"")</f>
        <v>Sábado</v>
      </c>
      <c r="B7" s="32" t="n">
        <v>46144</v>
      </c>
      <c r="C7" s="33" t="n">
        <v>0.803472222222222</v>
      </c>
      <c r="D7" s="34" t="n">
        <v>0.865277777777778</v>
      </c>
      <c r="E7" s="33"/>
      <c r="F7" s="34"/>
      <c r="G7" s="33"/>
      <c r="H7" s="34"/>
      <c r="I7" s="33" t="n">
        <v>0.0618055555555556</v>
      </c>
      <c r="J7" s="31" t="s">
        <v>19</v>
      </c>
      <c r="K7" s="0" t="n">
        <f aca="true" t="array" ref="K7">SUM((INDIRECT("D"&amp;ROW())-INDIRECT("C"&amp;ROW()))*2*24,(INDIRECT("F"&amp;ROW())-INDIRECT("E"&amp;ROW()))*2*24,(INDIRECT("H"&amp;ROW())-INDIRECT("G"&amp;ROW()))*2*24)</f>
        <v>2.96666666666667</v>
      </c>
    </row>
    <row r="8" customFormat="false" ht="17.35" hidden="false" customHeight="false" outlineLevel="0" collapsed="false">
      <c r="A8" s="27" t="str">
        <f aca="false">IF(B8&gt;0,PROPER(TEXT(B8,"dddd")),"")</f>
        <v>Domingo</v>
      </c>
      <c r="B8" s="32" t="n">
        <v>46145</v>
      </c>
      <c r="C8" s="33" t="n">
        <v>0.370138888888889</v>
      </c>
      <c r="D8" s="34" t="n">
        <v>0.552083333333333</v>
      </c>
      <c r="E8" s="33" t="n">
        <v>0.709027777777778</v>
      </c>
      <c r="F8" s="34" t="n">
        <v>0.795138888888889</v>
      </c>
      <c r="G8" s="33"/>
      <c r="H8" s="34"/>
      <c r="I8" s="33" t="n">
        <v>0.268055555555556</v>
      </c>
      <c r="J8" s="31" t="s">
        <v>19</v>
      </c>
      <c r="K8" s="0" t="n">
        <f aca="true" t="array" ref="K8">SUM((INDIRECT("D"&amp;ROW())-INDIRECT("C"&amp;ROW()))*2*24,(INDIRECT("F"&amp;ROW())-INDIRECT("E"&amp;ROW()))*2*24,(INDIRECT("H"&amp;ROW())-INDIRECT("G"&amp;ROW()))*2*24)</f>
        <v>12.8666666666667</v>
      </c>
    </row>
    <row r="9" customFormat="false" ht="17.35" hidden="false" customHeight="false" outlineLevel="0" collapsed="false">
      <c r="A9" s="27" t="str">
        <f aca="false">IF(B9&gt;0,PROPER(TEXT(B9,"dddd")),"")</f>
        <v>Lunes</v>
      </c>
      <c r="B9" s="28" t="n">
        <v>46146</v>
      </c>
      <c r="C9" s="33" t="n">
        <v>0.677777777777778</v>
      </c>
      <c r="D9" s="34" t="n">
        <v>0.766666666666667</v>
      </c>
      <c r="E9" s="33"/>
      <c r="F9" s="34"/>
      <c r="G9" s="33"/>
      <c r="H9" s="34"/>
      <c r="I9" s="33" t="n">
        <v>0.0888888888888889</v>
      </c>
      <c r="J9" s="31" t="s">
        <v>20</v>
      </c>
      <c r="K9" s="0" t="n">
        <f aca="true" t="array" ref="K9">SUM((INDIRECT("D"&amp;ROW())-INDIRECT("C"&amp;ROW()))*1.5*24,(INDIRECT("F"&amp;ROW())-INDIRECT("E"&amp;ROW()))*1.5*24,(INDIRECT("H"&amp;ROW())-INDIRECT("G"&amp;ROW()))*1.5*24)</f>
        <v>3.2</v>
      </c>
    </row>
    <row r="10" customFormat="false" ht="17.35" hidden="false" customHeight="false" outlineLevel="0" collapsed="false">
      <c r="A10" s="27" t="str">
        <f aca="false">IF(B10&gt;0,PROPER(TEXT(B10,"dddd")),"")</f>
        <v>Martes</v>
      </c>
      <c r="B10" s="32" t="n">
        <v>46147</v>
      </c>
      <c r="C10" s="33" t="n">
        <v>0.366666666666667</v>
      </c>
      <c r="D10" s="34" t="n">
        <v>0.450694444444444</v>
      </c>
      <c r="E10" s="33"/>
      <c r="F10" s="34"/>
      <c r="G10" s="33"/>
      <c r="H10" s="34"/>
      <c r="I10" s="33" t="n">
        <v>0.0840277777777778</v>
      </c>
      <c r="J10" s="31" t="s">
        <v>20</v>
      </c>
      <c r="K10" s="0" t="n">
        <f aca="true" t="array" ref="K10">SUM((INDIRECT("D"&amp;ROW())-INDIRECT("C"&amp;ROW()))*1.5*24,(INDIRECT("F"&amp;ROW())-INDIRECT("E"&amp;ROW()))*1.5*24,(INDIRECT("H"&amp;ROW())-INDIRECT("G"&amp;ROW()))*1.5*24)</f>
        <v>3.025</v>
      </c>
    </row>
    <row r="11" customFormat="false" ht="17.35" hidden="false" customHeight="false" outlineLevel="0" collapsed="false">
      <c r="A11" s="27" t="str">
        <f aca="false">IF(B11&gt;0,PROPER(TEXT(B11,"dddd")),"")</f>
        <v>Miércoles</v>
      </c>
      <c r="B11" s="32" t="n">
        <v>46148</v>
      </c>
      <c r="C11" s="33" t="n">
        <v>0.798611111111111</v>
      </c>
      <c r="D11" s="34" t="n">
        <v>0.885416666666667</v>
      </c>
      <c r="E11" s="33"/>
      <c r="F11" s="34"/>
      <c r="G11" s="33"/>
      <c r="H11" s="34"/>
      <c r="I11" s="35" t="n">
        <v>0.0868055555555556</v>
      </c>
      <c r="J11" s="31" t="s">
        <v>21</v>
      </c>
      <c r="K11" s="0" t="n">
        <f aca="true" t="array" ref="K11">SUM((INDIRECT("D"&amp;ROW())-INDIRECT("C"&amp;ROW()))*1.5*24,(INDIRECT("F"&amp;ROW())-INDIRECT("E"&amp;ROW()))*1.5*24,(INDIRECT("H"&amp;ROW())-INDIRECT("G"&amp;ROW()))*1.5*24)</f>
        <v>3.125</v>
      </c>
    </row>
    <row r="12" customFormat="false" ht="17.35" hidden="false" customHeight="false" outlineLevel="0" collapsed="false">
      <c r="A12" s="27" t="str">
        <f aca="false">IF(B12&gt;0,PROPER(TEXT(B12,"dddd")),"")</f>
        <v>Jueves</v>
      </c>
      <c r="B12" s="28" t="n">
        <v>46149</v>
      </c>
      <c r="C12" s="33" t="n">
        <v>0.75</v>
      </c>
      <c r="D12" s="34" t="n">
        <v>0.847222222222222</v>
      </c>
      <c r="E12" s="33"/>
      <c r="F12" s="34"/>
      <c r="G12" s="33"/>
      <c r="H12" s="34"/>
      <c r="I12" s="36" t="n">
        <v>0.0972222222222222</v>
      </c>
      <c r="J12" s="31" t="s">
        <v>22</v>
      </c>
      <c r="K12" s="0" t="n">
        <f aca="true" t="array" ref="K12">SUM((INDIRECT("D"&amp;ROW())-INDIRECT("C"&amp;ROW()))*1.5*24,(INDIRECT("F"&amp;ROW())-INDIRECT("E"&amp;ROW()))*1.5*24,(INDIRECT("H"&amp;ROW())-INDIRECT("G"&amp;ROW()))*1.5*24)</f>
        <v>3.5</v>
      </c>
    </row>
    <row r="13" customFormat="false" ht="17.35" hidden="false" customHeight="false" outlineLevel="0" collapsed="false">
      <c r="A13" s="27" t="str">
        <f aca="false">IF(B13&gt;0,PROPER(TEXT(B13,"dddd")),"")</f>
        <v>Viernes</v>
      </c>
      <c r="B13" s="32" t="n">
        <v>46150</v>
      </c>
      <c r="C13" s="33"/>
      <c r="D13" s="34"/>
      <c r="E13" s="33"/>
      <c r="F13" s="34"/>
      <c r="G13" s="33"/>
      <c r="H13" s="34"/>
      <c r="I13" s="29" t="n">
        <v>0</v>
      </c>
      <c r="J13" s="31"/>
      <c r="K13" s="0" t="n">
        <f aca="true" t="array" ref="K13">SUM((INDIRECT("D"&amp;ROW())-INDIRECT("C"&amp;ROW()))*1.5*24,(INDIRECT("F"&amp;ROW())-INDIRECT("E"&amp;ROW()))*1.5*24,(INDIRECT("H"&amp;ROW())-INDIRECT("G"&amp;ROW()))*1.5*24)</f>
        <v>0</v>
      </c>
    </row>
    <row r="14" customFormat="false" ht="17.35" hidden="false" customHeight="false" outlineLevel="0" collapsed="false">
      <c r="A14" s="27" t="str">
        <f aca="false">IF(B14&gt;0,PROPER(TEXT(B14,"dddd")),"")</f>
        <v>Sábado</v>
      </c>
      <c r="B14" s="32" t="n">
        <v>46151</v>
      </c>
      <c r="C14" s="33"/>
      <c r="D14" s="34"/>
      <c r="E14" s="33"/>
      <c r="F14" s="34"/>
      <c r="G14" s="33"/>
      <c r="H14" s="34"/>
      <c r="I14" s="33" t="n">
        <v>0</v>
      </c>
      <c r="J14" s="31"/>
      <c r="K14" s="0" t="n">
        <f aca="true" t="array" ref="K14">SUM((INDIRECT("D"&amp;ROW())-INDIRECT("C"&amp;ROW()))*2*24,(INDIRECT("F"&amp;ROW())-INDIRECT("E"&amp;ROW()))*2*24,(INDIRECT("H"&amp;ROW())-INDIRECT("G"&amp;ROW()))*2*24)</f>
        <v>0</v>
      </c>
    </row>
    <row r="15" customFormat="false" ht="17.35" hidden="false" customHeight="false" outlineLevel="0" collapsed="false">
      <c r="A15" s="27" t="str">
        <f aca="false">IF(B15&gt;0,PROPER(TEXT(B15,"dddd")),"")</f>
        <v>Domingo</v>
      </c>
      <c r="B15" s="28" t="n">
        <v>46152</v>
      </c>
      <c r="C15" s="33" t="n">
        <v>0.727083333333333</v>
      </c>
      <c r="D15" s="34" t="n">
        <v>0.817361111111111</v>
      </c>
      <c r="E15" s="33"/>
      <c r="F15" s="34"/>
      <c r="G15" s="33"/>
      <c r="H15" s="34"/>
      <c r="I15" s="33" t="n">
        <v>0.0902777777777778</v>
      </c>
      <c r="J15" s="31" t="s">
        <v>23</v>
      </c>
      <c r="K15" s="0" t="n">
        <f aca="true" t="array" ref="K15">SUM((INDIRECT("D"&amp;ROW())-INDIRECT("C"&amp;ROW()))*2*24,(INDIRECT("F"&amp;ROW())-INDIRECT("E"&amp;ROW()))*2*24,(INDIRECT("H"&amp;ROW())-INDIRECT("G"&amp;ROW()))*2*24)</f>
        <v>4.33333333333333</v>
      </c>
    </row>
    <row r="16" customFormat="false" ht="17.35" hidden="false" customHeight="false" outlineLevel="0" collapsed="false">
      <c r="A16" s="27" t="str">
        <f aca="false">IF(B16&gt;0,PROPER(TEXT(B16,"dddd")),"")</f>
        <v>Lunes</v>
      </c>
      <c r="B16" s="32" t="n">
        <v>46153</v>
      </c>
      <c r="C16" s="33"/>
      <c r="D16" s="34"/>
      <c r="E16" s="33"/>
      <c r="F16" s="34"/>
      <c r="G16" s="33"/>
      <c r="H16" s="34"/>
      <c r="I16" s="33" t="n">
        <f aca="false">SUM(C16:H16)</f>
        <v>0</v>
      </c>
      <c r="J16" s="31"/>
      <c r="K16" s="0" t="n">
        <f aca="true" t="array" ref="K16">SUM((INDIRECT("D"&amp;ROW())-INDIRECT("C"&amp;ROW()))*1.5*24,(INDIRECT("F"&amp;ROW())-INDIRECT("E"&amp;ROW()))*1.5*24,(INDIRECT("H"&amp;ROW())-INDIRECT("G"&amp;ROW()))*1.5*24)</f>
        <v>0</v>
      </c>
    </row>
    <row r="17" customFormat="false" ht="17.35" hidden="false" customHeight="false" outlineLevel="0" collapsed="false">
      <c r="A17" s="27" t="str">
        <f aca="false">IF(B17&gt;0,PROPER(TEXT(B17,"dddd")),"")</f>
        <v>Martes</v>
      </c>
      <c r="B17" s="32" t="n">
        <v>46154</v>
      </c>
      <c r="C17" s="33" t="n">
        <v>0.375</v>
      </c>
      <c r="D17" s="34" t="n">
        <v>0.916666666666667</v>
      </c>
      <c r="E17" s="33"/>
      <c r="F17" s="34"/>
      <c r="G17" s="33"/>
      <c r="H17" s="34"/>
      <c r="I17" s="33" t="n">
        <f aca="false">D17-C17</f>
        <v>0.541666666666667</v>
      </c>
      <c r="J17" s="31"/>
      <c r="K17" s="0" t="n">
        <f aca="true" t="array" ref="K17">SUM((INDIRECT("D"&amp;ROW())-INDIRECT("C"&amp;ROW()))*1.5*24,(INDIRECT("F"&amp;ROW())-INDIRECT("E"&amp;ROW()))*1.5*24,(INDIRECT("H"&amp;ROW())-INDIRECT("G"&amp;ROW()))*1.5*24)</f>
        <v>19.5</v>
      </c>
    </row>
    <row r="18" customFormat="false" ht="17.35" hidden="false" customHeight="false" outlineLevel="0" collapsed="false">
      <c r="A18" s="27" t="str">
        <f aca="false">IF(B18&gt;0,PROPER(TEXT(B18,"dddd")),"")</f>
        <v>Miércoles</v>
      </c>
      <c r="B18" s="28" t="n">
        <v>46155</v>
      </c>
      <c r="C18" s="33"/>
      <c r="D18" s="34"/>
      <c r="E18" s="33"/>
      <c r="F18" s="34"/>
      <c r="G18" s="33"/>
      <c r="H18" s="34"/>
      <c r="I18" s="33" t="n">
        <f aca="false">SUM(C18:H18)</f>
        <v>0</v>
      </c>
      <c r="J18" s="31"/>
      <c r="K18" s="0" t="n">
        <f aca="true" t="array" ref="K18">SUM((INDIRECT("D"&amp;ROW())-INDIRECT("C"&amp;ROW()))*1.5*24,(INDIRECT("F"&amp;ROW())-INDIRECT("E"&amp;ROW()))*1.5*24,(INDIRECT("H"&amp;ROW())-INDIRECT("G"&amp;ROW()))*1.5*24)</f>
        <v>0</v>
      </c>
    </row>
    <row r="19" customFormat="false" ht="17.35" hidden="false" customHeight="false" outlineLevel="0" collapsed="false">
      <c r="A19" s="27" t="str">
        <f aca="false">IF(B19&gt;0,PROPER(TEXT(B19,"dddd")),"")</f>
        <v>Jueves</v>
      </c>
      <c r="B19" s="32" t="n">
        <v>46156</v>
      </c>
      <c r="C19" s="33"/>
      <c r="D19" s="34"/>
      <c r="E19" s="33"/>
      <c r="F19" s="34"/>
      <c r="G19" s="33"/>
      <c r="H19" s="34"/>
      <c r="I19" s="33" t="n">
        <f aca="false">SUM(C19:H19)</f>
        <v>0</v>
      </c>
      <c r="J19" s="31"/>
      <c r="K19" s="0" t="n">
        <f aca="true" t="array" ref="K19">SUM((INDIRECT("D"&amp;ROW())-INDIRECT("C"&amp;ROW()))*1.5*24,(INDIRECT("F"&amp;ROW())-INDIRECT("E"&amp;ROW()))*1.5*24,(INDIRECT("H"&amp;ROW())-INDIRECT("G"&amp;ROW()))*1.5*24)</f>
        <v>0</v>
      </c>
    </row>
    <row r="20" customFormat="false" ht="17.35" hidden="false" customHeight="false" outlineLevel="0" collapsed="false">
      <c r="A20" s="27" t="str">
        <f aca="false">IF(B20&gt;0,PROPER(TEXT(B20,"dddd")),"")</f>
        <v>Viernes</v>
      </c>
      <c r="B20" s="32" t="n">
        <v>46157</v>
      </c>
      <c r="C20" s="33"/>
      <c r="D20" s="34"/>
      <c r="E20" s="33"/>
      <c r="F20" s="34"/>
      <c r="G20" s="33"/>
      <c r="H20" s="34"/>
      <c r="I20" s="33" t="n">
        <f aca="false">SUM(C20:H20)</f>
        <v>0</v>
      </c>
      <c r="J20" s="31"/>
      <c r="K20" s="0" t="n">
        <f aca="true" t="array" ref="K20">SUM((INDIRECT("D"&amp;ROW())-INDIRECT("C"&amp;ROW()))*1.5*24,(INDIRECT("F"&amp;ROW())-INDIRECT("E"&amp;ROW()))*1.5*24,(INDIRECT("H"&amp;ROW())-INDIRECT("G"&amp;ROW()))*1.5*24)</f>
        <v>0</v>
      </c>
    </row>
    <row r="21" customFormat="false" ht="17.35" hidden="false" customHeight="false" outlineLevel="0" collapsed="false">
      <c r="A21" s="27" t="str">
        <f aca="false">IF(B21&gt;0,PROPER(TEXT(B21,"dddd")),"")</f>
        <v>Sábado</v>
      </c>
      <c r="B21" s="28" t="n">
        <v>46158</v>
      </c>
      <c r="C21" s="33"/>
      <c r="D21" s="34"/>
      <c r="E21" s="33"/>
      <c r="F21" s="34"/>
      <c r="G21" s="33"/>
      <c r="H21" s="34"/>
      <c r="I21" s="33" t="n">
        <f aca="false">SUM(C21:H21)</f>
        <v>0</v>
      </c>
      <c r="J21" s="31"/>
      <c r="K21" s="0" t="n">
        <f aca="true" t="array" ref="K21">SUM((INDIRECT("D"&amp;ROW())-INDIRECT("C"&amp;ROW()))*2*24,(INDIRECT("F"&amp;ROW())-INDIRECT("E"&amp;ROW()))*2*24,(INDIRECT("H"&amp;ROW())-INDIRECT("G"&amp;ROW()))*2*24)</f>
        <v>0</v>
      </c>
    </row>
    <row r="22" customFormat="false" ht="17.35" hidden="false" customHeight="false" outlineLevel="0" collapsed="false">
      <c r="A22" s="27" t="str">
        <f aca="false">IF(B22&gt;0,PROPER(TEXT(B22,"dddd")),"")</f>
        <v>Domingo</v>
      </c>
      <c r="B22" s="32" t="n">
        <v>46159</v>
      </c>
      <c r="C22" s="33"/>
      <c r="D22" s="34"/>
      <c r="E22" s="33"/>
      <c r="F22" s="34"/>
      <c r="G22" s="33"/>
      <c r="H22" s="34"/>
      <c r="I22" s="33" t="n">
        <f aca="false">SUM(C22:H22)</f>
        <v>0</v>
      </c>
      <c r="J22" s="31"/>
      <c r="K22" s="0" t="n">
        <f aca="true" t="array" ref="K22">SUM((INDIRECT("D"&amp;ROW())-INDIRECT("C"&amp;ROW()))*2*24,(INDIRECT("F"&amp;ROW())-INDIRECT("E"&amp;ROW()))*2*24,(INDIRECT("H"&amp;ROW())-INDIRECT("G"&amp;ROW()))*2*24)</f>
        <v>0</v>
      </c>
    </row>
    <row r="23" customFormat="false" ht="17.35" hidden="false" customHeight="false" outlineLevel="0" collapsed="false">
      <c r="A23" s="27" t="str">
        <f aca="false">IF(B23&gt;0,PROPER(TEXT(B23,"dddd")),"")</f>
        <v>Lunes</v>
      </c>
      <c r="B23" s="32" t="n">
        <v>46160</v>
      </c>
      <c r="C23" s="33"/>
      <c r="D23" s="34"/>
      <c r="E23" s="33"/>
      <c r="F23" s="34"/>
      <c r="G23" s="33"/>
      <c r="H23" s="34"/>
      <c r="I23" s="33" t="n">
        <f aca="false">SUM(C23:H23)</f>
        <v>0</v>
      </c>
      <c r="J23" s="31"/>
      <c r="K23" s="0" t="n">
        <f aca="true" t="array" ref="K23">SUM((INDIRECT("D"&amp;ROW())-INDIRECT("C"&amp;ROW()))*1.5*24,(INDIRECT("F"&amp;ROW())-INDIRECT("E"&amp;ROW()))*1.5*24,(INDIRECT("H"&amp;ROW())-INDIRECT("G"&amp;ROW()))*1.5*24)</f>
        <v>0</v>
      </c>
    </row>
    <row r="24" customFormat="false" ht="17.35" hidden="false" customHeight="false" outlineLevel="0" collapsed="false">
      <c r="A24" s="27" t="str">
        <f aca="false">IF(B24&gt;0,PROPER(TEXT(B24,"dddd")),"")</f>
        <v>Martes</v>
      </c>
      <c r="B24" s="28" t="n">
        <v>46161</v>
      </c>
      <c r="C24" s="33"/>
      <c r="D24" s="34"/>
      <c r="E24" s="33"/>
      <c r="F24" s="34"/>
      <c r="G24" s="33"/>
      <c r="H24" s="34"/>
      <c r="I24" s="33" t="n">
        <f aca="false">SUM(C24:H24)</f>
        <v>0</v>
      </c>
      <c r="J24" s="31"/>
      <c r="K24" s="0" t="n">
        <f aca="true" t="array" ref="K24">SUM((INDIRECT("D"&amp;ROW())-INDIRECT("C"&amp;ROW()))*1.5*24,(INDIRECT("F"&amp;ROW())-INDIRECT("E"&amp;ROW()))*1.5*24,(INDIRECT("H"&amp;ROW())-INDIRECT("G"&amp;ROW()))*1.5*24)</f>
        <v>0</v>
      </c>
    </row>
    <row r="25" customFormat="false" ht="17.35" hidden="false" customHeight="false" outlineLevel="0" collapsed="false">
      <c r="A25" s="27" t="str">
        <f aca="false">IF(B25&gt;0,PROPER(TEXT(B25,"dddd")),"")</f>
        <v>Miércoles</v>
      </c>
      <c r="B25" s="32" t="n">
        <v>46162</v>
      </c>
      <c r="C25" s="33"/>
      <c r="D25" s="34"/>
      <c r="E25" s="33"/>
      <c r="F25" s="34"/>
      <c r="G25" s="33"/>
      <c r="H25" s="34"/>
      <c r="I25" s="33" t="n">
        <f aca="false">SUM(C25:H25)</f>
        <v>0</v>
      </c>
      <c r="J25" s="31"/>
      <c r="K25" s="0" t="n">
        <f aca="true" t="array" ref="K25">SUM((INDIRECT("D"&amp;ROW())-INDIRECT("C"&amp;ROW()))*1.5*24,(INDIRECT("F"&amp;ROW())-INDIRECT("E"&amp;ROW()))*1.5*24,(INDIRECT("H"&amp;ROW())-INDIRECT("G"&amp;ROW()))*1.5*24)</f>
        <v>0</v>
      </c>
    </row>
    <row r="26" customFormat="false" ht="17.35" hidden="false" customHeight="false" outlineLevel="0" collapsed="false">
      <c r="A26" s="27" t="str">
        <f aca="false">IF(B26&gt;0,PROPER(TEXT(B26,"dddd")),"")</f>
        <v>Jueves</v>
      </c>
      <c r="B26" s="32" t="n">
        <v>46163</v>
      </c>
      <c r="C26" s="33"/>
      <c r="D26" s="34"/>
      <c r="E26" s="33"/>
      <c r="F26" s="34"/>
      <c r="G26" s="33"/>
      <c r="H26" s="34"/>
      <c r="I26" s="33" t="n">
        <f aca="false">SUM(C26:H26)</f>
        <v>0</v>
      </c>
      <c r="J26" s="31"/>
      <c r="K26" s="0" t="n">
        <f aca="true" t="array" ref="K26">SUM((INDIRECT("D"&amp;ROW())-INDIRECT("C"&amp;ROW()))*1.5*24,(INDIRECT("F"&amp;ROW())-INDIRECT("E"&amp;ROW()))*1.5*24,(INDIRECT("H"&amp;ROW())-INDIRECT("G"&amp;ROW()))*1.5*24)</f>
        <v>0</v>
      </c>
    </row>
    <row r="27" customFormat="false" ht="17.35" hidden="false" customHeight="false" outlineLevel="0" collapsed="false">
      <c r="A27" s="27" t="str">
        <f aca="false">IF(B27&gt;0,PROPER(TEXT(B27,"dddd")),"")</f>
        <v>Viernes</v>
      </c>
      <c r="B27" s="28" t="n">
        <v>46164</v>
      </c>
      <c r="C27" s="33"/>
      <c r="D27" s="34"/>
      <c r="E27" s="33"/>
      <c r="F27" s="34"/>
      <c r="G27" s="33"/>
      <c r="H27" s="34"/>
      <c r="I27" s="33" t="n">
        <f aca="false">SUM(C27:H27)</f>
        <v>0</v>
      </c>
      <c r="J27" s="31"/>
      <c r="K27" s="0" t="n">
        <f aca="true" t="array" ref="K27">SUM((INDIRECT("D"&amp;ROW())-INDIRECT("C"&amp;ROW()))*1.5*24,(INDIRECT("F"&amp;ROW())-INDIRECT("E"&amp;ROW()))*1.5*24,(INDIRECT("H"&amp;ROW())-INDIRECT("G"&amp;ROW()))*1.5*24)</f>
        <v>0</v>
      </c>
    </row>
    <row r="28" customFormat="false" ht="17.35" hidden="false" customHeight="false" outlineLevel="0" collapsed="false">
      <c r="A28" s="27" t="str">
        <f aca="false">IF(B28&gt;0,PROPER(TEXT(B28,"dddd")),"")</f>
        <v>Sábado</v>
      </c>
      <c r="B28" s="32" t="n">
        <v>46165</v>
      </c>
      <c r="C28" s="33"/>
      <c r="D28" s="34"/>
      <c r="E28" s="33"/>
      <c r="F28" s="34"/>
      <c r="G28" s="33"/>
      <c r="H28" s="34"/>
      <c r="I28" s="33" t="n">
        <f aca="false">SUM(C28:H28)</f>
        <v>0</v>
      </c>
      <c r="J28" s="31"/>
      <c r="K28" s="0" t="n">
        <f aca="true" t="array" ref="K28">SUM((INDIRECT("D"&amp;ROW())-INDIRECT("C"&amp;ROW()))*2*24,(INDIRECT("F"&amp;ROW())-INDIRECT("E"&amp;ROW()))*2*24,(INDIRECT("H"&amp;ROW())-INDIRECT("G"&amp;ROW()))*2*24)</f>
        <v>0</v>
      </c>
    </row>
    <row r="29" customFormat="false" ht="17.35" hidden="false" customHeight="false" outlineLevel="0" collapsed="false">
      <c r="A29" s="27" t="str">
        <f aca="false">IF(B29&gt;0,PROPER(TEXT(B29,"dddd")),"")</f>
        <v>Domingo</v>
      </c>
      <c r="B29" s="32" t="n">
        <v>46166</v>
      </c>
      <c r="C29" s="33"/>
      <c r="D29" s="34"/>
      <c r="E29" s="33"/>
      <c r="F29" s="34"/>
      <c r="G29" s="33"/>
      <c r="H29" s="34"/>
      <c r="I29" s="33" t="n">
        <f aca="false">SUM(C29:H29)</f>
        <v>0</v>
      </c>
      <c r="J29" s="31"/>
      <c r="K29" s="0" t="n">
        <f aca="true" t="array" ref="K29">SUM((INDIRECT("D"&amp;ROW())-INDIRECT("C"&amp;ROW()))*2*24,(INDIRECT("F"&amp;ROW())-INDIRECT("E"&amp;ROW()))*2*24,(INDIRECT("H"&amp;ROW())-INDIRECT("G"&amp;ROW()))*2*24)</f>
        <v>0</v>
      </c>
    </row>
    <row r="30" customFormat="false" ht="17.35" hidden="false" customHeight="false" outlineLevel="0" collapsed="false">
      <c r="A30" s="27" t="str">
        <f aca="false">IF(B30&gt;0,PROPER(TEXT(B30,"dddd")),"")</f>
        <v>Lunes</v>
      </c>
      <c r="B30" s="28" t="n">
        <v>46167</v>
      </c>
      <c r="C30" s="33"/>
      <c r="D30" s="34"/>
      <c r="E30" s="33"/>
      <c r="F30" s="34"/>
      <c r="G30" s="33"/>
      <c r="H30" s="34"/>
      <c r="I30" s="33" t="n">
        <f aca="false">SUM(C30:H30)</f>
        <v>0</v>
      </c>
      <c r="J30" s="31"/>
      <c r="K30" s="0" t="n">
        <f aca="true" t="array" ref="K30">SUM((INDIRECT("D"&amp;ROW())-INDIRECT("C"&amp;ROW()))*2*24,(INDIRECT("F"&amp;ROW())-INDIRECT("E"&amp;ROW()))*2*24,(INDIRECT("H"&amp;ROW())-INDIRECT("G"&amp;ROW()))*2*24)</f>
        <v>0</v>
      </c>
    </row>
    <row r="31" customFormat="false" ht="17.35" hidden="false" customHeight="false" outlineLevel="0" collapsed="false">
      <c r="A31" s="27" t="str">
        <f aca="false">IF(B31&gt;0,PROPER(TEXT(B31,"dddd")),"")</f>
        <v>Martes</v>
      </c>
      <c r="B31" s="32" t="n">
        <v>46168</v>
      </c>
      <c r="C31" s="33"/>
      <c r="D31" s="34"/>
      <c r="E31" s="33"/>
      <c r="F31" s="34"/>
      <c r="G31" s="33"/>
      <c r="H31" s="34"/>
      <c r="I31" s="33" t="n">
        <f aca="false">SUM(C31:H31)</f>
        <v>0</v>
      </c>
      <c r="J31" s="31"/>
      <c r="K31" s="0" t="n">
        <f aca="true" t="array" ref="K31">SUM((INDIRECT("D"&amp;ROW())-INDIRECT("C"&amp;ROW()))*1.5*24,(INDIRECT("F"&amp;ROW())-INDIRECT("E"&amp;ROW()))*1.5*24,(INDIRECT("H"&amp;ROW())-INDIRECT("G"&amp;ROW()))*1.5*24)</f>
        <v>0</v>
      </c>
    </row>
    <row r="32" customFormat="false" ht="17.35" hidden="false" customHeight="false" outlineLevel="0" collapsed="false">
      <c r="A32" s="27" t="str">
        <f aca="false">IF(B32&gt;0,PROPER(TEXT(B32,"dddd")),"")</f>
        <v>Miércoles</v>
      </c>
      <c r="B32" s="32" t="n">
        <v>46169</v>
      </c>
      <c r="C32" s="33"/>
      <c r="D32" s="34"/>
      <c r="E32" s="33"/>
      <c r="F32" s="34"/>
      <c r="G32" s="33"/>
      <c r="H32" s="34"/>
      <c r="I32" s="33" t="n">
        <f aca="false">SUM(C32:H32)</f>
        <v>0</v>
      </c>
      <c r="J32" s="31"/>
      <c r="K32" s="0" t="n">
        <f aca="true" t="array" ref="K32">SUM((INDIRECT("D"&amp;ROW())-INDIRECT("C"&amp;ROW()))*1.5*24,(INDIRECT("F"&amp;ROW())-INDIRECT("E"&amp;ROW()))*1.5*24,(INDIRECT("H"&amp;ROW())-INDIRECT("G"&amp;ROW()))*1.5*24)</f>
        <v>0</v>
      </c>
    </row>
    <row r="33" customFormat="false" ht="17.35" hidden="false" customHeight="false" outlineLevel="0" collapsed="false">
      <c r="A33" s="27" t="str">
        <f aca="false">IF(B33&gt;0,PROPER(TEXT(B33,"dddd")),"")</f>
        <v>Jueves</v>
      </c>
      <c r="B33" s="28" t="n">
        <v>46170</v>
      </c>
      <c r="C33" s="33"/>
      <c r="D33" s="34"/>
      <c r="E33" s="33"/>
      <c r="F33" s="34"/>
      <c r="G33" s="33"/>
      <c r="H33" s="34"/>
      <c r="I33" s="33" t="n">
        <f aca="false">SUM(C33:H33)</f>
        <v>0</v>
      </c>
      <c r="J33" s="31"/>
      <c r="K33" s="0" t="n">
        <f aca="true" t="array" ref="K33">SUM((INDIRECT("D"&amp;ROW())-INDIRECT("C"&amp;ROW()))*1.5*24,(INDIRECT("F"&amp;ROW())-INDIRECT("E"&amp;ROW()))*1.5*24,(INDIRECT("H"&amp;ROW())-INDIRECT("G"&amp;ROW()))*1.5*24)</f>
        <v>0</v>
      </c>
    </row>
    <row r="34" customFormat="false" ht="17.35" hidden="false" customHeight="false" outlineLevel="0" collapsed="false">
      <c r="A34" s="27" t="str">
        <f aca="false">IF(B34&gt;0,PROPER(TEXT(B34,"dddd")),"")</f>
        <v>Viernes</v>
      </c>
      <c r="B34" s="32" t="n">
        <v>46171</v>
      </c>
      <c r="C34" s="33"/>
      <c r="D34" s="34"/>
      <c r="E34" s="33"/>
      <c r="F34" s="34"/>
      <c r="G34" s="33"/>
      <c r="H34" s="34"/>
      <c r="I34" s="33" t="n">
        <f aca="false">SUM(C34:H34)</f>
        <v>0</v>
      </c>
      <c r="J34" s="31"/>
      <c r="K34" s="0" t="n">
        <f aca="true" t="array" ref="K34">SUM((INDIRECT("D"&amp;ROW())-INDIRECT("C"&amp;ROW()))*1.5*24,(INDIRECT("F"&amp;ROW())-INDIRECT("E"&amp;ROW()))*1.5*24,(INDIRECT("H"&amp;ROW())-INDIRECT("G"&amp;ROW()))*1.5*24)</f>
        <v>0</v>
      </c>
    </row>
    <row r="35" customFormat="false" ht="17.35" hidden="false" customHeight="false" outlineLevel="0" collapsed="false">
      <c r="A35" s="27" t="str">
        <f aca="false">IF(B35&gt;0,PROPER(TEXT(B35,"dddd")),"")</f>
        <v>Sábado</v>
      </c>
      <c r="B35" s="32" t="n">
        <v>46172</v>
      </c>
      <c r="C35" s="33"/>
      <c r="D35" s="34"/>
      <c r="E35" s="33"/>
      <c r="F35" s="34"/>
      <c r="G35" s="33"/>
      <c r="H35" s="34"/>
      <c r="I35" s="33" t="n">
        <f aca="false">SUM(C35:H35)</f>
        <v>0</v>
      </c>
      <c r="J35" s="31"/>
      <c r="K35" s="0" t="n">
        <f aca="true" t="array" ref="K35">SUM((INDIRECT("D"&amp;ROW())-INDIRECT("C"&amp;ROW()))*2*24,(INDIRECT("F"&amp;ROW())-INDIRECT("E"&amp;ROW()))*2*24,(INDIRECT("H"&amp;ROW())-INDIRECT("G"&amp;ROW()))*2*24)</f>
        <v>0</v>
      </c>
    </row>
    <row r="36" customFormat="false" ht="17.35" hidden="false" customHeight="false" outlineLevel="0" collapsed="false">
      <c r="A36" s="37" t="str">
        <f aca="false">IF(B36&gt;0,PROPER(TEXT(B36,"dddd")),"")</f>
        <v/>
      </c>
      <c r="B36" s="38"/>
      <c r="C36" s="39"/>
      <c r="D36" s="40"/>
      <c r="E36" s="39"/>
      <c r="F36" s="40"/>
      <c r="G36" s="39"/>
      <c r="H36" s="40"/>
      <c r="I36" s="39" t="n">
        <f aca="false">SUM(C36:H36)</f>
        <v>0</v>
      </c>
      <c r="J36" s="41"/>
    </row>
    <row r="37" customFormat="false" ht="15.75" hidden="false" customHeight="false" outlineLevel="0" collapsed="false">
      <c r="A37" s="42"/>
      <c r="B37" s="43"/>
      <c r="C37" s="43"/>
      <c r="D37" s="43"/>
      <c r="E37" s="43"/>
      <c r="F37" s="43"/>
      <c r="G37" s="43"/>
      <c r="H37" s="43"/>
      <c r="I37" s="44"/>
      <c r="J37" s="43"/>
    </row>
  </sheetData>
  <mergeCells count="1">
    <mergeCell ref="A1:J1"/>
  </mergeCells>
  <conditionalFormatting sqref="I6:I36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275694444444444" right="0.275694444444444" top="0.236111111111111" bottom="0.236111111111111" header="0.511811023622047" footer="0.236111111111111"/>
  <pageSetup paperSize="9" scale="6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&amp;RPágina &amp;P de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</TotalTime>
  <Application>LibreOffice/26.8.1.1$Linux_X86_64 LibreOffice_project/bf8adb135da2784a1be3ca33001278b7a20af5c1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1999-03-18T09:31:00Z</dcterms:created>
  <dc:creator>Planificación</dc:creator>
  <dc:description/>
  <dc:language>es-EC</dc:language>
  <cp:lastModifiedBy>Ernesto Palacios</cp:lastModifiedBy>
  <cp:lastPrinted>2026-06-04T14:54:57Z</cp:lastPrinted>
  <dcterms:modified xsi:type="dcterms:W3CDTF">2026-10-29T15:20:57Z</dcterms:modified>
  <cp:revision>24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