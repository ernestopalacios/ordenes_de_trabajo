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474e2f0e930ab59f/01 JEZO/temp_JEZO_borrar/0000 editar imagenes/reportes/"/>
    </mc:Choice>
  </mc:AlternateContent>
  <xr:revisionPtr revIDLastSave="429" documentId="11_3401E6350BFC670AC22CC2D34CE9232D0FFA974D" xr6:coauthVersionLast="47" xr6:coauthVersionMax="47" xr10:uidLastSave="{7B4A6BF6-EC9B-4A8A-91C8-3CF2F7ABA828}"/>
  <bookViews>
    <workbookView xWindow="-120" yWindow="-120" windowWidth="23865" windowHeight="15390" tabRatio="500" activeTab="1" xr2:uid="{00000000-000D-0000-FFFF-FFFF00000000}"/>
  </bookViews>
  <sheets>
    <sheet name="Revisar_primero" sheetId="1" r:id="rId1"/>
    <sheet name="result" sheetId="2" r:id="rId2"/>
  </sheets>
  <definedNames>
    <definedName name="_xlnm._FilterDatabase" localSheetId="1" hidden="1">result!$A$1:$M$1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G3" i="2" l="1"/>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2" i="2"/>
</calcChain>
</file>

<file path=xl/sharedStrings.xml><?xml version="1.0" encoding="utf-8"?>
<sst xmlns="http://schemas.openxmlformats.org/spreadsheetml/2006/main" count="1134" uniqueCount="476">
  <si>
    <t>Aplica</t>
  </si>
  <si>
    <t>Fecha</t>
  </si>
  <si>
    <t>Etiqueta</t>
  </si>
  <si>
    <t>TODOS</t>
  </si>
  <si>
    <t>“Año Nuevo”</t>
  </si>
  <si>
    <t>“Oriente”</t>
  </si>
  <si>
    <t>“Carnaval L”</t>
  </si>
  <si>
    <t>“Carnaval M”</t>
  </si>
  <si>
    <t>“Viernes Santo”</t>
  </si>
  <si>
    <t>“Trabajo”</t>
  </si>
  <si>
    <t>“Pichincha”</t>
  </si>
  <si>
    <t xml:space="preserve">“Independencia” </t>
  </si>
  <si>
    <t xml:space="preserve">“Guayaquil” </t>
  </si>
  <si>
    <t>“Difuntos”</t>
  </si>
  <si>
    <t>“Cuenca”</t>
  </si>
  <si>
    <t>“Provincializacion”</t>
  </si>
  <si>
    <t>“Navidad”</t>
  </si>
  <si>
    <t>Zamora Z1 (Cuadrilla. Nro. 6)</t>
  </si>
  <si>
    <t>“Cantonizacion”</t>
  </si>
  <si>
    <t>Zamora Z1 (Cuadrilla. AP Nro. 4)</t>
  </si>
  <si>
    <t>Zamora (Agencia)</t>
  </si>
  <si>
    <t>Jefatura Zonal Zamora</t>
  </si>
  <si>
    <t>Yacuambi Z1 (Cuadrilla. Nro. 8)</t>
  </si>
  <si>
    <t>Yantzaza Z1 (Cuadrilla. Nro. 5)</t>
  </si>
  <si>
    <t>Líneas Energizadas (Cuadrilla  Nro.6)</t>
  </si>
  <si>
    <t>Yantzaza (Agencia)</t>
  </si>
  <si>
    <t>Paquisha Z1 (Cuadrilla Nro. 10)</t>
  </si>
  <si>
    <t>Guayzimi Z1 (Cuadrilla. Nro. 7)</t>
  </si>
  <si>
    <t>El Pangui Z1 (Cuadrilla. Nro. 4)</t>
  </si>
  <si>
    <t>El Pangui (Agencia)</t>
  </si>
  <si>
    <t>Gualaquiza Z1 (Cuadrilla. Nro. 3)</t>
  </si>
  <si>
    <t>“Cantonización”</t>
  </si>
  <si>
    <t>Gualaquiza (Agencia)</t>
  </si>
  <si>
    <t>Cuadrilla</t>
  </si>
  <si>
    <t>Responsable</t>
  </si>
  <si>
    <t>Dia</t>
  </si>
  <si>
    <t>InicioEvento</t>
  </si>
  <si>
    <t>FinEvento</t>
  </si>
  <si>
    <t>Duracion</t>
  </si>
  <si>
    <t>Evento</t>
  </si>
  <si>
    <t>Cuenta</t>
  </si>
  <si>
    <t>id_ot</t>
  </si>
  <si>
    <t>Num_Filas</t>
  </si>
  <si>
    <t>Archivo</t>
  </si>
  <si>
    <t>lunes</t>
  </si>
  <si>
    <t>['Nos trasladamos desde agencia EERSSA Zamora a San Carlos de las Minas', 'San Carlos de las Minas, arreglo de conexiones recalentadas en caja de\nborneras y cambio de breaker bifásico del medidor # 297664 (Lect:\n21774) con falla uno de sus polos, estructura. 245700.', 'Nos trasladamos desde San Carlos de las Minas a la agencia EERSSA\nZamora']</t>
  </si>
  <si>
    <t>['transporte', '?', 'transporte']</t>
  </si>
  <si>
    <t>OT [01] Cuadrilla Zamora 2026-03-02 (007) RS.pdf</t>
  </si>
  <si>
    <t>martes</t>
  </si>
  <si>
    <t>['En Los Cedrales, se coordina con Personal de GEGEA, y se coordina con\nCentro de Maniobras y en la estructura. 27803 se cierra seccionador y se\nnormaliza el servicio eléctrico.']</t>
  </si>
  <si>
    <t>['REDES']</t>
  </si>
  <si>
    <t>OT [01] Cuadrilla Zamora 2026-03-03 (006) FR.pdf</t>
  </si>
  <si>
    <t>miércoles</t>
  </si>
  <si>
    <t>['Desde la Agencia Zamora nos trasladamos hacia El Tambo Nambija.', 'DAÑO REPORTADO POR Centro de Control, El Tambo, estructura. 34831 se cambia fusible de 25A\ntipo T en la Fase A, causa: descargas atmosféricas, se normaliza el\nservicio eléctrico.']</t>
  </si>
  <si>
    <t>['transporte', 'REDES']</t>
  </si>
  <si>
    <t>OT [01] Cuadrilla Zamora 2026-03-04 (006) FR.pdf</t>
  </si>
  <si>
    <t>['Nos trasladamos desde agencia EERSSA Zamora a Jamboe', 'Jamboe, se revisa y arregla conexión arrancada por recalentamiento en\nempalme a la salida del medidor # 18518314 (Lect: 16335) estructura. 273221.', 'Nos trasladamos desde Jamboe a la agencia EERSSA Zamora']</t>
  </si>
  <si>
    <t>OT [01] Cuadrilla Zamora 2026-03-04 (007) RS.pdf</t>
  </si>
  <si>
    <t>sábado</t>
  </si>
  <si>
    <t>['Nos trasladamos desde agencia EERSSA Zamora a Napintza', 'Napintza, previa revisión de la LMT 1F. entre las estructura. 217134 y\n217133 se encuentra material aglomerado de minería cerca a la LMT 1F.\nSe hace desalojar parte del material antes de energizar.\nestructura. 191853 se cambia tirafusible quemado de 25 Amp. tipo T fase C.', 'Nos trasladamos desde Napintza a la agencia EERSSA Zamora']</t>
  </si>
  <si>
    <t>['transporte', 'REDES', 'transporte']</t>
  </si>
  <si>
    <t>OT [01] Cuadrilla Zamora 2026-03-07 (007) RS.pdf</t>
  </si>
  <si>
    <t>['Nos trasladamos desde agencia EERSSA Zamora a Cuzuntza', 'Cuzuntza, se revisa y encuentra acometida arrancada, columna con caja\ndel medidor #18-238008 desplomados en el piso y estructura fisurado estructura.\n216205 a causa del impacto de vehículo que ya no se encontrab\nSe regula tensor estructura. 216205, se cambia acometida en mal estado e\ninstala provisionalmente medidor #18-238008 (Lect: 771) en el estructura\nhasta que realicen las respectivas adecuaciones.', 'Nos trasladamos desde Cuzuntza a la agencia EERSSA Zamora']</t>
  </si>
  <si>
    <t>domingo</t>
  </si>
  <si>
    <t>['Nos trasladamos desde agencia EERSSA Zamora al Reconectador Etnia\nShuar', 'Zamora, conjuntamente con funcionario de Transelectric se realiza\nrevisión, medición de la fibra y equipos en caja de comunicaciones\nde los Reconectadores Etnia Shuar y Yaguarzongo', 'Nos trasladamos desde agencia EERSSA Zamora a la Subestación\nCumbaratza', 'Zamora, conjuntamente con funcionario de Transelectric se realiza\nrevisión, medición de la fibra y equipos en caja de comunicaciones\nde la Subestación', 'Nos trasladamos desde la Subestación Cumbaratza a Zamora', 'Zamora, conjuntamente con funcionario de Transelectric se realiza\nrevisión, medición de la fibra y equipos se hace pruebas con Centro\nde Control Comunicaciones en el Reconectador Yaguarzongo', 'LUNCH EN ZAMORA', 'Nos trasladamos desde Zamora al barrio Rio Blanco', 'Rio Blanco, se revisa, detecta y despeja falla en el medidor #\n18-238241. estructura. 210898 se reconecta breaker caja moldeada 2x32 Amp del\ntransformador convencional SICAP: 9579 de 5KVA', 'Nos trasladamos desde Rio Blanco a vía Jamboe', 'Zamora, se revisa y retira en la estructura. 273205 rama desplomada por\nfuertes vientos de la LMT y cambia en la estructura. 273612 tirafusible\nquemado de 12 Amp. tipo T.', 'Nos trasladamos desde La Unión a la agencia EERSSA Zamora']</t>
  </si>
  <si>
    <t>['transporte', 'REDES', 'transporte', 'REDES', 'transporte', 'REDES', 'lunch', 'transporte', 'REDES', 'transporte', 'REDES', 'transporte']</t>
  </si>
  <si>
    <t>OT [01] Cuadrilla Zamora 2026-03-08 (007) RS.pdf</t>
  </si>
  <si>
    <t>['Nos trasladamos desde agencia EERSSA Zamora a la calle Diego de Vaca']</t>
  </si>
  <si>
    <t>['transporte']</t>
  </si>
  <si>
    <t>['Zamora, calle Diego de Vaca se revisa medidor Nro. 248193 (Lect:\n20997) y arregla recalentamiento en puente a causa de conexión floja.\nSe ajusta todas las conexiones.', 'Nos trasladamos desde la calle Diego de Vaca a la agencia EERSSA\nZamora']</t>
  </si>
  <si>
    <t>['?', 'transporte']</t>
  </si>
  <si>
    <t>OT [01] Cuadrilla Zamora 2026-03-09 (007) RS.pdf</t>
  </si>
  <si>
    <t>['En la Agencia Zamora, se carga 2 transformadores de 15KVA para la\nbodega de Yacuambi.', 'Desde la Agencia Zamora nos trasladamos hacia Yacuambi.']</t>
  </si>
  <si>
    <t>['informativa', 'transporte']</t>
  </si>
  <si>
    <t>OT [01] Cuadrilla Zamora 2026-03-11 (006) FR.pdf</t>
  </si>
  <si>
    <t>['Desde Kurintza nos trasladamos hacia el Genairo.', 'Genairo, estructura. 35971 a la 27033 se arregla línea de bajo voltaje,\narrancada por vegetación, se habilita transformador 6597 de 5KVA.', 'Calle Nangaritza, estructura. 191599 se revisa transformador 18780 de 50KVA,\nse encuentra breaker de caja moldeada dañado, sin emitir voltaje en\nla Fase A y B, se conecta directo a la red.']</t>
  </si>
  <si>
    <t>['transporte', 'REDES', 'REDES']</t>
  </si>
  <si>
    <t>viernes</t>
  </si>
  <si>
    <t>['Desde la Agencia Zamora nos trasladamos hacia Namirez Alto, La Colina,\nfuertes lluvias en el transcurso.', 'Desde La Colina, nos trasladamos por camino de herradura hacia La\nColina Alto, trasladamos materiales y herramientas, hacia la estructura.\n29237 se encuentra líneas de medio voltaje arrancada por descargas.\nSe empalma líneas, se regula y cierra puentes, además se realiza\ndesbroce de vegetación, estructura. 29197 se cambia fusible de 6A tipo T, se\nnormaliza el servicio eléctrico.']</t>
  </si>
  <si>
    <t>OT [01] Cuadrilla Zamora 2026-03-13 (006) FR.pdf</t>
  </si>
  <si>
    <t>['DAÑO REPORTADO POR Centro de Control, Sakantza, Med. 18-237293(977) se realiza censo\nde carga y se encuentra breaker dañado, se cambia breaker y se\nnormaliza el servicio eléctrico.']</t>
  </si>
  <si>
    <t>['lunch']</t>
  </si>
  <si>
    <t>OT [01] Cuadrilla Zamora 2026-03-16 (006) FR.pdf</t>
  </si>
  <si>
    <t>['Desde la Agencia Zamora se trasladan hacia San Carlos.', 'DAÑO REPORTADO POR Centro de Control, San Carlos, Med. 1-51490(51430) se encuentra\nacometida sulfatado, se arregla y despeja la falla y se normaliza el\nservicio eléctrico.', 'Desde San Carlos se trasladan hacia la Agencia Zamora.']</t>
  </si>
  <si>
    <t>OT [01] Cuadrilla Zamora 2026-03-18 (006) FR.pdf</t>
  </si>
  <si>
    <t>jueves</t>
  </si>
  <si>
    <t>['transporte', '?']</t>
  </si>
  <si>
    <t>OT [01] Cuadrilla Zamora 2026-03-19 (006) FR.pdf</t>
  </si>
  <si>
    <t>['DAÑO REPORTADO POR Centro de Control, La Unión, estructura. 252977 transformador 21060 de\n25KVA, se habilita, acometida arrancada por vehículo, Med.\n233917(13525)', 'DAÑO REPORTADO POR Centro de Control, Namirez Bajo, Med. 241868(6995) se encuentra\nsalida de breaker flojas se despeja la falla y se normaliza el\nservicio eléctrico.']</t>
  </si>
  <si>
    <t>['REDES', '?']</t>
  </si>
  <si>
    <t>['DAÑO REPORTADO POR Centro de Control, La Unión, estructura. 175230 se habilita\ntransformador 21060 de 15KVA, causa: cortocircuito en la red de bajo\nvoltaje, fuertes vientos.', 'DAÑO REPORTADO POR Centro de Control, La Unión, estructura. 252660, se encuentra árbol\nsobre dos acometidas, se despeja árbol y se regula acometidas, se\nnormaliza el servicio eléctrico.', 'DAÑO REPORTADO POR Centro de Control, Benjamín Carrión, estructura. 191835 se habilita\ntransformador trifasico 18798 de 50KVA, causa, ramas en la red de bajo\nvoltaje, se despeja ramas y se normaliza el servicio.', 'DAÑO REPORTADO POR Centro de Control, La Chacra, estructura. 27726 a la 27727 se encuentra\nlíneas arrancadas de medio voltaje, se empalma y regula, estructura. 27721\nse cambia fusible de 25A tipo T, se normaliza.', 'DAÑO REPORTADO POR Centro de Control, Buenaventura, estructura. 254997, se habilita\ntransformador 23388 de 15KVA, causa, ramas en la red de bajo voltaje,\nse aísla y se normaliza el servicio eléctrico.', 'DAÑO REPORTADO POR Centro de Control, Pasaje San Francisco, estructura. 61939 a la 61940 se\nencuentra LBV arrancada, se arregla de forma provisional y se habilita\ntransformador 19291 de 75KVA, se normaliza.', 'DAÑO REPORTADO POR Centro de Control, Av. Héroes de Paquisha, Med. 232907(45596) se\nencuentra acometida baja, se asegura y eleva acometida, cliente debe\nrealizar adecuaciones.']</t>
  </si>
  <si>
    <t>['REDES', 'REDES', 'REDES', 'REDES', 'REDES', 'REDES', 'ACOMETIDAS']</t>
  </si>
  <si>
    <t>OT [01] Cuadrilla Zamora 2026-03-20 (006) FR.pdf</t>
  </si>
  <si>
    <t>['En la Agencia Zamora, se coordina trabajo conjuntamente con los\nCompañeros, además se equipa vehículo de materiales y herramientas.', 'Desde Zamora nos trasladamos hacia Soapaca.', 'Soapaca, se coordina trabajo conjuntamente con el Ing. Andrew Quezada,\nSr. Yoffre Quituisaca, en la estructura. 93368-93369-93370, estructura.\n93371-93372-93373 se toma las medidas de seguridad.\nSe coloca crucetas de 1,20m, con pies de amigos, se eleva puentes con\ncadena de aisladores, además se realiza limpieza de discos de\naisladores.', 'LUNCH EN PANGUINTZA.', 'Desde Panguintza, nos trasladamos hacia la Agencia Zamora.']</t>
  </si>
  <si>
    <t>['informativa', 'transporte', 'REDES', 'lunch', 'transporte']</t>
  </si>
  <si>
    <t>OT [01] Cuadrilla Zamora 2026-03-21 (006) FR.pdf</t>
  </si>
  <si>
    <t>['En Zamora se atiende daño reportado por Centro de Control se revisa medidor #\n1218304.\nSe encuentra con servicio eléctrico normal.\nse mide corrientes y voltajes', 'se mide corrientes y voltajes\nDaño reportado por el Sr Xavier Larreategui\n En Zamora por el redondel el Minero se atiende daño reportado por Centro de Control.\nPersona que reclama José Pinto.\nSe encuentra ramas sobre las lineas de medio y bajo voltaje, se\nretira las ramas', 'retira las ramas\nPor disposición de Centro de Control nos trasladamos a la Sub estructura Cumbartza', 'A pocos metros de la Sub estructura Cumbaratza se encuentra linea arrancada\ndel alimentador Yanzatza la fase C.\nSe arregla la linea arrancada Con la cuadrilla de Paquisha.', 'Lunch en Zamora', 'En Zamora se continua con el arreglo reportado por Centro de Control\nEn el sector del redondel el Minero se cambia fusible de 6 tipo en la\nestructura 218086 . Se normaliza el servicio eléctrico', 'Se atiende daño reportado por Centro de Control.\nReclamante Mauricio Delgado sector el Tablón.\nSe cambia fusible de 25 tipo t en la estructura 251304.\nSe normaliza el servicio eléctrico', 'Se normaliza el servicio eléctrico\n En Zamora barrio Santa Elena se atiende daño reportado por Centro de Control.\npersona reclamante Noraima Galvez.\nMedidor # 1000028540 se encuentra el servicio eléctrico normal.']</t>
  </si>
  <si>
    <t>['?', 'REDES', 'transporte', 'REDES', 'lunch', 'REDES', 'REDES', '?']</t>
  </si>
  <si>
    <t>OT [01] Cuadrilla Zamora 2026-03-21 (008) LL.pdf</t>
  </si>
  <si>
    <t>['Nos trasladamos al Barrio Piuntza (Carmelo) de Guadalupe a atender\ndaño Reportado por Centro de Control.\nReclamante Edwin Cabrera.', 'No se pudo dar con la falla ya que es un lugar rural y la la\noscuridad y la abundante vegetación no nos permitio solucionarlo\nqueda pendiente para el siguiente día.']</t>
  </si>
  <si>
    <t>['En la Agencia Zamora se coordina trabajo conjuntamente con los\nCompañeros, además se equipa vehículo de materiales y herramientas.', 'Desde la Agencia Zamora nos trasladamos hacia Soapaca, Panguintza.', 'Soapaca, se coordina trabajo conjuntamente con el Ing. Andrew Quezada,\nSr. Yoffre Quituisaca, en la estructura. 93368-93369-93370, estructura.\n93371-93372-93373 se toma las medidas de seguridad.\nSe arregla y acomoda puentes de cada estructura, además se realiza\nlimpieza de discos de aisladores.', 'Panguintza, estructura. 221730-221731, se toma las medidas de seguridad y se\ncambia pies de amigos en la estructura.', 'Desde Panguintza, nos trasladamos hacia la Agencia Zamora.']</t>
  </si>
  <si>
    <t>['informativa', 'transporte', 'REDES', 'REDES', 'transporte']</t>
  </si>
  <si>
    <t>OT [01] Cuadrilla Zamora 2026-03-22 (006) FR.pdf</t>
  </si>
  <si>
    <t>['Nos trasladamos a Soapaca a realizar trabajos correctivos en la linea\nde 69kv con el Compañero Francisco Rios.', 'Se realiza Trabajos en Soapaca y Panguintza en la linea de 69kv mas\ninformación el compañero Francisco Rios', 'Nos trasladamos a Piuntza', 'Lunch en Piuntza', 'Se revisa linea al Carmelo, se cambia fusible quemado de 8 tipo t en\nla estructura # 235933,se normaliza el servicio eléctrico al Carmelo.', 'Nos trasladamos a la agencia a Zamora']</t>
  </si>
  <si>
    <t>['transporte', 'REDES', 'transporte', 'lunch', 'REDES', 'transporte']</t>
  </si>
  <si>
    <t>OT [01] Cuadrilla Zamora 2026-03-22 (008) LL.pdf</t>
  </si>
  <si>
    <t>['Daños reportados por centro de control se labora en el vehículo\nnúmero 2-110 kilometraje inicial: 167817, kilometraje final: 167890,\nkilometraje total:73.\nNos trasladamos desde Zamora hacia Piuntza de Guadalupe', 'Sector Piuntza de Guadalupe estructura Nro. 179690, en la red de baja\ntensión se revisa y se arregla conexiones recalentadas en los\nconectores\nDe las bajantes del transformador Nro. #19567 de 37,5Kva, quedando el\nservicio normal. Se ocupa: 4 conectores Ranura Paralela, 1 empalme No.\n1/0 Hora: 19:23', 'Nos trasladamos desde pinza de Guadalupe hacia Kantzama de Guadalupe', 'En Kantzama de Guadalupe estructura número 38462, se arregla\nconexiones sulfatadas en la salida del Breaker del medidor número\n18-251396, quedando el servicio normal. Hora: 20:34', 'Nos trasladamos desde Kantsama de Guadalupe hacia Zamora y se deja\nguardando el vehículo']</t>
  </si>
  <si>
    <t>['transporte', 'REDES', 'transporte', '?', 'transporte']</t>
  </si>
  <si>
    <t>OT [02] Alumbrado Zamora 2026-03-10 (012) LM.pdf</t>
  </si>
  <si>
    <t>['Traslado desde el barrio playa de La Florida de Yantzaza hacia Zamora']</t>
  </si>
  <si>
    <t>OT [02] Alumbrado Zamora 2026-03-11 (012) LM.pdf</t>
  </si>
  <si>
    <t>['DAÑO REPORTADO === Zamora en la Calle Sevilla de Oro y Francisco de\nOrellana en la estructura 27284 se repone una tira fusible 6 amperios\ntipo T\nPara la derivación monofásica de dos transformadores de 15 KVA.\nCausa ave electrocutada. Hora: 12/03/26/00:30']</t>
  </si>
  <si>
    <t>OT [02] Alumbrado Zamora 2026-03-12 (012) LM.pdf</t>
  </si>
  <si>
    <t>['Nos trasladamos desde la agencia de la EERSSA Zamora hacia El sector\nde Campanilla de San Carlos de Las Minas.', 'Sector de Campanillas de San Carlos de Las Minas en el bano entre las\nestructura. Nro. 211768, 252347, se revisa y se arregla línea neutro picada\nen riesgo de arrancarse para lo cual se toma\nTodas las medidas de seguridad, y se procede al respectivo arreglo,\npara lo cual se la desmonta, se empalma y se la regula quedando el\nservicio normal.', 'Nos trasladamos desde el sector de Campanillas de San Carlos de Las\nMinas hacia Zamora']</t>
  </si>
  <si>
    <t>OT [02] Alumbrado Zamora 2026-03-14 (012) LM.pdf</t>
  </si>
  <si>
    <t>['Agencia Zamora se coordinan trabajos para atención de daños\nreportados por Centro de Control, se equipa vehículo con herramientas y materiales.', 'Traslado hacia Sector la Pituca', 'Daño reportado por Centro de Control. Se recorre LMT desde el arranque (Sector\nRedondel del Minero) en Poste: 218087 hasta (Sector La Pituca) en\nPoste: 38972. Revisando aisladores y linea sin presentar novedad.\nPoste: 38807 se encuentra fusible quemado, se presume descarga\neléctrica por fuertes lluvias en horas de la noche, información de\nbrindan los clientes. Se repone (1) Fusible de 6A Tipo T', 'Se verifica la normalización del servicio y se retorna a la Agencia\nZamora']</t>
  </si>
  <si>
    <t>['informativa', 'transporte', 'REDES', 'transporte']</t>
  </si>
  <si>
    <t>OT [02] Alumbrado Zamora 2026-03-15 (013) RY.pdf</t>
  </si>
  <si>
    <t>['transporte', 'informativa']</t>
  </si>
  <si>
    <t>OT [02] Alumbrado Zamora 2026-03-19 (012) LM.pdf</t>
  </si>
  <si>
    <t>['Nos trasladamos desde Gualaquiza, barrio La Pradera de la parroquia\nLos Rosales hacia el barrio Chimbutza de Yantzaza.', 'Yantzaza barrio Chimbutza en el tramo entre las estructura. Nro. 29463,\n217600 se revisa y se encuentra línea arrancada de la red de B//T,\nEn donde los moradores manifiestan que ya habían reportado este daño\ny el compañero Serbio Barrazueta indica que ya se va atender este\ndaño reportado por Centro de Control.', 'Nos trasladamos desde Yantzaza barrio Chimbutza hacia Zamora']</t>
  </si>
  <si>
    <t>OT [02] Alumbrado Zamora 2026-03-20 (012) LM.pdf</t>
  </si>
  <si>
    <t>['En Bodega Yacuambi se coordina trabajos con los compañeros se equipa\nvehículo de herramientas, materiales elaboración de OT', 'DAÑO REPORTADO POR Centro de Control. Mensaje de Centro de Control.\nTraslado desde Yacuambi hasta Jembuentza informan domicilio sin\nservicio eléctrico', 'En Jembuentza se encuentra breaker de caja moldeada carbonizado de los\nMed 1000379108, 207709, se coordina con el cliente quien nos entrega\nun breaker nuevo\nSe cambia breaker se hace mediciones de voltaje y se restablece el\nservicio eléctrico', 'Desde Jembuentza se retorna a Yacuambi']</t>
  </si>
  <si>
    <t>['informativa', 'transporte', '?', 'transporte']</t>
  </si>
  <si>
    <t>OT [03] Cuadrilla Yacuambi 2026-03-07 (017) NL.pdf</t>
  </si>
  <si>
    <t>['En Bodega Yacuambi se coordina trabajos con los compañeros se equipa\nvehículo de herramientas, materiales elaboración de OT', 'DAÑO REPORTADO POR Centro de Control. Mensaje de Centro de Control.\nTraslado desde Yacuambi hasta Napurak informan sector sin servicio\neléctrico', 'En Napurak en la estructura 39204 se encuentra tirafusible quemado\nderivación al mismo sector, se revisa y no se encuentra novedades,\nluego en la estructura 39204 se repone 1 tirafusible\nDe 25A-.T y se restablece el servicio eléctrico en el sector', 'Por información de los moradores retornamos a Cambana sector El\nLimón quienes informan sector sin servicio eléctrico', 'En El Limón en la estructura 30494 se encuentra tirafusible quemado del\ntransformador sicap 24856 de 15KVA, se revisa encontrando LBT pegadas\npor maquinaria de minería, se desata LBT\nLuego en la estructura 30494 se repone 1 tirafusible de 0,7SR del\ntransformador sicap 24856 de 15KVA y se restablece el servicio\neléctrico\nCARGA: 15KVA: FUSIBLE 1x0,7SR\nFECHA DESC: 08/03/2026 (05:00 aprox)\nFECHA CONX: (12:40) CAUSA invierno', 'Se retorna a Yacuambi']</t>
  </si>
  <si>
    <t>['informativa', 'transporte', 'REDES', 'transporte', 'REDES', 'transporte']</t>
  </si>
  <si>
    <t>OT [03] Cuadrilla Yacuambi 2026-03-08 (017) NL.pdf</t>
  </si>
  <si>
    <t>['Desde Bellavista de Chivatos se retorna hasta el vehículo y luego a\nYacuambi', 'En Yacuambi sector Tierra Blanca por información de los moradores\nencontrando en las estructura 39057, 39058 transformador explotado sicap 7088\nde 5KVA, FASE B suelto polímero carbonizado\nPor rotura y choque de cable tensor suelto por excavadora de oruga\napertura de vía Luego en las estructura 39032,39031 se toma las medidas de\nseguridad se coordina con Centro de Control\nSe hace maniobras se abre barras, luego en las estructura 39057, 39058 se\nregula Fase B se cambia 1 polímero nuevo se desmonta trasformador\nquemado se coordina con Centro de Control\nSe hace maniobras se restablece el servicio eléctrico y se retorna a\nBodega']</t>
  </si>
  <si>
    <t>OT [03] Cuadrilla Yacuambi 2026-03-10 (017) NL.pdf</t>
  </si>
  <si>
    <t>OT [03] Cuadrilla Yacuambi 2026-03-11 (017) NL.pdf</t>
  </si>
  <si>
    <t>['transporte', 'MEDIDORES', 'transporte']</t>
  </si>
  <si>
    <t>['DAÑO REPORTADO POR Centro de Control. Mensaje de Centro de Control.\nTraslado desde Barbascal de Chivatos hasta San José Chico informan\ndomicilio sin servicio eléctrico', 'En San José Chico se encuentra Med 1000383227 sin servicio eléctrico\nse revisa acometida arrancada por caída de vegetación se hace\ndesbroce de vegetación en conjunto con el cliente\nSe retira acometida en mal estado se empalma 6 metros de acometida\ntriplex Nro 6 se regula acometida se hace mediciones y se restablece\nel servicio eléctrico', 'Desde San José Chico se retorna a Yacuambi']</t>
  </si>
  <si>
    <t>['transporte', 'ACOMETIDAS', 'transporte']</t>
  </si>
  <si>
    <t>OT [03] Cuadrilla Yacuambi 2026-03-13 (017) NL.pdf</t>
  </si>
  <si>
    <t>['En Piuntza Alto de La Paz en la estructura 276154 se abre puentes de LBT para\ndivisión de circuitos y en las estructura 275766, 275804, 160400, (235945\ncódigo nuevo) se asegura con amarres\nEn los aisladores rollos, en la estructura 275803 se viste transformador\nsicap 17242 de 10KVA se usa 6 metros de conductor 1/0 de aluminio\nforrado bajantes de LBT, 12 conectores RP\n1 Varillas puesta a tierra, 1 tirafusible de 0,4SR, 1 grapa de linea\ncaliente, 24 metros de linea Nro 4 para puesta a tierra en la\nestructura de 11H con código nuevo 1235945\nSe coloca 1 varilla puesta y se toma fotografías', 'Desde Piuntza Alto de La Paz se retorna a Yacuambi']</t>
  </si>
  <si>
    <t>['REDES', 'transporte']</t>
  </si>
  <si>
    <t>OT [03] Cuadrilla Yacuambi 2026-03-16 (017) NL.pdf</t>
  </si>
  <si>
    <t>['DAÑO REPORTADO POR Centro de Control. Mensaje de Centro de Control.\nTraslado desde Cuzuntza hasta Zamora calle Alonso de Mercadillo\ninforman sector sin servicio eléctrico', 'En la calle Alonso de Mercadillo se retira plantas de guaduas de la\nacometida del Med 1000361338 y se empalma 5 metros de acometida\ntriplex Nro 6 luego en la estructura 173794\nSe activa breaker del transformador sicap 18870 de 37,5KVA se\nrestablece el servicio eléctrico\nCARGA: 37,5KVA:\nFECHA DESC: 20/03/2026 (15:00 aprox)\nFECHA CONX: (18:45) CAUSA caída de guaduas en acometida', 'DAÑO REPORTADO POR Centro de Control. Mensaje de Centro de Control.\nTraslado desde la calle Alonso de Mercadillo hasta la calle\nCordillera del Cóndor informan domicilio sin servicio eléctrico', 'En la calle Cordillera del Cóndor se encuentra acometida triplex\nrecalentado del breaker de caja moldeada de los Med 278726,\n1000386376, se retira acometida en mal estado\nSe limpia sulfatos de los tornillos, se asegura acometida en breaker\nde caja moldeada se hace mediciones de voltaje se restablece el\nservicio eléctrico']</t>
  </si>
  <si>
    <t>['transporte', 'REDES', 'transporte', 'ACOMETIDAS']</t>
  </si>
  <si>
    <t>OT [03] Cuadrilla Yacuambi 2026-03-20 (017) NL.pdf</t>
  </si>
  <si>
    <t>['En Agencia Zamora se coordina trabajos con el Ing Anderw Quezada se\nequipa vehículo de herramientas, materiales y elaboración de la OT', 'En Zamora sector Chamico se labora en conjunto con la Cuadrilla de\nYacuambi (Naun Lozano), Cuadrilla de Loja (Yoffre Quituizaca) traslado\nde materiales, Herramientas en trabajos planificados\nDe la LST Cumbaratza Yantzaza', 'LUNCH en Namirez', 'En Zamora sector Chamico se continua labores en conjunto con la\nCuadrilla de Yacuambi (Naun Lozano), Cuadrilla de Loja (Yoffre\nQuituizaca) en transporte de materiales\nHerramientas en trabajos planificados de la LST Cumbaratza Yantzaza']</t>
  </si>
  <si>
    <t>['informativa', 'REDES', 'lunch', 'REDES']</t>
  </si>
  <si>
    <t>OT [03] Cuadrilla Yacuambi 2026-03-21 (017) NL.pdf</t>
  </si>
  <si>
    <t>['En Agencia Zamora se coordina trabajos con el Ing Anderw Quezada se\nequipa vehículo de herramientas, materiales y elaboración de la OT', 'En Zamora sector Chamico se labora en conjunto con la Cuadrilla de\nYacuambi (Naun Lozano), Cuadrilla de Loja (Yoffre Quituizaca) traslado\nde materiales, Herramientas en trabajos planificados\nDe la LST Cumbaratza Yantzaza', 'LUNCH en Zamora', 'En Agencia Zamora se carga acometida anti hurto y retornamos a\nYacuambi']</t>
  </si>
  <si>
    <t>['informativa', 'REDES', 'lunch', 'transporte']</t>
  </si>
  <si>
    <t>OT [03] Cuadrilla Yacuambi 2026-03-22 (017) NL.pdf</t>
  </si>
  <si>
    <t>['En bodega Yacuambi se coordina trabajo con los compañeros, se equipa\nvehículo de herramientas, materiales y elaboración de OT', 'DAÑO REPORTADO POR Centro de Control. Mensaje de Centro de Control.\nTraslado desde Bodega hasta Kantzama Bajo informan sector sin\nservicio eléctrico', 'En Kantzama Bajo en la estructura 70782 se encuentra tirafusible quemado del\ntransformador sicap 18219 de 5KVA, se revisa se repone 1 tirafusible\nde 0,4SR y se normaliza\nEl servicio eléctrico\nCARGA: 5KVA: FUSIBLE: 1x0,4SR\nFECHA DESC: 22/03/2026 (16:00 aprox)\nFECHA CONX: (20:30) CAUSA se desconoce', 'Desde Kantzama Bajo se retorna a Yacuambi']</t>
  </si>
  <si>
    <t>OT [03] Cuadrilla Yacuambi 2026-03-22 (018) WC.pdf</t>
  </si>
  <si>
    <t>['En Yantzaza se reúne personal de turno para dar atención a\nincidencias reportadas por Centro de Control no programadas\nDAÑO REPORTADO POR Centro de Control. (Mensaje de WhatsApp)\ninforman medidor sin energía barrio Klever herrera', 'En barrio Klever Herrera se reajusta conexiones de medidor 23435, por\nbornera recalentada además se informa que es necesario restituir\nbreker trifásico de 50 A']</t>
  </si>
  <si>
    <t>['informativa', '?']</t>
  </si>
  <si>
    <t>OT [04] Cuadrilla Yantzaza 2026-03-01 (021) SB.pdf</t>
  </si>
  <si>
    <t>['DAÑO REPORTADO POR Centro de Control. (Mensaje de WhatsApp)\nTraslado desde Yantzaza hasta La Delicia informan sector sin\nenergía', 'DAÑO REPORTADO POR Centro de Control 18.30 En La Delicia estructura 161991, se rehabilita\ntransformador # 7129 de 10KVA a las 20.00 Causa:  ?sobrecarga 20.45', 'Traslado desde La Delicia a Yantzaza agencia']</t>
  </si>
  <si>
    <t>['DAÑO REPORTADO POR CENTRO DE CONTROL (Mensaje de Whats App).\nNos trasladamos de la agencia Yantzaza al barrio Vista Hermosa', 'Vista Hermosa. estructura 64365, se resetea el transformador 17252 de 10 KVA (19:05).\nSe verifica que todo quede normalizado.', 'Nos trasladamos de Vista hermosa a la agencia Yantzaza.']</t>
  </si>
  <si>
    <t>OT [04] Cuadrilla Yantzaza 2026-03-09 (022) AA.pdf</t>
  </si>
  <si>
    <t>['DAÑO REPORTADO POR CENTRO DE CONTROL (Mensaje de Whats App).\nNos trasladamos de la agencia Yantzaza al barrio Vista Hermosa', 'Vista Hermosa. Se revisa el medidor 1000410526, se encuentra con el\nbreaker en mal estado. El cliente adquiere un nuevo y se lo repone.\nQueda normal.', 'Nos trasladamos de Vista hermosa a la agencia Yantzaza']</t>
  </si>
  <si>
    <t>['DAÑO REPORTADO POR CENTRO DE CONTROL (Mensaje de Whats App).\nNos trasladamos de la agencia Yantzaza al barrio San Juan de\nChicaña.', 'San Juan de Chicaña. estructura 280028, se resetea el transformador 7049 de 10 KVA\n(21:57), bloqueado por sobrecarga. Queda normalizado.', 'Nos trasladamos de San Juan de Chicaña a la agencia Yantzaza']</t>
  </si>
  <si>
    <t>OT [04] Cuadrilla Yantzaza 2026-03-12 (022) AA.pdf</t>
  </si>
  <si>
    <t>OT [04] Cuadrilla Yantzaza 2026-03-13 (022) AA.pdf</t>
  </si>
  <si>
    <t>['DAÑO REPORTADO POR CENTRO DE MANIOBRAS (Llamada).\nNos trasladamos de la agencia Yantzaza a Los Encuentros.']</t>
  </si>
  <si>
    <t>['Por daño en el la LMT 3Ø del reconectador Bellavista, se recorre y\nrevisa. Entre las estructura 31834 y 31835 se encuentra un derrumbo en la\nvía y un árbol sobre la LMT 3Ø. Se retira el árbol.\nEn coordinación con el C de Maniobras se cierra los seccionadores en\nla estructura 31578 y se normaliza el servicio. Altura del árbol 15m\ndistancia de la base 18m', 'Fuera del área de servidumbre, A causa del derrumbe el árbol corre y\ncae sobre el Alimentador. Nos trasladamos de La Merced a la agencia\nYantzaza.']</t>
  </si>
  <si>
    <t>OT [04] Cuadrilla Yantzaza 2026-03-14 (022) AA.pdf</t>
  </si>
  <si>
    <t>['Preparación de materiales, herramientas, EPP, recepción de daños y\nreclamos, elaboración de OT. Colaborar con las cuadrillas aledañas\ncuando sea necesario.', 'DAÑO REPORTADO POR CENTRO DE CONTROL (Mensaje de Whats App).\nNos trasladamos de la agencia Yantzaza al barrio Nunguy', 'Nunguy. estructura 32509, se revisa el medidor 18518855, se empalma, monta y\nregula la acometida, se repone el breaker, el cliente adquiere uno\nnuevo, se normaliza el servicio (11:40).', 'La Centza. estructura 33770, se avisa al cliente debe acondicionar para\nreubicar el medidor y cambiarlo conjuntamente con la acometida\n(12:45).', 'LUNCH EN LOS ENCUENTROS', 'Chicaña, El Salado. estructura 39124, derivación a El Salado y Guayacanes,\nse repone 1 tirafusible de 6 A-K (14:44). Queda normalizado.', 'La Unión de Chicaña. estructura 278342, se revisa el medidor 18-208587,\najuste de borneras de breaker y medidor, se resetea el breaker\n(15:15), se normaliza el servicio.', 'La Florida Alto. estructura 280379, Se repone 1 tirafusible de 0.4 A-SR. El transformador\nse encuentra en mal estado, requiere cambio. Queda sin servicio hasta\nreponer un nuevo transformador.', 'Nos trasladamos de La Florida Alto a la agencia Yantzaza.']</t>
  </si>
  <si>
    <t>['informativa', 'transporte', '?', '?', 'lunch', 'REDES', '?', 'REDES', 'transporte']</t>
  </si>
  <si>
    <t>['Preparación de materiales, transformador, herramientas, EPP,\nrecepción de daños y reclamos, elaboración de Orden de trabajo.', 'DAÑO REPORTADO POR Centro de Control. (Mensaje de WhatsApp).\nNos trasladamos de la agencia Yantzaza al barrio La Florida Alto.', 'La Florida Alto. Con apoyo de la cuadrilla Paquisha, en la estructura 280379,\nse encuentra el transformador de número ilegible de 10 KVA en mal estado se\nlo desmonta y se monta el transformador 26132 de 10 KVA.\nEl transformador 26132 de 10 KVA queda con: V1=137, V2=138, V1-2=235, A1=4,\nA2=5, An=1.', 'Chimbutza. estructura 32287, se encuentra el transformador OID99933 de 10 KVA\nbloqueado, se revisa la RBT, se encuentra el medidor 1000386667 quemado y\nen cortocircuito,\nSe aísla la falla, queda directo, se resetea el transformador\n(11:30). Se comunica al cliente que debe pasar la carga a otro medidor\n33684.', 'Nos trasladamos de Chimbutza a la agencia Yantzaza.']</t>
  </si>
  <si>
    <t>OT [04] Cuadrilla Yantzaza 2026-03-15 (022) AA.pdf</t>
  </si>
  <si>
    <t>['DAÑO REPORTADO POR Centro de Control. (Mensaje de WhatsApp).\nNos trasladamos de la agencia Yantzaza al barrio San Francisco.', 'San Francisco. estructura 273816, se revisa el medidor 20222056199, se ajusta\nlas borneras del breaker y medidor, se resetea el breaker. Queda\nnormalizado (14:55).', 'Nos trasladamos del barrio San Francisco a la agencia Yantzaza.']</t>
  </si>
  <si>
    <t>['DAÑO REPORTADO POR Centro de Control. (Mensaje de WhatsApp)\nTraslado desde Yantzaza hasta La Centza informan sector sin energía', 'En La Centza estructura 33907 se encuentra fusible quemado en derivación a\nLa Centza , se revisa y encuentra vegetación. Se repone tirafusible\nde 25A- K se reestablece el servicio', 'Retorno desde La Centza hasta Yantzaza agencia']</t>
  </si>
  <si>
    <t>OT [04] Cuadrilla Yantzaza 2026-03-16 (021) SB.pdf</t>
  </si>
  <si>
    <t>['DAÑO REPORTADO POR Centro de Control. (Mensaje de WhatsApp)\nTraslado desde Yantzaza hasta Guayacanes informan tres domicilios\nsin energía', 'En Guayacanes en medidor; 1262778, se revisa voltajes y todo normal el\ninconveniente es falta de internet es segunda ocasión que este\nreclamo se realiza y es falsa incidencia', 'DAÑO REPORTADO POR Centro de Control. (Mensaje de WhatsApp)\nTraslado desde Guayacanes hasta Los Encuentros informan falta de\nfase en medidor', 'En Los Encuentros en medidor: 18-245529, se realiza pruebas de voltaje en\nentrada y salida de breker de medidor todo normal se revisa y se\ndetermina daño interno se informa a beneficiario', 'Retorno desde Los Encuentros hasta Yantzaza agencia']</t>
  </si>
  <si>
    <t>['transporte', '?', 'transporte', '?', 'transporte']</t>
  </si>
  <si>
    <t>OT [04] Cuadrilla Yantzaza 2026-03-17 (021) SB.pdf</t>
  </si>
  <si>
    <t>OT [04] Cuadrilla Yantzaza 2026-03-18 (021) SB.pdf</t>
  </si>
  <si>
    <t>['DAÑO REPORTADO POR Centro de Control. (Mensaje de WhatsApp)\nTraslado desde Yantzaza hasta Sta Lucia informan sector sin\nenergía', 'DAÑO REPORTADO POR Centro de Control 16.00 En Sta Lucia estructura 33922, se rehabilita\ntransformador # 6674 de 5 KVA a las 19.00 Causa:  corto en Domicilio', 'DAÑO REPORTADO POR Centro de Control. (Mensaje de WhatsApp)\nTraslado desde Sta Lucia hasta Yantzaza barrio Pita informan sector\nsin energía', 'DAÑO REPORTADO POR Centro de Control 18.00 En barrio Pita estructura 249968, se rehabilita\ntransformador # 14212 de 10 KVA a las 20.10 Causa:  Sobrecarga', 'DAÑO REPORTADO POR Centro de Control. (Mensaje de WhatsApp)\nTraslado desde Yantzaza hasta La Floresta informan sector sin\nenergía', 'En La Floresta en medidor: 260859 se arregla conexiones en breker por\nfalta de fase en acometida por vegetación, se informa a beneficiario\nque realiza limpieza de acometida para su respectivo arreglo', 'DAÑO REPORTADO POR Centro de Control. (Mensaje de WhatsApp)\nTraslado desde La Floresta hasta El Mirador informan sector sin\nenergía', 'DAÑO REPORTADO POR Centro de Control 20.00 En El Mirador Pincho estructura 32516, se\nrehabilita transformador # 12475 de 5 KVA a las sobrecarga Causa: sobrecarga', 'Traslado desde El Mirador hasta Yantzaza agencia']</t>
  </si>
  <si>
    <t>['transporte', 'REDES', 'transporte', 'REDES', 'transporte', '?', 'transporte', 'REDES', 'transporte']</t>
  </si>
  <si>
    <t>OT [04] Cuadrilla Yantzaza 2026-03-19 (021) SB.pdf</t>
  </si>
  <si>
    <t>['DAÑO REPORTADO POR Centro de Control. (Mensaje de WhatsApp)\nTraslado desde Yantzaza hasta Zumbi informan sector sin energía', 'DAÑO REPORTADO POR Centro de Control 20.00 En Zumbi calles 24 de Mayo y Aurelio\nestructura 44047, se rehabilita transformador # 13871 de 15 KVAa las 20.10 Causa:\n?sobrecarga', 'DAÑO REPORTADO POR Centro de Control. (Mensaje de WhatsApp)\nTraslado desde Zumbi hasta Panguintza Alto informan sector sin\nenergía', 'En Panguintza Alto se arregla acometida arrancada de medidor 297908,\ncausa caída de rama de árbol sobre la misma', 'DAÑO REPORTADO POR Centro de Control. (Mensaje de WhatsApp)\nTraslado desde Panguintza hasta Chimbutza i informan conductor en mal\nestado', 'En Chimbutza cuentan con servicio normal en tre estructura: 227441 a 29463 se\nencuentra fase dos solo en alma de acero es necesario colocar varilla\nde empalme queda para el siguiente dia', 'Retorno desde Chimbutza hasta Yantzaza']</t>
  </si>
  <si>
    <t>['transporte', 'REDES', 'transporte', 'ACOMETIDAS', 'transporte', 'REDES', 'transporte']</t>
  </si>
  <si>
    <t>OT [04] Cuadrilla Yantzaza 2026-03-20 (021) SB.pdf</t>
  </si>
  <si>
    <t>['En Agencia Yantzaza se reúne personal para trabajos programados en\nLST Cumbaratza - Yantzaza, elaboración de OT', 'Traslado desde Yantzaza hasta San Pablo S/E Yantzaza', 'En S/E se coordina con Centro de Control, para realizar trabajos según\nWR:3170495612, en San Pablo, con la autorización de Centro de Control, se empieza\ntrabajos en estructura:221761. 221760\nSe realiza colocación de PT en estructura adyacente, una vez colocado\nse empieza a montaje de extensiones y reubicación de crucetas de LST\nCumbaratza. Yantzaza 69 Kv\nTerminados los trabajos se coordina con Centro de Control y Sr. YQ, para retiro de\nPT y normalizar energización de LST 69 KV', 'Retorno desde San Pablo hasta Yantzaza agencia']</t>
  </si>
  <si>
    <t>OT [04] Cuadrilla Yantzaza 2026-03-21 (021) SB.pdf</t>
  </si>
  <si>
    <t>['DAÑO REPORTADO POR Centro de Control. (Mensaje de WhatsApp)\nYantzaza calles 1 de Diciembre e Ivan Riofrio informan sector sin\nenergía\nEncalles 1 de Dic, e Ivan Riofrio se realiza reajuste de conexiones de\nmedidor 1000022485, por desconexiones por falta de pago queda mala\nsujeción']</t>
  </si>
  <si>
    <t>['informativa']</t>
  </si>
  <si>
    <t>['DAÑO REPORTADO POR Centro de Control. (Mensaje de WhatsApp)\nTraslado desde Yantzaza hasta Mirador informan sector sin energía', 'DAÑO REPORTADO POR Centro de Control 19.00 En El Mirador del Pincho estructura 32516 se\nrehabilita transformador # 12475 de 5KVA a las 21.00 Causa:  ?acometida de\ngalpón interno de medidor: 282887, en cortocircuito', 'Retorno desde El Mirador hasta Yantzaza agencia']</t>
  </si>
  <si>
    <t>['Preparación de materiales, herramientas, EPP, recepción de daños y\nreclamos, elaboración de OT. Colaborar con las cuadrillas aledañas\ncuando sea necesario.', 'Por trabajo planificado. nos trasladamos de la agencia Yantzaza a la\nSubestación Yantzaza.', 'Subestación Yantzaza. Por trabajos planificados, en coordinación con\nel C de Maniobras se procede al cierre de puesta tierra 3Q5.', 'Chimbutza. estructura 227441, se empalma, monta y regula a segunda fase de la\nRBT. estructura 29464, se resetea el transformador 14693 de 15 KVA (09:35)', 'Nos trasladamos de Chimbutza a la agencia Yantzaza']</t>
  </si>
  <si>
    <t>OT [04] Cuadrilla Yantzaza 2026-03-21 (022) AA.pdf</t>
  </si>
  <si>
    <t>['DAÑO REPORTADO POR CENTRO DE MANIOBRAS (Llamada).\nNos trasladamos de la agencia Yantzaza a la Subestación Yantzaza.', 'Por presentarse una falla en la LMT alimentador Yantzaza desde\nCumbaratza, al llegar a la Subestación Yantzaza nos indican que se\nencontró la falla y demos apoyo en trabajos a la cuadrilla Energizad', 'Nos trasladamos de San Pablo a la agencia Yantzaza.']</t>
  </si>
  <si>
    <t>['?']</t>
  </si>
  <si>
    <t>['En agencia Yantzaza se reúne personal para cumplimiento de trabajos\nprogramados en LST Cumbaratza- Yantzaza de 69 KV, elaboración de OT', 'Traslado desde Yantzaza hasta San Pablo', 'En San Pablo se cumple WR:  WR: 3170495612, en estructura: 221764-221765. en\ncoordinación con Centro de Control se realiza colocación de PT en LST 69KV,\ncolocado PT se empieza trabajos programados\nSe empieza a montaje de extensiones y reubicación de crucetas de LST\nCumbaratza. Yantzaza 69 Kv, en estructura: 221764-64,\nTerminados trabajos se coordina con Centro de Control y el Sr. YQ para retiro de PT ,\ny posteriormente en S/E Yantzaza retiro de PT de SUBESTACION Yantzaza\ny normalizar la red', 'Traslado desde San Pablo hasta Yantzaza agencia']</t>
  </si>
  <si>
    <t>OT [04] Cuadrilla Yantzaza 2026-03-22 (021) SB.pdf</t>
  </si>
  <si>
    <t>['DAÑO REPORTADO POR Centro de Control. (Mensaje de WhatsApp)\nTraslado desde Yantzaza hasta Chimbutza informan sector sin\nenergía', 'DAÑO REPORTADO POR Centro de Control 16.50 En Chimbutza estructura 32287, se rehabilita\nTrafo # 99933 de 10 KVA a las 18:10 Causa:  ?sobrecarga', 'Traslado desde Chimbutza hasta Yantzaza']</t>
  </si>
  <si>
    <t>['Yatzaza: 91933 - 91932 regular linea de media tensión y cierre de\ncruce trifásico.', 'Yantzaza: estructura # 91930 se mide secuencia de fases y cierre de puentes\nde media tensión, se coordina con centro de control se realiza\nmaniobras y normaliza el sistema de los AP Paquisha - Yantzaza III.\nLaboran: LA, CB, RM, CO, SR de 08:00 a 19:00.\nCCH- LOJA.\nKilometraje canasta 2-21:\ninicial: 122703\nFinal: 122710\nMateriales: 12 conectores ranuras paralela 2 pernos, 1 abrazadera 4\npernos, 30 m de cable 2/0.']</t>
  </si>
  <si>
    <t>['REDES', 'REDES']</t>
  </si>
  <si>
    <t>OT [05] Energizados Yantzaza 2026-03-02 (027) LA.pdf</t>
  </si>
  <si>
    <t>['San Roque: estructura # 311147 se puentea derivación monofasica, se abre y\ncierra puentes y realiza maniobras para des energiza un tramo de linea\nde media tension para entrar con linea a las nuevas estructu']</t>
  </si>
  <si>
    <t>OT [05] Energizados Yantzaza 2026-03-03 (027) LA.pdf</t>
  </si>
  <si>
    <t>['Agencia El Pangui: Se carga combustible ya que hay en la Agencia\nYantzaza y retiro de solicitud de materiales y retorno a la Yantzaza.\nLaboran: LA, CB, RM, CO de 06:30 a 18:00\nSR de 08:00 a 18:00.\nCCH- LOJA.\nKilometraje canasta 2-21:\nInicial: 122710\nfinal:122766']</t>
  </si>
  <si>
    <t>['Zamora: estructura # 159243 se realiza inspección para instalación de\ngrapa de linea energizada, para realizar maniobras.\nRetorno Zamora - Yantzaza.\nLaboran: LA, CB, CO de 08:00 a 18:40.\nRM, SR de 08:00 a 17:40 canasta retorno Yacuambi - Yantzaza.\nKilometraje canasta 2-21:\ninicial: 122766\nfinal:   122841']</t>
  </si>
  <si>
    <t>OT [05] Energizados Yantzaza 2026-03-04 (027) LA.pdf</t>
  </si>
  <si>
    <t>['Gualaquiza: Se coordina con Ing. Jonny Márquez , focalizadores y\ncontratista de obras de la Empresa se realiza inspecciones para\nrealizar trabajos con lineas energizadas.']</t>
  </si>
  <si>
    <t>OT [05] Energizados Yantzaza 2026-03-05 (027) LA.pdf</t>
  </si>
  <si>
    <t>['estructura # 254209 Se instala 2 estribos, se retira conexiones de la\nvariante, se desmonta linea, se coordina con centro de control para\nnormalizar reconectador y retorno a Yantzaza.\nLaboran: LA,CB,RM, CO, SR de 08:00 a 18:00.\nCCH -LOJA.\nKilometraje canasta 2-21:\ninicial: 122893\nfinal:122945\nMateriales: 2 polímeros de 25kv, 2 horquillas guardacabos , 1 perno\nojo de 5/8 xnro10, 2 varillas de retención # 2, 2 conectores ranuras 2\npernos.']</t>
  </si>
  <si>
    <t>OT [05] Energizados Yantzaza 2026-03-06 (027) LA.pdf</t>
  </si>
  <si>
    <t>['Gualaquiza: estructura # 193893 de paso se convierte a doble retenida.\nKilometraje canasta 2-21:\ninicial: 122945\nfinal: 122994\nLaboran: LA, CB, RM, CO, SR de 08:00 a 18:30.\nSE PERNOTA EN GUALAQUIZA.\nCCH- LOJA.\nMateriales: 6 polímeros de 25kv, 2 crucetas de 2,40m,  4 pie amigos\nde 0,75cm, 6 horquillas guardacabos, 6 conectores ranuras paralelas 2\npernos, 6 varillas de retención 2/0, 3 pernos pin 5/8".\n3 aisladores pin 56-1, 10 metros de cable 2/0, 3 pernos de ojo de 5/8\nx 8", 3 pernos de 5/8 x 8 , 4 pernos de 1/2" x 1 1/2".']</t>
  </si>
  <si>
    <t>OT [05] Energizados Yantzaza 2026-03-09 (027) LA.pdf</t>
  </si>
  <si>
    <t>['estructura # 31260 - S/N , se coordina con centro de control se neutraliza\nreguladores de voltaje, se mide secuencia de fases se cierra puentes\nde media tensión para mallar interno.', 'Se abre en la estructura # 31259, para separa mallado interno, se coordina\ncon centro de control y se normaliza Re conectadores y reguladores.\nLaboran: LA, CB, RM, CO, SR de 08:00 a 18:30.\nse pernota en Gualaquiza.\nCCH- Loja.\nKilometraje canasta 2-21:\ninicial: 122994\nfinal: 123016.\nMateriales: 6 fusibles de 40T, 15 metros de cable 1/0, 6 grapas de\nlinea Energizada, 6 conectores ranuras paralela dos pernos.']</t>
  </si>
  <si>
    <t>OT [05] Energizados Yantzaza 2026-03-10 (027) LA.pdf</t>
  </si>
  <si>
    <t>['Gualaquiza: estructura # 193893 Cierre de puentes de media tensión, se\ncoordina con centro de control, para neutralizar reguladores de\nvoltaje, cerrar seccionadores en la estructura # 31260 y retirar puentes\nprovi\nprovi\nLaboran: LA, CB, RM, CO, SR de 08:00 a 19:30,\nSe pernota en Gualaquiza.\nCCH- LOJA.\nKilometraje canasta 2-21:\ninicial: 123016\nfinal: 123032']</t>
  </si>
  <si>
    <t>OT [05] Energizados Yantzaza 2026-03-11 (027) LA.pdf</t>
  </si>
  <si>
    <t>['Edificio Central se coordina trabajos con el Ing, Jorge Zaruma y\nNelson Sanmartin hasta las 18: 00 y viaje de retorno a Yantzaza.\nLaboran: LA, CB, RM, CO, SR, de 08:00 a 21:00.\nKilometraje canasta 2-146 :\ninicial : 777\nfinal: 883']</t>
  </si>
  <si>
    <t>OT [05] Energizados Yantzaza 2026-03-16 (027) LA.pdf</t>
  </si>
  <si>
    <t>['Yantzaza - Vía Tutupali.']</t>
  </si>
  <si>
    <t>OT [05] Energizados Yantzaza 2026-03-17 (027) LA.pdf</t>
  </si>
  <si>
    <t>['estructura # 128815, se pasa linea existente a nueva estructura, se instala\nestribo, se retira estructura existente, se instala seccionador y cruceta\nde 1,20m para derivación, cierra puentes.']</t>
  </si>
  <si>
    <t>['Redondel Gualaquiza: Se realiza el izado de una estructura entre #\n181599- 179231 de 12m de 2000kg.']</t>
  </si>
  <si>
    <t>OT [05] Energizados Yantzaza 2026-03-18 (027) LA.pdf</t>
  </si>
  <si>
    <t>['Bomboiza: estructura # 250241 se instala seccionador fusible y estribo para\nderivacion monofásica.\nLaboran: LA, CB, RM, CO, SR de 08:00 a 18:00.\nse pernota en Gualaquiza.\nKilometraje canasta 2-146:\ninicial: 970\nfinal: 1026']</t>
  </si>
  <si>
    <t>OT [05] Energizados Yantzaza 2026-03-19 (027) LA.pdf</t>
  </si>
  <si>
    <t>['Se elabora OT. Se coordina trabajos con el Jefe inmediato y centro de\ncontrol.', 'Bomboiza: Se realiza maniobras en reguladores de voltaje, mallado\ninterno del Alimentador las Peñas y Reconectodor Nueva Tarquí.']</t>
  </si>
  <si>
    <t>OT [05] Energizados Yantzaza 2026-03-20 (027) LA.pdf</t>
  </si>
  <si>
    <t>['Gualaquiza - Subestación Yantzaza - Yantzaza.\nLaboran: LA, CB, RM, CO, SR de 07:00 a 19:45.\nRetorno Yantzaza.\nKilometraje canasta 2- 146:\nInicial: 1026\nfinal: 1120']</t>
  </si>
  <si>
    <t>['San Pablo Yantzaza: Se trabaja en mantenimiento de la linea de\nsubtransmisión desde la Subestación Cumbaraza -  Yantzaza trabajos\nconjuntamente con los grupos de Yantzaza - Zamora y Loja.\nArmado de extensiones en estructura, plomada de postes y alzada de\ncrucetas y linea para ganar mayor altura.\nLaboran: LA, RM, SR de 07:00 a 16:00.\nKilometraje canasta 2-146.\nInicial: 1120\nfinal: 11:30\nMateriales: 4 pernos de 5/8 x #10, 1 varilla 2/0, 20m de cable 2/0.']</t>
  </si>
  <si>
    <t>OT [05] Energizados Yantzaza 2026-03-21 (027) LA.pdf</t>
  </si>
  <si>
    <t>['Por comunicado de Centro de Control se sale atender una incidencia sin SE una \nvivienda en el sector de La Libertad informa el Sr. Édison Zabala\ntraslado a La Libertad', 'Se llega la lugar y se revisa el Medidor #260878 y se encuentra el\ntubo doblado, se corta 3 metros de acometida y se empalma 3mts de\nnuevo tramo de acometida tríplex 3x6 quedando normal el SE', 'Traslado a la Agencia Yantzaza']</t>
  </si>
  <si>
    <t>OT [06] Cuadrilla Paquisha 2026-03-02 (034) JA.pdf</t>
  </si>
  <si>
    <t>['Por comunicado de Centro de Control se sale atender una incidencia sin SE un sector\nen Conguime, informa la Sra. Salome Piruchi traslado a Conguime', 'Se llega al lugar y en la estructura #215757 se encuentra el Trafo #6470 de\n10KVA bloqueado se revisa la red de BV no se encuentra ninguna novedad\nse reconecta el breaker del Trafo se vuelve abrir, se mide\nCorriente y se identifica para donde esta la falla, se revisa y se\nencuentra cortocircuito interno en el Medidor #260700 se aísla la\nfalla y se reconecta el breaker del Trafo quedando normal el SE', 'Por comunicado de Centro de Control se sale atender una incidencia sin SE una\nvivienda en el sector de San Agustín informa la Sra. María Jiménez', 'Se llega al lugar y en la estructura #29678 se encuentra la acometida del Med\n#18-251664 arrancada y en mal estado por maquinaria desconocida se\ncambia 80mts de acometida triplex 3x6 quedando normal el SE', 'Traslado a la Agencia Yantzaza']</t>
  </si>
  <si>
    <t>OT [06] Cuadrilla Paquisha 2026-03-07 (034) JA.pdf</t>
  </si>
  <si>
    <t>['Por comunicado de Centro de Control se sale atender una incidencia sin SE de El\nPlacer informa el Sr. Valerio Quezada, traslado a El Placer', 'Se llega al lugar y en la estructura #32450 se encuentra el Trafo #8113 de\n5KVA bloqueado se revisa la red de BV no se encuentra ninguna novedad\nse reconecta el breaker del Trafo se confirma que ya se\nEncuentran con el servicio eléctrico normal', 'Traslado a la Agencia Yantzaza']</t>
  </si>
  <si>
    <t>OT [06] Cuadrilla Paquisha 2026-03-14 (034) JA.pdf</t>
  </si>
  <si>
    <t>['Traslado a La Florida', 'En La Florida se colabora al compañero Agustín Alejandro en el\nmontaje y desmontaje de un Trafo de 10KVA mas información de estos\ntrabajos dispone el compañero Agustín Alejandro', 'Por comunicado de Centro de Control se sale atender una incidencia sin SE una\nvivienda en Zumbi vía a Paquisha, informa el Sr. José Dávila,\nTraslado a Zumbi', 'Se llega al lugar y en la estructura #40606 se revisa el Medidor #18-239149 y\nse encuentra las conexiones en el breaker flojas se ajustan todas las\nconexiones en el Medidor quedando normal el SE', 'Por comunicado de Centro de Control se sale atender una incidencia sin SE una\nvivienda en La Herradura informa el Sr. Jimmy Álvarez traslado a la\nHerradura', 'Se llega al lugar y en la estructura #63166 se revisa el Medidor #18-226451 y\nse encuentra las conexiones en el breaker y Medidor flojas se ajustan\ntodas las conexiones en el Medidor quedando normal el SE', 'Por comunicado de Centro de Control se sale atender una incidencia sin SE el sector\nde El Placer informa el Sr. Juan Peláez traslado a El Placer', 'Se llega al lugar y en la estructura #32450 se encuentra el Trafo #8113 de\n5KVA bloqueado se revisa la red de BV no se encuentra ninguna novedad\nse reconecta el breaker del Trafo se vuelve abrir se mide\nCorrientes y se encuentra la acometida del Medidor #1000411476 en\ncortocircuito se cambia 10mts de acometida dúplex 2x6 y se reconecta\nel breaker del Trafo quedando normal el SE', 'Traslado a la Agencia Yantzaza']</t>
  </si>
  <si>
    <t>['transporte', 'REDES', 'transporte', '?', 'transporte', '?', 'transporte', '?', 'transporte']</t>
  </si>
  <si>
    <t>OT [06] Cuadrilla Paquisha 2026-03-15 (034) JA.pdf</t>
  </si>
  <si>
    <t>['DAÑO REPORTADO POR Centro de Control. (Mensaje de WhatsApp)\nTraslado desde Yantzaza hasta La Independencia informan sector sin\nenergía', 'DAÑO REPORTADO POR Centro de Control En La independencia estructura 29595, acometida en\ncortocircuito, se revisa acometida, se empalma 2m de Tx 3*6 se\nrehabilita transformador #17676 de 5KVA en la estructura# 29595 a las (19:45)', 'DAÑO REPORTADO POR Centro de Control. (Mensaje de WhatsApp)\nTraslado desde La Independencia hasta Paquisha domicilio sin servicio\nMed# 1000417813', 'DAÑO REPORTADO POR Centro de Control En Paquisha estructura 29679, acometida acometida\narrancada por paso de maquinaria desconocida, se cambia 75 m de Tx\n3*6del medidornro1000417813 y se conecta a la red', 'Traslado desde Paquisha hasta la agencia Yantzaza']</t>
  </si>
  <si>
    <t>OT [06] Cuadrilla Paquisha 2026-03-17 (036) DG.pdf</t>
  </si>
  <si>
    <t>['DAÑO REPORTADO POR Centro de Control. (Mensaje de WhatsApp)\nTraslado desde Yantzaza hasta Zumbi informan sector sin energía', 'DAÑO REPORTADO POR Centro de Control En Zumbi estructura 235266, se rehabilita transformador #\n10844 de [15 KVA] a las 22:10 Causa: sobre carga en la red. Se espera\n10 min en el lugar para comprobar que no se bloquee el transformador', 'Traslado desde Zumbi a la agencia Yantzaza']</t>
  </si>
  <si>
    <t>OT [06] Cuadrilla Paquisha 2026-03-18 (036) DG.pdf</t>
  </si>
  <si>
    <t>['DAÑO REPORTADO POR Centro de Control. (Mensaje de WhatsApp)\nTraslado desde Paquisha hasta Natenza informan sector sin energía', 'DAÑO REPORTADO POR Centro de Control En la Wintza estructura 37845, se empalma, se retensa\ny se cambia 50m de linea #2 en la estructura 219893, se rehabilita\ntransformador #15033 de [10 KVA] a las (18:00) Causa: paso de maquinari', 'Traslado de la Wintza a Paquisha']</t>
  </si>
  <si>
    <t>['informativa', 'REDES', 'transporte']</t>
  </si>
  <si>
    <t>OT [06] Cuadrilla Paquisha 2026-03-19 (036) DG.pdf</t>
  </si>
  <si>
    <t>OT [06] Cuadrilla Paquisha 2026-03-21 (034) JA.pdf</t>
  </si>
  <si>
    <t>['Se realiza el traslado desde Paquisha hasta la estructura 191911 en\nZumbi para ejecución del plan de maniobras en la línea de sub\ntransmisión', 'En la estructura # 191911 se espera confirmación por parte de Centro de Control y ejecuta\nlas maniobras de cierre de seccionadores', 'Traslado desde la estructura 191911 hasta la estructura 28938.\nEn la estructura # 28938 se espera confirmación por parte de Centro de Control y ejecuta\nlas maniobras de cierre de seccionadores', 'DAÑO REPORTADO POR Centro de Control. (Mensaje de WhatsApp)\nTraslado desde Zumbi hasta Paquisha informan sector sin energía', 'DAÑO REPORTADO POR Centro de Control En Paquisha estructura 29846, se cambia conectores y\nse reajusta todas las conexiones del transformadornro7002,se rehabilita transformador #\n7002 de 25KVA a las 08:55 Causa: conectores en mal estado']</t>
  </si>
  <si>
    <t>['transporte', 'REDES', 'REDES', 'transporte', 'REDES']</t>
  </si>
  <si>
    <t>OT [06] Cuadrilla Paquisha 2026-03-22 (036) DG.pdf</t>
  </si>
  <si>
    <t>['Se realiza el traslado desde Paquisha hasta la estructura 28938 en\nZumbi para ejecución del plan de maniobras en la línea de sub\ntransmisión', 'En la estructura # 28938 se espera confirmación por parte de Centro de Control y ejecuta\nlas maniobras de apertura de seccionadores', 'Traslado desde la estructura 28938 hasta la estructura 191911.\nEn la estructura # 191911 se espera confirmación por parte de Centro de Control y ejecuta\nlas maniobras de apertura de seccionadores', 'Traslado desde Zumbi hasta Paquisha']</t>
  </si>
  <si>
    <t>['transporte', 'REDES', 'REDES', 'transporte']</t>
  </si>
  <si>
    <t>['Guayzimi, LA Wintza, Santa Elena Inspección nocturna de las\nluminarias en mal estado ubicadas en las redes de distribución A/P La\nSaquea\nPara posterior arreglo']</t>
  </si>
  <si>
    <t>OT [07] Cuadrilla Guayzimi 2026-03-02 (038) CQ.pdf</t>
  </si>
  <si>
    <t>['El Miasi - Guayzimi', 'Guayzimi, estructura 33005 arregla acometida arrancada de medidor 1000378182\npor paso de vehículo plataforma versión de abonado']</t>
  </si>
  <si>
    <t>['transporte', 'ACOMETIDAS']</t>
  </si>
  <si>
    <t>OT [07] Cuadrilla Guayzimi 2026-03-03 (038) CQ.pdf</t>
  </si>
  <si>
    <t>OT [07] Cuadrilla Guayzimi 2026-03-04 (038) CQ.pdf</t>
  </si>
  <si>
    <t>['Continúa con trabajos de reubicación de estructura a lugar mas seguro\nfinalizados los trabajos retornamos al punto de arranque estructura 61956\nrepone tirafusible de 6A-T\nSe ocupa los mismos materiales. Adicional 4 varillas retensión 1107\nCARGA: 40 KVA FUSIBLE: 1x 6A-T\nFECHA DESC: 04/03/2026 (18:10 aprox.)\nFECHA CONX: (18:10) CAUSA: deslizamiento tierra', 'Mariposa - Guayzimi']</t>
  </si>
  <si>
    <t>['DAÑO Centro de Control (Mensaje WhatsApps)\nVía San Jose, estructura 32981 tirafusible quemado Causa: fuertes lluvias\ncon vientos\nRepone tirafusible de 12A - T sin novedad\nFecha descox 05/03/26/1:00 fusible: 1x 12A-T\nGARGA: 18kva\nConexión: 20:00']</t>
  </si>
  <si>
    <t>OT [07] Cuadrilla Guayzimi 2026-03-05 (038) CQ.pdf</t>
  </si>
  <si>
    <t>['DAÑO Centro de Control (mensaje de WhatsApp)\nGuayzimi, estructura 33180 tirafusible quemado causa: aislador suelto el\namarre MV estructura 268526. Corrige\nLa falla finaliza los trabajos. Se energiza repooniendo tirafusble\n12A-K\nFecha descox 08/03/26/12:00 fusible: 1x 12A-K\nGARGA: 600kva; Causa: amarre de aislador suelto\nConexión: 14:40\nDAÑO Centro de Control (mensaje de WhatsApp)\nGuayzimi - Las Brisas, estructura 32981 tirafusible quemado causa: LMT1\narrancada por caída de un árbol estructura 34005 Corrige\nLa falla arreglando LMT1; finaliza los trabajos. Se energiza\nreponiendo tirafusble 12A-K estructura 32981. Ocupa: 1 empalme Nro 2 ACSR\nFecha descox 08/03/26/10:00 fusible: 1x 12A-K\nGARGA: 18kva; Causa: amarre de aislador suelto\nConexión: 16:40']</t>
  </si>
  <si>
    <t>OT [07] Cuadrilla Guayzimi 2026-03-08 (038) CQ.pdf</t>
  </si>
  <si>
    <t>['Reporte Verbal de los clientes\nGuayzimi, estructura 32995 revisa transformador Sicap 22768 de 25KVA\nabierto. Causa; LBT arrancada por paso\nVehículo con carga elevada tramo estructura 329996 - 32997. Se corrige la\npodando árbol frutal proyectado a LBT; arregla LBT cierra breaker\ntransformador sin novedad\nFECHA DESC: 16/03/2026 (16:30 aprox.)\nFECHA CONX: (19:00) CAUSA:  vehículo\nOcupa: 2 empalmes Nro. 2 ACSR; 20m de cable Nro.4 ACSR Usado']</t>
  </si>
  <si>
    <t>OT [07] Cuadrilla Guayzimi 2026-03-16 (038) CQ.pdf</t>
  </si>
  <si>
    <t>['Selva Alegre - Guayzimi', 'DAÑO REPORTADO POR Centro de Control. (Mensaje de WhatsApp)\nEn Guayzimi estructura 33135, revisa medidor 268509 causa: Tablero de\nmedidor destruido en parte por arco eléctrico y medidor quemado\nResolución: habilita servicio directo para posterior arreglo de\ntablero y cambio de medidor']</t>
  </si>
  <si>
    <t>OT [07] Cuadrilla Guayzimi 2026-03-17 (038) CQ.pdf</t>
  </si>
  <si>
    <t>['Selva Alegre - Guayzimi', 'Daño Centro de Control\nGuayzimi, estructura 32925 arregla acometida arrancada por paso de vehículo\nde medidor 1000366373']</t>
  </si>
  <si>
    <t>OT [07] Cuadrilla Guayzimi 2026-03-20 (038) CQ.pdf</t>
  </si>
  <si>
    <t>['Guayzimi - Pucalpa de la Wintza', 'DAÑO REPORTADO POR Centro de Control (07:50) En Guayzimi estructura 12:46, se rehabilita\ntransformador # 8107 de 5KVA a las (12:46) Causa: LBT F1 y F2 enredada se\ndesenreda con ls pértiga', 'Pucalpa - Santa Elena', 'DAÑO REPORTADO POR Centro de Control. (Mensaje de WhatsApp)\nSanta Elena, estructura 34236 revisa medidor 1000370303 por falla conexiones\ncon sulfato de salida del breaker del medidor', 'Santa Elena - Guayzimi']</t>
  </si>
  <si>
    <t>['transporte', 'REDES', 'transporte', 'MEDIDORES', 'transporte']</t>
  </si>
  <si>
    <t>OT [07] Cuadrilla Guayzimi 2026-03-21 (038) CQ.pdf</t>
  </si>
  <si>
    <t>['Guayzimi - Conguime', 'DAÑO REPORTADO POR Centro de Control (15:02) En Guayzimi estructura 25430, se rehabilita\ntransformador # OID18252 de 5KVA a las (16:10) Causa: conexión informal\nversión abonados']</t>
  </si>
  <si>
    <t>['En la agencia se coordina con los compañeros, se realiza la OT.', 'Traslado a La Recta El Pangui.', 'La Recta El Pangui, en el estructura 272177 se encuentra arrancada la\nacometida preensamblada 1/ 0 daño ocasionado por vehículo a golpeado\nel tensor el estructura se encuentra en buen estado.\nSe arregla montaje y regulada de la acometida y se arregla las\nconexiones de las lamparas de 150wts, 90wts, estructura 272177, 272023,\n272038,se energiza en el transformador 25994 de 10kva estructura 272038.', 'Traslado a El Pangui.']</t>
  </si>
  <si>
    <t>OT [08] Cuadrilla El Pangui 2026-03-01 (043) LV.pdf</t>
  </si>
  <si>
    <t>['Traslado a Chuchumbletza.', 'Chuchumbletza estructura 32025 nro de transformador 12595 de 10kva, se\nrealiza el arreglo de la acometida arrancada del medidor nro 234177,\ndaño por maquinaria retroexcavadora.', 'Traslado a El Pangui.']</t>
  </si>
  <si>
    <t>['En Soldado Rivera se revisa hasta la estructura. 127607 y el sector se\nencuentra con servicio normal. Queda pendiente revisar hacia la estructura.\n127611 por falta de tiempo por ser lejano.', 'Traslado desde Soldado Rivera hasta la agencia El Pangui.']</t>
  </si>
  <si>
    <t>OT [08] Cuadrilla El Pangui 2026-03-02 (042) HM.pdf</t>
  </si>
  <si>
    <t>['En Chantzas estructura. 178710, Medidor:240186, se arregla acometida\narrancada por caída de árbol a las 16:30. Causa: vegetación.', 'Traslado desde Chantzas hasta la agencia El Pangui.']</t>
  </si>
  <si>
    <t>OT [08] Cuadrilla El Pangui 2026-03-05 (042) HM.pdf</t>
  </si>
  <si>
    <t>['DAÑO REPORTADO POR Centro de Control. (Mensaje de WhatsApp)\nTraslado desde la agencia El Pangui hasta Soldado Rivera informan\nsector sin energía.', 'En Soldado Rivera traslado a pie desde el vehículo hasta la estructura.\n127611. Se rehabilita el transformador # 12526 de 3 KVA y se vuelve a\ndesconectar.\nSe desbroza vegetación y se revisa la red de bajo voltaje, se\nencuentra la estructura. 127612 en el suelo por deslizamiento de terreno.\nSe abre puentes para dejar sin energía el vano entre las estructura. 127611\ny 127612 por no servir a nungún cliente y se rehabilita el\ntransformador # 12526 de 3 KVA a las (13:15). Causa: estructura colapsado\nTraslado a pie desde la estructura. 127611 hasta el vehículo.', 'DAÑO REPORTADO POR Centro de Control. (Mensaje de WhatsApp)\nTraslado desde la agencia Soldado Rivera hasta Chantzas informan\nsector sin energía.', 'En Chantzas estructura. 178735, se encuentra fusible quemado en derivación a\nLas Orquídeas, se revisa y no se encuentra novedad. Se repone\ntirafusible de 6A- K a las (15:20).\nCausa: descargas atmosféricas.\nCARGA: 34 KVA FUSIBLE: 1x 6A-K\nFECHA DESC: 06/03/2026 (17:15 aprox.)\nFECHA CONX: (15:20) CAUSA: descargas atmosféricas.', 'DAÑO REPORTADO POR Centro de Control. (Mensaje de WhatsApp)\nTraslado desde la agencia Chantzas hasta El Pangui informan sector\nsin energía.', 'En El Pangui, estructura. 28046 resetea el breaker del medidor # 242575 y se\nreajusta conexiones en el tablero de medidores. Causa: cortocircuito\ninterno.', 'Traslado hasta la agencia El Pangui.']</t>
  </si>
  <si>
    <t>['transporte', 'REDES', 'transporte', 'REDES', 'transporte', 'MEDIDORES', 'transporte']</t>
  </si>
  <si>
    <t>OT [08] Cuadrilla El Pangui 2026-03-07 (042) HM.pdf</t>
  </si>
  <si>
    <t>['DAÑO REPORTADO POR Centro de Control. (Mensaje de WhatsApp)\nTraslado desde la agencia El Pangui hasta La Argelia informan sector\nsin energía.', 'En La Argelia, estructura. 127342 se encuentra fusible quemado en derivación\na Monterrey y demás sectores. Se revisa y no se encuentra novedad. Se\nrepone tirafusible de 15A-T a las (15:15).', 'Se continúa revisando y en San Gabriel de Uwents en la estructura. 127415 se\nrepone 1 tirafusible de 10A-T a las (15:55). No se encuentra más\nnovedades. Causa: descargas atmosféricas.\nCARGA: 334 KVA FUSIBLE: 1x 10A-T\nFECHA DESC: 08/03/2026 (13:30 aprox.)\nFECHA CONX: (15:55) CAUSA: descargas atmosféricas.', 'Se revisa y no se encuentra más novedades. Traslado desde la entrada\na Chantzas hasta la agencia El Pangui.']</t>
  </si>
  <si>
    <t>OT [08] Cuadrilla El Pangui 2026-03-08 (042) HM.pdf</t>
  </si>
  <si>
    <t>['DAÑO REPORTADO POR Centro de Control. (Mensaje de WhatsApp)\nTraslado desde Soldado Rivera hasta El Pangui informan domicilio sin\nenergía.', 'En El Pangui, estructura. 27990, medidor # 232158 se resetea el breaker del\nmedidor a las 19:10. Causa: cortocircuito interno.', 'Traslado hasta la agencia El Pangui.']</t>
  </si>
  <si>
    <t>OT [08] Cuadrilla El Pangui 2026-03-10 (042) HM.pdf</t>
  </si>
  <si>
    <t>['Traslado a la av Jorge Mosquera, Tiwintza.', 'El Pangui, estructura 27990 transformador de 37.5kva nro 25442, se\nencuentra los conectores de la bajante del bushing a la linea en mal\nestado, se cambia se utiliza 2 conectores ranura doble perno.', 'Traslado a la agencia.']</t>
  </si>
  <si>
    <t>OT [08] Cuadrilla El Pangui 2026-03-14 (043) LV.pdf</t>
  </si>
  <si>
    <t>['En la agencia se coordina los trabajos, y se realiza la OT.', 'Traslado al barrio Las Orquideas.', 'Traslado caminando desde donde llega el vehículo hasta el estructura\n127430, se lleva herramientas y material.', 'Entre los postes, 127430, 193878 se encuentra la red monofásica de\nbajo voltaje arrancada, y la acometida del medidor 1277153 se\nencuentra en mal estado aproximado 100mtrs.\nSe realiza el arreglo de la red de bajo voltaje se utiliza 2 varillas\nde empalme nro 4acsr, el daño es ocasionado por caída de árbol\nseco, la acometida queda pendiente de arreglar para el día Lune\nEn el estructura nro 193878 se cierra el breker del transformador nro 13205\nde 5kva, Hora 15:00', 'Traslado caminando hasta donde queda el vehículo.', 'Traslado a El Pangui.']</t>
  </si>
  <si>
    <t>['informativa', 'transporte', 'transporte', 'REDES', 'transporte', 'transporte']</t>
  </si>
  <si>
    <t>['Se realiza la OT.', 'Traslado a Gualaquiza.', 'En Gualaquiza se colabora a la cuadrilla de turno, se realiza el\narreglo de la red de bajo voltaje daño ocasionado por vehículo.', 'Lunch en Gualaquiza.', 'Traslado desde Gualaquiza al sector El Mirador.', 'El Mirador entre los postes 32521, 32523 se encuentra arrancada la red\nde bajo voltaje daño ocasionado por maquinaria, se empalmado y\nmontaje de la linea, se utiliza 3 varillas de empalme nro 4\nSe energiza en el transformador nro 16799 de 10kva, Hora 17:40', 'Traslado a El Pangui.']</t>
  </si>
  <si>
    <t>['informativa', 'transporte', 'REDES', 'lunch', 'transporte', 'REDES', 'transporte']</t>
  </si>
  <si>
    <t>OT [08] Cuadrilla El Pangui 2026-03-15 (043) LV.pdf</t>
  </si>
  <si>
    <t>['Daño reportado por Centro de Control (mensaje de texto)\nTraslado desde la agencia hasta la estructura. 227941 en El Pangui, informan\nsector sin energía.', 'Daño reportado por Centro de Control (19:15). En El Pangui, estructura. 227941 se\nrehabilita el transformador # 23783 de 37.5 KVA a las 19:50. Causa:\ndesconocida.', 'Traslado hasta la agencia el Pangui.']</t>
  </si>
  <si>
    <t>OT [08] Cuadrilla El Pangui 2026-03-16 (042) HM.pdf</t>
  </si>
  <si>
    <t>['En sector Quebrada del Miassi, estructura. 27106 se desbroza vegetación y se\narregla LMT arrancada por caída de árbol. Luego en Santa Rosa, estructura.\n281526 se repone tirafusible 6-K a las 17:40.\nCARGA: 45 KVA FUSIBLE: 1x 6A-K\nFECHA DESC: 17/03/2026 (14:36 aprox.)\nFECHA CONX: (17:40) CAUSA: vegetación.', 'Traslado desde Santa Rosa hasta El Pangui.']</t>
  </si>
  <si>
    <t>OT [08] Cuadrilla El Pangui 2026-03-17 (042) HM.pdf</t>
  </si>
  <si>
    <t>['En Tsarunts se revisa la LMT y en la estructura. 195097 se encuentra 1\naislador pin 56-1 fogoneado. Se planifica para cambiarlo el día de\nmañana.', 'Traslado desde Tsarunts hasta la agencia El Pangui.']</t>
  </si>
  <si>
    <t>OT [08] Cuadrilla El Pangui 2026-03-19 (042) HM.pdf</t>
  </si>
  <si>
    <t>['Traslado desde El Pangui hasta Valle Hermoso por la vía a Chicaña\ndebido a que no hay paso por El Guismi..']</t>
  </si>
  <si>
    <t>OT [08] Cuadrilla El Pangui 2026-03-20 (042) HM.pdf</t>
  </si>
  <si>
    <t>['Daño reportado por Centro de Control (mensaje de WhatsApp)\nTraslado desde La agencia El Pangui hasta la estructura. 28013 en El Pangui.', 'Daño reportado por Centro de Control (19:40). En El Pangui, estructura. 28013 se rehabilita\nel transformador #22234 de 37.5 KVA a las 20:05. Causa: sobrecarga.\nSe realiza medición de cargas en las bajantes:\nN: 12A; F1: 149; F2: 160. Hora de medición: 20:15.\nN: 15; F1: 163; F2: 141. Hora de medición: 20:25.', 'Traslado hasta la agencia El Pangui.']</t>
  </si>
  <si>
    <t>['Preparacion de herramientas y materia en la camioneta.\nelaboración de OT transporte de Gualaquiza Agencia - San francisco.', 'San francisco, Se revisa red de M/T desde la estructura# 254209 hasta estructura#\n220990, se cambia Tirafusible en la estructuranro128372 de 25 A por uno de 15 A\ntipo K,\nSe cambia Tirafusible de 12 A tipo T por uno de 20 A en la estructuranro254209', 'San Francisco - Gualaquiza Agencia.']</t>
  </si>
  <si>
    <t>OT [09] Cuadrilla Gualaquiza 2026-03-01 (047) CLP.pdf</t>
  </si>
  <si>
    <t>['Gualaquiza Agencia - Guayusal.', 'Guayusal, se revisa red de M/T desde la estructura# 128372 hasta estructura# 128632\nse retira vegetación entre la estructura# 128629 - 12828, se cambia\ntirafusible de 15 A x igual valor en la estructura# 128372. se restablece.', 'Guayusal - Gualaquiza Agencia.']</t>
  </si>
  <si>
    <t>['Barrio la unión., se recorre red de B/T, se cambia fusible NH\nquemados, en la estructuranro40554, en el transformador# 40611 de 45 kva. se\nrestablece servicio normal.']</t>
  </si>
  <si>
    <t>['Calle cuenca, via al porton. se revisa red de B/T y se resetea\ntransformadornro15790 de 25 Kva en la estructuranro268490.']</t>
  </si>
  <si>
    <t>['San Francisco se revisa red de M/T desde la estructura 128372 a la 1128632,\nse encuentra conexión del seccionador floja en estructura 128476.\nestructura 128476 se empalma linea que esta picada por conexión floja de\nla grapa, se ajusta puente del seccionador,  Se repone fusible de 12\namp tipo T estructura 128372\nHORA DAÑADO 12:29\nHORA ARREGLO 17:35\nCAUSA Conexiones flojas', 'Traslado a la agencia']</t>
  </si>
  <si>
    <t>OT [09] Cuadrilla Gualaquiza 2026-03-02 (045) FG.pdf</t>
  </si>
  <si>
    <t>['Zapotillo desbroza vegetación, se realiza montaje de transformador de\n10 Kva , se tensa linea de M/T, se conecta acometida, se coloca puesta\na tierra.', 'Traslado a Cuchipamba se cierra seccionador en estructura 128090, se\nverifica voltajes Fa- 116 V Fb- 116,6 V Fab 233,2 V', 'Traslado a Gualaquiza a la Agencia']</t>
  </si>
  <si>
    <t>['REDES', 'transporte', 'transporte']</t>
  </si>
  <si>
    <t>OT [09] Cuadrilla Gualaquiza 2026-03-03 (045) FG.pdf</t>
  </si>
  <si>
    <t>['DAÑO REPORTADO POR Centro de Control por WhatsApp informan que no tiene energia en\nMedidor 1000422986 estructura 500641Reporta Jonathan Torres, Traslado al\nSector', 'Pasaje se revisa medidor 1000422986 se revisa red subterránea, se\nencuentra conector flojo en transformador 10474 de 50 kva estructura 26845,\nse ajusta conexión.\nHORA APAGADO 19:28\nHORA ARREGLO 20:30\nCAUSA Conexión floja en neutro', 'Traslado a la agencia']</t>
  </si>
  <si>
    <t>OT [09] Cuadrilla Gualaquiza 2026-03-04 (045) FG.pdf</t>
  </si>
  <si>
    <t>['Las Peñas en la estructura 64727 se revisa se encuentra roto el neutro, se\nrealiza trocha, se empalma linea, se tensa el neutro, se amarra el\nneutro, se arregla acometidas sueltas.\nHORA DAÑADO 09:34\nHORA ARREGLO 17:28\nCAUSA linea rota por caída de árbol', 'Traslado a la agencia']</t>
  </si>
  <si>
    <t>OT [09] Cuadrilla Gualaquiza 2026-03-05 (045) FG.pdf</t>
  </si>
  <si>
    <t>['DAÑO REPORTADO POR Centro de Control, por WhatsApp informan que en El Belén, no\ntiene energia , Med 268631 estructura 127785, Reporta Paola Orellana,\nTraslado al sector', 'Belén en la estructura 127785se revisa red de B/T se resetea el\ntransformador 5994 de 5 Kva estructura 127785, conectando normal el servicio\nHORA DAÑADO    18:41\nHORA ARREGLO   20;00\nCAUSA no hay Novedad en la red de B/T', 'Traslado a Gualaquiza\nMATERIALES\n3 Lamparas de 100w Na.']</t>
  </si>
  <si>
    <t>['transporte', 'informativa', 'transporte']</t>
  </si>
  <si>
    <t>OT [09] Cuadrilla Gualaquiza 2026-03-06 (045) FG.pdf</t>
  </si>
  <si>
    <t>['DAÑO REPORTADO POR Centro de Control por WhatsApp informan que no tiene energia en\nBelén domicilio de Gózalo Orellana, medidor 268631, Reporta Paola\nOrellana, Traslado al Sector', 'Belén estructura 127785 se revisa red de B/T, se revisa acometida,\nencontrando conexión interna arrancada el neutro, se informa a\ncliente para su arreglo, Med normal\nHORA DAÑADO    09:52\nHORA ARREGLO 12:35\nCAUSA instalacion interna rota.', 'DAÑO REPORTADO POR Centro de Control por WhatsApp informan que no tiene energia San\nMiguel medidor 216603 , Reporta Mery Chuva, Traslado al Sector', 'San Miguel estructura 209189 se revisa acometida, se encuentra quemado en\nlas entradas del breaker de caja moldeada, se solicita compra un\nbreaker para cambiar.', 'San Miguel estructura 209189 se espera a cliente, se cambia breaker se\ncambia un tramo de acometida, se cambia conectores Talón del tablero\nse revisa fusibles NH, se verifica voltajes\nHORA DAÑADO   10:49\nHORA ARREGLO 15:00\nCAUSA acometida recalentada', 'Traslado a la Agencia']</t>
  </si>
  <si>
    <t>['transporte', 'ACOMETIDAS', 'transporte', '?', '?', 'transporte']</t>
  </si>
  <si>
    <t>OT [09] Cuadrilla Gualaquiza 2026-03-07 (045) FG.pdf</t>
  </si>
  <si>
    <t>['DAÑO REPORTADO POR Centro de Control por WhatsApp informan que no tiene energia en\nel sector, Medidor 265102 estructura S/N Reporta Erika Molina, Traslado al\nsector', 'La Pradera en la estructura 265102 se revisa red de B/T moradores informan\nque maquina había chocado los cables, se resetea transformador\n16877/15 Kva/ estructura 257670\nHORA APAGADO 12:08\nHORA ARREGLO 18:30\nCAUSA Maquina choca en la Red de B/T', 'Traslado a Gualaquiza']</t>
  </si>
  <si>
    <t>OT [09] Cuadrilla Gualaquiza 2026-03-08 (045) FG.pdf</t>
  </si>
  <si>
    <t>['Rosario se realiza Montaje del transformador 27201 de 15 Kva INATRA\nSerie 0425150987, se coloca seccionador fusible, se realiza conexiones', 'Rosario estructura 128717 se revisa conexiones, se realiza medición de\nVoltajes, Fa- 116/ Fb- 116,1 / Fab- 232\nAperaje Fa- 19 amp Fb 6 amp', 'Traslado a la agencia, se descarga herramientas']</t>
  </si>
  <si>
    <t>['REDES', '?', 'transporte']</t>
  </si>
  <si>
    <t>OT [09] Cuadrilla Gualaquiza 2026-03-12 (045) FG.pdf</t>
  </si>
  <si>
    <t>['Traslado Luis Casiragui y Elias Brito', "Se atiende daño reportado por Centro de Control,  sector sin servicio revision de\nRBT se constata falta fase en la, estructura # 04053 Trafo# 14611 se cambia\nNH's de 160amp. quemado Fase B", 'Traslado de Gualaquiza a San Jose de Piunts', 'Se atiende evento reporado por Centro de Control arreglo de acometida en estructuranro161622\ny se cambia de breaker del de medidor# 20222058849 se normaliza servicio', 'Traslado de San Jose de Piunts a Las Peñas', 'Se atiende evento reportado por Centro de Control se reubica 150 mts y se reemplaza\n30 mts de TX 3x6 arrancada por vehículo desconocido, se resetea\ntransformadornro14558 de 15 kva estructura# 193882 se normaliza servicio', 'Traslado de las Peñas a La Pradera', 'Se atiende evento repoprtado por Centro de Control e realiza desbroce de maleza de la\nestructuranro127909 a la estructuranro127907 tráfo # 10602 se empalma RBT\narrancadas por árboles y vegetación, se normaliza servicio', 'Traslado de la Pradera a la Ag. Gualaquiza']</t>
  </si>
  <si>
    <t>['transporte', 'REDES', 'transporte', '?', 'transporte', '?', 'transporte', 'REDES', 'transporte']</t>
  </si>
  <si>
    <t>OT [09] Cuadrilla Gualaquiza 2026-03-14 (062) GC.pdf</t>
  </si>
  <si>
    <t>['Traslado de La Ag Gualaquiza a Sevilla', 'Evento reportado por Centro de Control sector sin servicio se revisa RBT,\nconectores flojos en transformador # 15698 estructuranro40408 se procede a re- ajustar\ny se normaliza servicio', 'Traslado a la Ag.Gualaquiza']</t>
  </si>
  <si>
    <t>['Traslado de Ag. Gualaquiza a Velzaco Ibarra y Pasaje\nEvento reportado por Centro de Control. Se arregla RBT arrancadas por camion\nestructura# 43048 , 43050 y 43049 y entre las estructura  #43051 y\nla estructura# 268460 se arregla cruce de líneas arrancado', 'En la estructura# 43049 se cambia el tensor arrancado, se conectan y se\narreglan 6 acometidas arrancadas, se procede a resetear tráfo\n#10606 estructuranro194849, se normaliza servicio', 'Traslado de Gualaquiza a Sevilla\nEvento reportado por Centro de Control, sector sin servicio se revisa RBT y\nacometidas desde la estructura# 40408, 42846 y la estructuranro42844', 'Detecta cortocircuito en acometida interna del medidor# 2014203866 se\ninforma al cliente se resetea transformador # 15698 estructuranro40408 restablece\nservicio', 'Traslado a la Ag. Gualaquiza']</t>
  </si>
  <si>
    <t>OT [09] Cuadrilla Gualaquiza 2026-03-15 (062) GC.pdf</t>
  </si>
  <si>
    <t>['DAÑO RRPORTADO POR Centro de Control por WhatsApp informan que no tienen energia en\nTutus Medidor 278585 Poste 261168 reporta Nikolaos Mourtogias,\nTraslado al sector', 'Tutus se revisa red de M/T se encuentra quemado fusible en arranque,\nse Repone fusible de 12 amps SR , en la estructura 91980se verifica que\ntodo este normal']</t>
  </si>
  <si>
    <t>OT [09] Cuadrilla Gualaquiza 2026-03-18 (045) FG.pdf</t>
  </si>
  <si>
    <t>['Agencia Gualaquiza - Barrio la Unión.\nse alista herramientas y materiales en el vehiculo.', 'Barrio la unión. se revisa red de B/T, conexiones de bajantes de\ntransformador# 15925 trifásico en las EST# 303738- 040594, reseteamos\nbreker trifásico, medimos cargas. F1. 105 F2. 160 F3. 145.', 'La unión - Agencia']</t>
  </si>
  <si>
    <t>OT [09] Cuadrilla Gualaquiza 2026-03-19 (047) CLP.pdf</t>
  </si>
  <si>
    <t>['DAÑO REPORTADO POR Centro de Control por Wathsaap informan sin energia en el sectir\nde Shiramentza, estructura 68960 Reporta Jaime Tsere . Traslado al sector', 'Shiramentza se revisa red de B/T se resetea transformador de 5 kva  -\nestructura 68960 , se verifica que todo este normal\nHORA DAÑADO 14:00\nHORA ARREGLADO 18:25\nCAUSA sobrecarga', 'Trasladoa Gualaquiza']</t>
  </si>
  <si>
    <t>OT [09] Cuadrilla Gualaquiza 2026-03-20 (045) FG.pdf</t>
  </si>
  <si>
    <t>['Traslado a San Miguel', 'San Miguel se atiende emergencia por choque de vehiculo en estructura\n208978, se coordina con centro de control para abrir seccinadores', 'Recinto Ferial se coordina con centro de control y se abre\nseccionadores estructura 40297 para poder arreglar retirar el vehiculo', 'San Miguel estructura 208978 se asegura estructura, se amarra lineas.', 'Recinto Ferial se coordina con centro de control y se cierra\nseccionadores estructura 40297\nSE ABRE SECCIONADORES      01:34\nSE CIERRA SECCIONADORES 02:19', 'Traslado ala agencia']</t>
  </si>
  <si>
    <t>['transporte', 'informativa', 'informativa', '?', 'REDES', 'transporte']</t>
  </si>
  <si>
    <t>OT [09] Cuadrilla Gualaquiza 2026-03-21 (045) FG.pdf</t>
  </si>
  <si>
    <t>['DAÑO REPORTADO POR Centro de Control por wathsaap informan que no tiene enrgia en\nSanta Rosa Medidor 18-237158\nestructura 290229, Reporta Ana Tsukanka, Traslado al sector', 'Santa Rosa se revisa red de M/T y B/T se encuentra una rama sobre la\nred estructura 292226, se retira la rama se cambia fusible de 1,3 SR en la\nestructura 290115 conectndo normal\nHORA   QUEMADO 05:00\nHORA ARREGLO    10:12\nCAUSA Rama sobre la linea', 'Traslado a San Miguel', 'San Miguiel en la estructura   208978 chocada se revisa que no haya riesgo\nde caer, se asegura con orto cabo,', 'Traslado a la agencia se descarga herramientas\nLABORA: FG y MA de 01:11 a 02:47\nLABORA: FG; CLP, MA de 08:49 a 12:36']</t>
  </si>
  <si>
    <t>['Elaboración de OT, se equipa con materiales y herramientas en el\nvehiculo.\nAgencia Gualaquiza - San Jose de Piuntz', 'San Jose de Piiuntz, Conector suelto, falta de una fase, se cambia\nconector de transformadornro18865 de 37/5 Kva en la estructura# 195168, se\nrestablece servicio con normalidad\nEsta incidencia se tardo un poco por esperar a que se realicen las\nmaniobras en la 69 por disposición del ingeniero.', 'San Jose de Piuntz - Gualaquiza Agencia']</t>
  </si>
  <si>
    <t>OT [09] Cuadrilla Gualaquiza 2026-03-21 (047) CLP.pdf</t>
  </si>
  <si>
    <t>['Agencia Gualaquiza  - Calle 12 de febrero y cuenca', '12 de febrero y cuenca, cortocircuito, se realiza cambio de breker\nquemado en el medidor 207015 se restablece servicio.', '12 de febrero - Agencia.']</t>
  </si>
  <si>
    <t>['Agencia Gualaquiza - Barrio la unión', 'Barrio la unión, se realiza el cambio de un fusible NH quemado por\nsobrecarga, de 100 A por uno de 160 A. En la estructuranro40554 transformador\ntrifásico #40611 de 50 Kva. se restablece servicio.\nSe realiza inspeccion de estructura siniestrado, se pasa evidencia\nfotográfica a centro de control e ingeniero de turno.', 'Agencia Gualaquiza']</t>
  </si>
  <si>
    <t>['Agencia Gualaquiza - Proveduria - Tutus.\nSe prepara herramientas y materiales en vehiculo.', 'Proveduria, se recorre red de M/T, desde la partida hasta tutus, se\nretira vegetación, estructuranro161619 - 161620 cambia tirafusible de 12 A\ntipo k por uno de 12 A tipo T, en la estructuranro127160.', 'Tutus - Agencia Gualaquiza']</t>
  </si>
  <si>
    <t>OT [09] Cuadrilla Gualaquiza 2026-03-22 (047) CLP.pdf</t>
  </si>
  <si>
    <t>['Agencia Gualaquiza - Sakanas', 'Sakanas, se realiza inspección de la incidencia, se retira lata en la\nred de M/T en la estructuranro33308, cambiamos tirafusible de A tipo T por uno\ndel mismo valor, en la estructuranro244338.', 'Sakanas - Agencia Gualaquiza\nLABORA: MA - CLP de 09h27 a 12h00 y de 18h41 a 20h50']</t>
  </si>
  <si>
    <t>['En Guadalupe se reubica y se Restituye medidor por display quemado\n1000021836 (10749) por el 18-258945 del Sr. Claudio Lozano\nNOTA: no se puede avanzar con el trabajo por fuerte temporal invernal\nmucha lluvia', 'Traslado a la Agencia Zamora']</t>
  </si>
  <si>
    <t>OT [21] Agencia Zamora 2026-03-04 (050) GJ.pdf</t>
  </si>
  <si>
    <t>['Traslado a la Agencia Zamora. Los compañeros LL y SO laboran en las antenas del Líbano realizando\nla restitución del medidor Nro.\n18-258946 y en la estructura 27507 colocan un seccionador\nportafusible\nportafusible']</t>
  </si>
  <si>
    <t>OT [21] Agencia Zamora 2026-03-05 (050) GJ.pdf</t>
  </si>
  <si>
    <t>['En Nambija Ciudadela del Chófer se instala N/S Nro.\n18-258990 solicitado por la Sra. Evelyn Zuikan, se ocupa 25 metros de\nTX6 estructura Nro. 194212 NOTA: en Nambija fuerte temporal invernal', 'Traslado a San Carlos', 'En San Carlos se revisa daño que informa C,. C. Del medidor Nro.\n297612 del Sr. Pablo Arevalo, se verifica cable en recalentamiento en\nla R/B/T', 'Traslado a Cumbaratza Sector El Descanso', 'En Cumbaratza el Descanso se revisa daño que informa C. C. En la\nestructura 280455 se repone un tirafusible de 1.6 AMP SR del\ntransformador de 50 KVA Sicap 26656 del Sr. Óscar Chalán', 'Traslado a Zamora La Colina', 'En La Colina se revisa daño que informa C. C. Del medidor Nro.\n1284503 de la Sra. Lola Pauta, se verifica acometida neutro arrancado\nen un árbol', 'Traslado a la Agencia Zamora']</t>
  </si>
  <si>
    <t>['?', 'transporte', '?', 'transporte', 'REDES', 'transporte', 'ACOMETIDAS', 'transporte']</t>
  </si>
  <si>
    <t>OT [21] Agencia Zamora 2026-03-06 (050) GJ.pdf</t>
  </si>
  <si>
    <t>['En San José del Progreso se realiza inspección para N/S solicitado\npor el Sr. Manuel Jiménez', 'En el Progreso se realiza inspección para S/O solicitado por el Sr.\nSantos Rodríguez, se ocuparía 50m TX6 en el estructura Nro. 28704', 'Traslado a la Agencia Zamora\nMateriales utilizados: (3) Medidores; (3) sellos; (12metros) TX6; (1)\nBreaker Bifásico de 50AMP; (3metros) cable Nro. 6 cableado; (3)\nconectores RP']</t>
  </si>
  <si>
    <t>['?', '?', 'transporte']</t>
  </si>
  <si>
    <t>OT [21] Agencia Zamora 2026-03-12 (050) GJ.pdf</t>
  </si>
  <si>
    <t>['Barrio Chimbutza Centro de Control reporta daño se revisa y se restea breke del\nmedidor # 18-230465. en Ungumiatza Centro de Control reporta daño se revisa y se\nreconecta el transformador # 7080 de 5 kva estructura # 30626.', 'Nos trasladamos desde Ungumiatza hasta Zumbi.', 'Zumbi Centro de Control reporta daño se revisa y se cambia 12 metros de 3x6\nacometida recalentada de los medidores # 268446 y 214951.', 'Nos trasladamos desde Zumbi hasta Yantzaza.']</t>
  </si>
  <si>
    <t>['REDES', 'transporte', '?', 'transporte']</t>
  </si>
  <si>
    <t>OT [22] Agencia Yantzaza 2026-03-02 (056) LP.pdf</t>
  </si>
  <si>
    <t>['Arreglo de daños reportados por el Centro de Control. Preparación de materiales,\nherramientas, EPP, elaboración del permiso de trabajo.', 'DAÑO REPORTADO POR CENTRO DE CONTROL,  mediante (Mensaje de Whats\nApp). Nos trasladamos de la agencia Yantzaza hasta San Juan   informa\nsector sin servicio.', 'En el barrio San Juan,  estructura # 280028 transf. #7049de 10 Kva, se\nencuentra abierto, se revisa la LBV: no se encuentra novedad, se\nresetea breaker del transf. Se restablece el servicio.', 'Retornamos de San Juan, a la Agencia Yantzaza.']</t>
  </si>
  <si>
    <t>OT [22] Agencia Yantzaza 2026-03-04 (055) PCH.pdf</t>
  </si>
  <si>
    <t>['Barrio Los Hachos Centro de Control reporta daño se recorre la linea y se repone\ntirafusible de 12 A tipo K en la estructura # 274794 y se normaliza el\nservicio sin novedad.']</t>
  </si>
  <si>
    <t>OT [22] Agencia Yantzaza 2026-03-04 (056) LP.pdf</t>
  </si>
  <si>
    <t>['Barrio el Guayabal Centro de Control reporta daño se revisa y se arregla acometida\narrancada del medidor # 216477 y se normaliza el servicio sin novedad.', 'El Valle de Chicaña Centro de Control reportda daño se recorre la L/M/T y se\nencuentra arbol en la linea estructura # 29605 se retira y se repone\ntirafusible de 12 A Tipo K en la estructura # 29601 y se normaliza.', 'Yantzaza barrio Norte Centro de Control reporta daño se revisa el medidor # 262279 y\nse realiza ajuste de conexiones y borneras del breke ganeral y se\nnormaliza el servicio.', 'Nos trasladamos desde Yantzaza hasta Zumbi - barrio 10 de Agosto.', 'Barrio 10 de Agosto Centro de Control reporta daño se revisa y se encuentra el\ntransformador # 18295 de 5kva desconectado se revisa y se encuentra\ncortocircuito interno del medidor # 1000414048 -\nSe retira el cortocircuito se deja aislando y se reconecta dicho\ntransformador y se normaliza el servicio.', 'Nos trasladamos desde el barrio 10 de Agosto hasta Yantzaza.']</t>
  </si>
  <si>
    <t>['?', 'REDES', '?', 'transporte', 'REDES', 'transporte']</t>
  </si>
  <si>
    <t>OT [22] Agencia Yantzaza 2026-03-06 (056) LP.pdf</t>
  </si>
  <si>
    <t>['informativa', 'informativa', 'transporte']</t>
  </si>
  <si>
    <t>OT [22] Agencia Yantzaza 2026-03-07 (055) PCH.pdf</t>
  </si>
  <si>
    <t>['DAÑO REPORTADO POR CENTRO DE CONTROL, mediante (Mensaje de Whats\nApp). Nos trasladamos de Yantzaza hasta los Encuentros, La Delicia\ninforma sector sin servicio.', 'En la Delicia, estructura 161991, transf. #7129/10 kVA. Se encontró\nabierto,  causa, sobrecarga,se reconecta el breaker del transf. Se\nnormaliza el servicio.', 'Nos trasladamos de la Delicia a Yantzaza.']</t>
  </si>
  <si>
    <t>['Arreglo de daños reportados por el Centro de Control. Preparación de materiales,\nherramientas, EPP, elaboración del permiso de trabajo.', 'DAÑO REPORTADO POR CENTRO DE CONTROL,  mediante (Mensaje de Whats\nApp). Nos trasladamos de la agencia Yantzaza hasta el Dorado, informan\ndomicilio sin servicio.', 'En el Dorado, se encuentra sin servicio , causa borneras\nsobrecalentadas, del  , medidor #1000386109, se hace ajuste de\nborneras,  además, se resetea el breaker,  se normaliza el servicio.', 'Nos trasladamos del Dorado a Yantzaza.']</t>
  </si>
  <si>
    <t>OT [22] Agencia Yantzaza 2026-03-08 (055) PCH.pdf</t>
  </si>
  <si>
    <t>['En Zumbi se instala Servicio Ocasional para el Coliseo', 'Traslado a Yantzaza']</t>
  </si>
  <si>
    <t>OT [22] Agencia Yantzaza 2026-03-18 (054) RCL.pdf</t>
  </si>
  <si>
    <t>['En Tundayme DAÑO REPORTADO POR Centro de Control indica acometida arrancada medidor#\n1000363577, se restituye acometida y caja plástica destruidas por el\npaso de una volqueta, se normaliza el servicio', 'Traslado de Tundayme a el Pangui', 'En el Pangui DAÑO REPORTADO POR Centro de Control indica medidor# 145868 sin energía,\nse arregla acometida arrancada la fase por sulfatación en empalme, se\nnormaliza el servicio', 'Traslado a la agencia el Pangui']</t>
  </si>
  <si>
    <t>['ACOMETIDAS', 'transporte', 'ACOMETIDAS', 'transporte']</t>
  </si>
  <si>
    <t>OT [23] Agencia El Pangui 2026-03-02 (058) FA.pdf</t>
  </si>
  <si>
    <t>['En el Pangui DAÑO REPORTADO POR Centro de Control indica sector sin servicio medidor#\n233794, se recorre RBT no se encuentra ninguna novedad, se resetea el\ntransformador Sicap 22234 de 37.5 KVA en el estructura 28013']</t>
  </si>
  <si>
    <t>OT [23] Agencia El Pangui 2026-03-03 (058) FA.pdf</t>
  </si>
  <si>
    <t>['Traslado Guayusal', 'Revision LBT estructuranro255873, 255866, retiro de ramas estructuranro219743,\nTrafonro23459 de 10KVA, estructuranro255869, se restablee servicio.', 'Traslado Ag. Gualaquiza']</t>
  </si>
  <si>
    <t>OT [24] Agencia Gualaquiza 2026-03-10 (062) GC.pdf</t>
  </si>
  <si>
    <t>['Gualaquiza, Luis Casiragui y Velasco Ibarra, estructura 303745 revision medidor\n213468, revision y arreglo LBT, estructura 040553 cambio NHs quemado fases\nA/B, reestablece servicio, reclamo Centro Control']</t>
  </si>
  <si>
    <t>OT [24] Agencia Gualaquiza 2026-03-13 (061) CB.pdf</t>
  </si>
  <si>
    <t xml:space="preserve"> REDES</t>
  </si>
  <si>
    <t xml:space="preserve"> ALUMBRADO</t>
  </si>
  <si>
    <t xml:space="preserve"> ACOMETIDAS</t>
  </si>
  <si>
    <t xml:space="preserve"> MEDIDORES</t>
  </si>
  <si>
    <t xml:space="preserve"> informativa</t>
  </si>
  <si>
    <t xml:space="preserve"> transporte</t>
  </si>
  <si>
    <t xml:space="preserve"> SUBESTACION</t>
  </si>
  <si>
    <t xml:space="preserve"> SUBTRANSMISION</t>
  </si>
  <si>
    <t xml:space="preserve"> Servicios_Ocasional</t>
  </si>
  <si>
    <t xml:space="preserve"> PLANILL</t>
  </si>
  <si>
    <t xml:space="preserve"> Nuevos_Servici</t>
  </si>
  <si>
    <t xml:space="preserve"> se_labora</t>
  </si>
  <si>
    <t xml:space="preserve"> lunch</t>
  </si>
  <si>
    <t xml:space="preserve"> ?</t>
  </si>
  <si>
    <t>['ACOMETIDAS']</t>
  </si>
  <si>
    <t>RS, JCR</t>
  </si>
  <si>
    <t>FR, RS, LL, VZH, JCR</t>
  </si>
  <si>
    <t>FR, RS, JCR</t>
  </si>
  <si>
    <t>FR, RS</t>
  </si>
  <si>
    <t>Colores</t>
  </si>
  <si>
    <t>Cuentas</t>
  </si>
  <si>
    <t>madrugada</t>
  </si>
  <si>
    <t>revisar hora inicio</t>
  </si>
  <si>
    <t>revisar hora final</t>
  </si>
  <si>
    <t>feriado</t>
  </si>
  <si>
    <t>debería ser hasta 08:00 am</t>
  </si>
  <si>
    <t>debería ser desde 17:00 pm</t>
  </si>
  <si>
    <t>Solo feriados nacionales, verificar cantonizacion</t>
  </si>
  <si>
    <t>Reglas de colores aplicadas al documento</t>
  </si>
  <si>
    <t>FR, LL, VZH, JCR</t>
  </si>
  <si>
    <t>LL, SO</t>
  </si>
  <si>
    <t>FR, VZH, JCR</t>
  </si>
  <si>
    <t>FR, RS, GJ</t>
  </si>
  <si>
    <t>Item</t>
  </si>
  <si>
    <t>LM, JCH, MC</t>
  </si>
  <si>
    <t>LM, RY, JCH, MC</t>
  </si>
  <si>
    <t>LM, RY, JCH</t>
  </si>
  <si>
    <t>RY, JCH</t>
  </si>
  <si>
    <t>['INC No. 11041012368. Atendido, luminaria de 70 W Na en mal estado. Repotenciación. Se retira dicha luminaria y en su reemplazo se deja instalando una de 150W Na 2NP. Nos trasladamos desde el barrio La unión de Chicaña hacia Los\nEncuentros.', 'Sector de los Encuentros se continúa revisando la falla del brazo\nHidráulico del vehículo canasta 2-91y se logra encontrar conexiones\nflojas en la unión de los terminales del sistema eléctrico.']</t>
  </si>
  <si>
    <t>LM, MC</t>
  </si>
  <si>
    <t>NL, WC</t>
  </si>
  <si>
    <t>['DAÑO REPORTADO POR Centro de Control. Mensaje de Centro de Control.\nTraslado desde Bellavista de Chivatos hasta Yacuambi y luego a\nSayupamba informan sector sin servicio eléctrico', 'En Sayupamba se encuentra Med 1271813 carbonizado las borneras de la\nentrada de acometida de la UE Jaime Roldos Aguilera se retira medidor\nen mal estado se deja energizando solamente con el brekaer\nSe coordina con la docente del plantel para haga la adquisición de\nlos materiales para la respectiva restitución del medidor, en el\nmismo lugar se revisa Med 247595\nA pedido del cliente se hace mediciones de voltaje con servicio normal\nencontrando daño interno se coordina con el cliente que haga las\ncorrecciones internas','DAÑO REPORTADO POR Centro de Control. Mensaje de Centro de Control.\nTraslado desde Sayupamba hasta Yacuambi y luego a La Paz sector\nWashikiat domicilio sin servicio eléctrico', 'En Washikiat se revisa Med 18-250433 encontrando conexiones sulfatadas\nde las salidas del breaker se limpia sulfatos se ajusta conexiones se\nhace mediciones de voltaje\nSe restablece el servicio eléctrico en el domicilio', 'Desde Washikiat se retorna a Yacuambi']</t>
  </si>
  <si>
    <t>NL, WC, NR, VZH, JCR</t>
  </si>
  <si>
    <t>NL, WC, NR</t>
  </si>
  <si>
    <t>GLE</t>
  </si>
  <si>
    <t>WC, NR</t>
  </si>
  <si>
    <t>SB, JLC</t>
  </si>
  <si>
    <t>AA, RCL</t>
  </si>
  <si>
    <t>['DAÑO REPORTADO POR CENTRO DE CONTROL (Mensaje de Whats App).\nNos trasladamos de la agencia Yantzaza a Los Encuentros.']['Los Encuentros. Se revisa el medidor 18-208577, se encuentra cortado por\nfalta de pago. Queda sin servicios hasta su cancelación', 'Nos trasladamos de Los Encuentros a la agencia Yantzaza.']</t>
  </si>
  <si>
    <t>SB, GT</t>
  </si>
  <si>
    <t>['DAÑO REPORTADO POR Centro de Control. (Mensaje de WhatsApp)\nTraslado desde Yantzaza hasta San Vicente informan sector sin\nenergía', 'En San Vicente estructura 279119 se encuentra fusible quemado en derivación\na La Unión Fase C; se revisa y encuentra vegetación. Se repone\ntirafusible de 12A-T óse reestablece el servicio.', 'Retorno desde La Floresta hasta Yantzaza agencia'], ['DAÑO REPORTADO POR Centro de Control. (Mensaje de WhatsApp)\nTraslado desde La Union hasta La Floresta informan sector sin\nenergía', 'En La Floresta en sitio se imposibilita llegar hasta estructura donde se\nencuentra fusible por estar en media inverna y por oscuridad de la\nniche queda para en siguiente dia']</t>
  </si>
  <si>
    <t>SB, AO, GT, JLC, LP, PCH</t>
  </si>
  <si>
    <t>['Por trabajo planificado.\nNos trasladamos de la agencia Yantzaza a la Subestación Yantzaza. Se ejecuta maniobras en coordinacion con el Centro de Control.']</t>
  </si>
  <si>
    <t>JA, MS</t>
  </si>
  <si>
    <t>JA, DG</t>
  </si>
  <si>
    <t>DG, MS</t>
  </si>
  <si>
    <t>['En la Bodega de Paquisha se realiza la OT, se carga materiales y\nherramientas al vehículo rentando por la EERSSA R-184'] ['Traslado a San Pablo', 'En San Pablo se colabora a la cuadrilla de Línea energizada del\ncompañero Luis Agurto en los trabajos planificados en la linea de\nsubtransmision 69KV', 'Traslado con el Ing. Andrew Quezada a la Sub Estación Cumbaratza', 'En La Sub Estación Cumbaratza se encuentra la fase C del Alimentador\nYantzaza arrancada, se restable el Trafo de la Sub estación\nCumbaratza y se arregla la LMV en la estructura #27551 se empalma, regula y\nTensa la LMV luego se cierran barras quedando normal el servicio\neléctrico', 'LUNCH EN PANGUINZA', 'Traslado a San Pablo', 'Se continua con los trabajos programados en la Linea de subtransmision\n69KV luego de los trabajos se sale a recoger a los compañeros DG y JJ\ny se realiza maniobras programadas con Centro de Control', 'Traslado a la Bodega de Paquisha']</t>
  </si>
  <si>
    <t>['En Zumbi se realiza maniobras programadas conjuntamente con centro de\ncontrol luego se deja a los compañeros DG y JJ con la Cuadrilla del\nCompañero Joffre Quituizaca'] ['Traslado a San Pablo', 'En San Pablo se colabora a la cuadrilla de Línea energizada del\ncompañero Luis Agurto en los trabajos planificados en la linea de\nsubtransmision 69KV', 'Traslado con el Ing. Andrew Quezada a la Sub Estación Cumbaratza', 'En La Sub Estación Cumbaratza se encuentra la fase C del Alimentador\nYantzaza arrancada, se restable el Trafo de la Sub estación\nCumbaratza y se arregla la LMV en la estructura #27551 se empalma, regula y\nTensa la LMV luego se cierran barras quedando normal el servicio\neléctrico', 'LUNCH EN PANGUINZA', 'Traslado a San Pablo', 'Se continua con los trabajos programados en la Linea de subtransmision\n69KV luego de los trabajos se sale a recoger a los compañeros DG y JJ\ny se realiza maniobras programadas con Centro de Control', 'Traslado a la Bodega de Paquisha']</t>
  </si>
  <si>
    <t>JA, DG, MS, JJ</t>
  </si>
  <si>
    <t>CQ, JL</t>
  </si>
  <si>
    <t>CQ, AC, JL</t>
  </si>
  <si>
    <t>['Coordinación de trabajos nos trasladamos de Guayzimi - Mariposa','DAÑO REPORTADO POR CC. (Mensaje de WhatsApp) Mariposa, Est 61956 tirafusible quemado toma medidas de seguridad
recorre parte LMT a Playa del Oro']</t>
  </si>
  <si>
    <t>CQ</t>
  </si>
  <si>
    <t>LV, FA, MS</t>
  </si>
  <si>
    <t>HM, AS</t>
  </si>
  <si>
    <t>LV, FA, AS</t>
  </si>
  <si>
    <t>HM, LV, AS</t>
  </si>
  <si>
    <t>HM, AD, AS</t>
  </si>
  <si>
    <t>HM, LV, AD, AS</t>
  </si>
  <si>
    <t>LV, FA</t>
  </si>
  <si>
    <t>HM, AD</t>
  </si>
  <si>
    <t>HM, AS, LV</t>
  </si>
  <si>
    <t>CLP, CG</t>
  </si>
  <si>
    <t>FG, CLP, MA</t>
  </si>
  <si>
    <t>FG, CLP</t>
  </si>
  <si>
    <t>FG, MA</t>
  </si>
  <si>
    <t>GC, MA</t>
  </si>
  <si>
    <t>FG, MA, CLP</t>
  </si>
  <si>
    <t>CLP, MA</t>
  </si>
  <si>
    <t>[El Rosario, se recorre red de B/T, se localiza vegetación, daño aparente, se retira y se cambia tirafusible de 1.3 A SR x uno del mismo Valor, en la EST# 128717 Transformador# 27201 de kva.']</t>
  </si>
  <si>
    <t>OT [09] Cuadrilla Gualaquiza 2026-03-18 (047) CLP.pdf</t>
  </si>
  <si>
    <t>En coordinacion con Henry Mendieta y Ing. Quezada se apoya a cuadrilla del Pangui, a reparar red de M/T en el sector de Tsarums, Traslado a Tsarunts. Tsarums se realiza revison de Estr 195097 se realiza combio de aislador Pin 56-1 y se amarra la linea, se corta enredaderas de los tensores.</t>
  </si>
  <si>
    <t>GJ, SO</t>
  </si>
  <si>
    <t>GJ, LL, SO, VZH</t>
  </si>
  <si>
    <t>GJ, RS</t>
  </si>
  <si>
    <t>GJ, LL</t>
  </si>
  <si>
    <t>LP, PCH</t>
  </si>
  <si>
    <t>PCH, LP</t>
  </si>
  <si>
    <t>['Arreglo de daños reportados por el Centro de Control. Preparación de materiales,\nherramientas, EPP, elaboración del permiso de trabajo.', 'En coordinación con el Centro de Control Maniobras, se traslada al reconectador\nAmazonas. Para realizar maniobras de comunicación en el\nreconectador.', 'DAÑO REPORTADO POR CENTRO DE CONTROL,  mediante (Mensaje de Whats\nApp). Nos trasladamos del barrio Amazonas hasta la Foresta   informa\nsector sin servicio.']['En la Florasta estructura 280814, se encuentra fusible quemado en derivación\na La Florida; se revisa LMV,no se encuentra nada, Se repone\ntirafusible de 25 A tipo K, se restablece el servicio. Hora: 10:35', 'Nos trasladamos de La Floresta a Los Encuentros.', 'En coordinación con el Centro de Control Maniobras, en el Equip. Tele. en Los\nEncuentros. Para realizar maniobras de comunicación estructura 221960', 'DAÑO REPORTADO POR CENTRO DE CONTROL,  mediante (Mensaje de Whats\nApp). Nos trasladamos de los encuentros hasta Ungumiatza informa\nsector sin servicio.', 'En Ungumiatza estructura 30619, se encuentra fusible quemado en derivación\nUngumiatza, se revisa LMV,no se encuentra nada, Se repone tirafusible\nde 6A tipo T, se restablece el servicio. hora 12:15.', 'En Ungumiatza, estructura 30638, se encuentra fusible quemado en derivación\na Miraflores, se revisa LMV, se encuentra guaduas cerca posre, 2198,\nSe repone tirafusible de 6A tipo T, se restablece el servicio', 'Nos trasladamos de Miraflores a Yantzaza.']</t>
  </si>
  <si>
    <t>PCH, DG</t>
  </si>
  <si>
    <t>RCL, PCH</t>
  </si>
  <si>
    <t>FA, AD</t>
  </si>
  <si>
    <t>GC, RCL</t>
  </si>
  <si>
    <t>Se atiende daño reportado por CC, arreglño de acometida med#125930 est# 128638 y se resetea trafo # 14217 est# 128632.</t>
  </si>
  <si>
    <t>GC, CB</t>
  </si>
  <si>
    <t>['Guayusal, revision LBT, estructura 218078, 218105 limpieza arboles sobre\nred, estructura 255869 energizacion transf 23459 de 10kva, reestablece\nservicio, reclamo Centro Control.', 'Traslado Kumchaime.']['Kunchaime, estructura 204231, arreglo acometida medidor 1000026966, arrancada\npor caida de arbol, reclamo Centro Control.', 'Traslado Gualaquiza.\nSe labora: CB y GC de 06:41 a 13:00 y de 14:00 a 19:36']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</si>
</sst>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dd\,\ \ dd&quot; de &quot;mmmm&quot; de &quot;yyyy"/>
    <numFmt numFmtId="165" formatCode="dd/mm/yy"/>
    <numFmt numFmtId="166" formatCode="dd/mmm\ yyyy"/>
    <numFmt numFmtId="167" formatCode="hh:mm"/>
  </numFmts>
  <fonts count="3" x14ac:knownFonts="1">
    <font>
      <sz val="10"/>
      <name val="Arial"/>
      <family val="2"/>
    </font>
    <font>
      <b/>
      <sz val="10"/>
      <name val="Arial"/>
      <family val="2"/>
    </font>
    <font>
      <b/>
      <sz val="14"/>
      <name val="Arial"/>
      <family val="2"/>
    </font>
  </fonts>
  <fills count="9">
    <fill>
      <patternFill patternType="none"/>
    </fill>
    <fill>
      <patternFill patternType="gray125"/>
    </fill>
    <fill>
      <patternFill patternType="solid">
        <fgColor rgb="FFB4C7DC"/>
        <bgColor rgb="FFCCCCFF"/>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0">
    <xf numFmtId="0" fontId="0" fillId="0" borderId="0" xfId="0"/>
    <xf numFmtId="164" fontId="0" fillId="0" borderId="0" xfId="0" applyNumberFormat="1"/>
    <xf numFmtId="0" fontId="1" fillId="0" borderId="0" xfId="0" applyFont="1" applyAlignment="1">
      <alignment horizontal="left" indent="1"/>
    </xf>
    <xf numFmtId="165" fontId="0" fillId="0" borderId="0" xfId="0" applyNumberFormat="1"/>
    <xf numFmtId="0" fontId="2" fillId="0" borderId="0" xfId="0" applyFont="1" applyAlignment="1">
      <alignment horizontal="center" vertical="center"/>
    </xf>
    <xf numFmtId="0" fontId="1" fillId="2" borderId="0" xfId="0" applyFont="1" applyFill="1" applyAlignment="1">
      <alignment horizontal="left" indent="1"/>
    </xf>
    <xf numFmtId="0" fontId="0" fillId="0" borderId="0" xfId="0" applyAlignment="1">
      <alignment horizontal="right"/>
    </xf>
    <xf numFmtId="166" fontId="0" fillId="0" borderId="0" xfId="0" applyNumberFormat="1" applyAlignment="1">
      <alignment horizontal="center"/>
    </xf>
    <xf numFmtId="167" fontId="0" fillId="0" borderId="0" xfId="0" applyNumberFormat="1" applyAlignment="1">
      <alignment horizontal="center"/>
    </xf>
    <xf numFmtId="0" fontId="1" fillId="0" borderId="0" xfId="0" applyFont="1" applyAlignment="1">
      <alignment horizontal="right" indent="1"/>
    </xf>
    <xf numFmtId="166" fontId="1" fillId="0" borderId="0" xfId="0" applyNumberFormat="1" applyFont="1" applyAlignment="1">
      <alignment horizontal="center"/>
    </xf>
    <xf numFmtId="167" fontId="1" fillId="0" borderId="0" xfId="0" applyNumberFormat="1" applyFont="1" applyAlignment="1">
      <alignment horizontal="center"/>
    </xf>
    <xf numFmtId="167" fontId="1" fillId="0" borderId="0" xfId="0" applyNumberFormat="1" applyFont="1" applyAlignment="1">
      <alignment horizontal="left" indent="1"/>
    </xf>
    <xf numFmtId="165" fontId="0" fillId="3" borderId="0" xfId="0" applyNumberFormat="1" applyFill="1"/>
    <xf numFmtId="165" fontId="0" fillId="6" borderId="0" xfId="0" applyNumberFormat="1" applyFill="1"/>
    <xf numFmtId="165" fontId="0" fillId="5" borderId="0" xfId="0" applyNumberFormat="1" applyFill="1"/>
    <xf numFmtId="165" fontId="0" fillId="4" borderId="0" xfId="0" applyNumberFormat="1" applyFill="1"/>
    <xf numFmtId="165" fontId="0" fillId="7" borderId="0" xfId="0" applyNumberFormat="1" applyFill="1"/>
    <xf numFmtId="165" fontId="0" fillId="8" borderId="0" xfId="0" applyNumberFormat="1" applyFill="1"/>
    <xf numFmtId="0" fontId="0" fillId="0" borderId="0" xfId="0" applyAlignment="1">
      <alignment wrapText="1"/>
    </xf>
  </cellXfs>
  <cellStyles count="1">
    <cellStyle name="Normal" xfId="0" builtinId="0"/>
  </cellStyles>
  <dxfs count="12">
    <dxf>
      <fill>
        <patternFill>
          <bgColor theme="9" tint="0.59996337778862885"/>
        </patternFill>
      </fill>
    </dxf>
    <dxf>
      <fill>
        <patternFill>
          <bgColor theme="9" tint="0.79998168889431442"/>
        </patternFill>
      </fill>
    </dxf>
    <dxf>
      <fill>
        <patternFill>
          <bgColor theme="5" tint="0.79998168889431442"/>
        </patternFill>
      </fill>
    </dxf>
    <dxf>
      <fill>
        <patternFill>
          <bgColor theme="4" tint="0.79998168889431442"/>
        </patternFill>
      </fill>
    </dxf>
    <dxf>
      <fill>
        <patternFill>
          <bgColor theme="8" tint="0.39994506668294322"/>
        </patternFill>
      </fill>
    </dxf>
    <dxf>
      <fill>
        <patternFill>
          <bgColor theme="8" tint="0.79998168889431442"/>
        </patternFill>
      </fill>
    </dxf>
    <dxf>
      <fill>
        <patternFill>
          <bgColor theme="9" tint="0.59996337778862885"/>
        </patternFill>
      </fill>
    </dxf>
    <dxf>
      <fill>
        <patternFill>
          <bgColor theme="9" tint="0.79998168889431442"/>
        </patternFill>
      </fill>
    </dxf>
    <dxf>
      <fill>
        <patternFill>
          <bgColor theme="5" tint="0.79998168889431442"/>
        </patternFill>
      </fill>
    </dxf>
    <dxf>
      <fill>
        <patternFill>
          <bgColor theme="4" tint="0.79998168889431442"/>
        </patternFill>
      </fill>
    </dxf>
    <dxf>
      <fill>
        <patternFill>
          <bgColor theme="8" tint="0.39994506668294322"/>
        </patternFill>
      </fill>
    </dxf>
    <dxf>
      <fill>
        <patternFill>
          <bgColor theme="8" tint="0.7999816888943144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zoomScale="80" zoomScaleNormal="80" workbookViewId="0">
      <selection activeCell="G10" sqref="G10"/>
    </sheetView>
  </sheetViews>
  <sheetFormatPr baseColWidth="10" defaultColWidth="11.5703125" defaultRowHeight="12.75" x14ac:dyDescent="0.2"/>
  <cols>
    <col min="1" max="1" width="43.140625" customWidth="1"/>
    <col min="2" max="2" width="35.140625" style="1" customWidth="1"/>
    <col min="3" max="3" width="23" customWidth="1"/>
    <col min="4" max="4" width="29.7109375" style="2" customWidth="1"/>
    <col min="5" max="5" width="15.85546875" style="3" customWidth="1"/>
    <col min="6" max="6" width="18.7109375" customWidth="1"/>
    <col min="7" max="7" width="32.85546875" style="2" customWidth="1"/>
    <col min="8" max="8" width="15.85546875" style="3" customWidth="1"/>
    <col min="9" max="9" width="17.5703125" customWidth="1"/>
  </cols>
  <sheetData>
    <row r="1" spans="1:8" ht="31.7" customHeight="1" x14ac:dyDescent="0.2">
      <c r="A1" s="4" t="s">
        <v>0</v>
      </c>
      <c r="B1" s="4" t="s">
        <v>1</v>
      </c>
      <c r="C1" s="4" t="s">
        <v>2</v>
      </c>
      <c r="D1" s="4" t="s">
        <v>400</v>
      </c>
      <c r="E1" s="4" t="s">
        <v>399</v>
      </c>
      <c r="G1" s="4" t="s">
        <v>408</v>
      </c>
      <c r="H1"/>
    </row>
    <row r="2" spans="1:8" x14ac:dyDescent="0.2">
      <c r="A2" s="5" t="s">
        <v>3</v>
      </c>
      <c r="B2" s="1">
        <v>46023</v>
      </c>
      <c r="C2" t="s">
        <v>4</v>
      </c>
      <c r="E2" s="13"/>
      <c r="F2" t="s">
        <v>58</v>
      </c>
    </row>
    <row r="3" spans="1:8" x14ac:dyDescent="0.2">
      <c r="A3" s="5" t="s">
        <v>3</v>
      </c>
      <c r="B3" s="1">
        <v>46066</v>
      </c>
      <c r="C3" t="s">
        <v>5</v>
      </c>
      <c r="D3" s="2" t="s">
        <v>380</v>
      </c>
      <c r="E3" s="14"/>
      <c r="F3" t="s">
        <v>63</v>
      </c>
    </row>
    <row r="4" spans="1:8" x14ac:dyDescent="0.2">
      <c r="A4" s="5" t="s">
        <v>3</v>
      </c>
      <c r="B4" s="1">
        <v>46069</v>
      </c>
      <c r="C4" t="s">
        <v>6</v>
      </c>
      <c r="D4" s="2" t="s">
        <v>381</v>
      </c>
      <c r="E4" s="18"/>
      <c r="F4" t="s">
        <v>404</v>
      </c>
      <c r="G4" s="2" t="s">
        <v>407</v>
      </c>
    </row>
    <row r="5" spans="1:8" x14ac:dyDescent="0.2">
      <c r="A5" s="5" t="s">
        <v>3</v>
      </c>
      <c r="B5" s="1">
        <v>46070</v>
      </c>
      <c r="C5" t="s">
        <v>7</v>
      </c>
      <c r="D5" s="2" t="s">
        <v>382</v>
      </c>
      <c r="E5" s="15"/>
      <c r="F5" t="s">
        <v>401</v>
      </c>
    </row>
    <row r="6" spans="1:8" x14ac:dyDescent="0.2">
      <c r="A6" s="5" t="s">
        <v>3</v>
      </c>
      <c r="B6" s="1">
        <v>46115</v>
      </c>
      <c r="C6" t="s">
        <v>8</v>
      </c>
      <c r="D6" s="2" t="s">
        <v>383</v>
      </c>
      <c r="E6" s="16"/>
      <c r="F6" t="s">
        <v>402</v>
      </c>
      <c r="G6" s="2" t="s">
        <v>405</v>
      </c>
    </row>
    <row r="7" spans="1:8" x14ac:dyDescent="0.2">
      <c r="A7" s="5" t="s">
        <v>3</v>
      </c>
      <c r="B7" s="1">
        <v>46143</v>
      </c>
      <c r="C7" t="s">
        <v>9</v>
      </c>
      <c r="D7" s="2" t="s">
        <v>384</v>
      </c>
      <c r="E7" s="17"/>
      <c r="F7" t="s">
        <v>403</v>
      </c>
      <c r="G7" s="2" t="s">
        <v>406</v>
      </c>
    </row>
    <row r="8" spans="1:8" x14ac:dyDescent="0.2">
      <c r="A8" s="5" t="s">
        <v>3</v>
      </c>
      <c r="B8" s="1">
        <v>46167</v>
      </c>
      <c r="C8" t="s">
        <v>10</v>
      </c>
      <c r="D8" s="2" t="s">
        <v>385</v>
      </c>
    </row>
    <row r="9" spans="1:8" x14ac:dyDescent="0.2">
      <c r="A9" s="5" t="s">
        <v>3</v>
      </c>
      <c r="B9" s="1">
        <v>46244</v>
      </c>
      <c r="C9" t="s">
        <v>11</v>
      </c>
      <c r="D9" s="2" t="s">
        <v>386</v>
      </c>
    </row>
    <row r="10" spans="1:8" x14ac:dyDescent="0.2">
      <c r="A10" s="5" t="s">
        <v>3</v>
      </c>
      <c r="B10" s="1">
        <v>46304</v>
      </c>
      <c r="C10" t="s">
        <v>12</v>
      </c>
      <c r="D10" s="2" t="s">
        <v>387</v>
      </c>
    </row>
    <row r="11" spans="1:8" x14ac:dyDescent="0.2">
      <c r="A11" s="5" t="s">
        <v>3</v>
      </c>
      <c r="B11" s="1">
        <v>46328</v>
      </c>
      <c r="C11" t="s">
        <v>13</v>
      </c>
      <c r="D11" s="2" t="s">
        <v>388</v>
      </c>
    </row>
    <row r="12" spans="1:8" x14ac:dyDescent="0.2">
      <c r="A12" s="5" t="s">
        <v>3</v>
      </c>
      <c r="B12" s="1">
        <v>46329</v>
      </c>
      <c r="C12" t="s">
        <v>14</v>
      </c>
      <c r="D12" s="2" t="s">
        <v>389</v>
      </c>
    </row>
    <row r="13" spans="1:8" x14ac:dyDescent="0.2">
      <c r="A13" s="5" t="s">
        <v>3</v>
      </c>
      <c r="B13" s="1">
        <v>46335</v>
      </c>
      <c r="C13" t="s">
        <v>15</v>
      </c>
      <c r="D13" s="2" t="s">
        <v>390</v>
      </c>
    </row>
    <row r="14" spans="1:8" x14ac:dyDescent="0.2">
      <c r="A14" s="5" t="s">
        <v>3</v>
      </c>
      <c r="B14" s="1">
        <v>46381</v>
      </c>
      <c r="C14" t="s">
        <v>16</v>
      </c>
      <c r="D14" s="2" t="s">
        <v>391</v>
      </c>
    </row>
    <row r="15" spans="1:8" x14ac:dyDescent="0.2">
      <c r="A15" s="5" t="s">
        <v>17</v>
      </c>
      <c r="B15" s="1">
        <v>46300</v>
      </c>
      <c r="C15" t="s">
        <v>18</v>
      </c>
      <c r="D15" s="2" t="s">
        <v>392</v>
      </c>
    </row>
    <row r="16" spans="1:8" x14ac:dyDescent="0.2">
      <c r="A16" s="5" t="s">
        <v>19</v>
      </c>
      <c r="B16" s="1">
        <v>46300</v>
      </c>
      <c r="C16" t="s">
        <v>18</v>
      </c>
      <c r="D16" s="2" t="s">
        <v>393</v>
      </c>
    </row>
    <row r="17" spans="1:3" x14ac:dyDescent="0.2">
      <c r="A17" s="5" t="s">
        <v>20</v>
      </c>
      <c r="B17" s="1">
        <v>46300</v>
      </c>
      <c r="C17" t="s">
        <v>18</v>
      </c>
    </row>
    <row r="18" spans="1:3" x14ac:dyDescent="0.2">
      <c r="A18" s="5" t="s">
        <v>21</v>
      </c>
      <c r="B18" s="1">
        <v>46300</v>
      </c>
      <c r="C18" t="s">
        <v>18</v>
      </c>
    </row>
    <row r="19" spans="1:3" x14ac:dyDescent="0.2">
      <c r="A19" s="5" t="s">
        <v>22</v>
      </c>
      <c r="B19" s="1">
        <v>46031</v>
      </c>
      <c r="C19" t="s">
        <v>18</v>
      </c>
    </row>
    <row r="20" spans="1:3" x14ac:dyDescent="0.2">
      <c r="A20" s="5" t="s">
        <v>23</v>
      </c>
      <c r="B20" s="1">
        <v>46080</v>
      </c>
      <c r="C20" t="s">
        <v>18</v>
      </c>
    </row>
    <row r="21" spans="1:3" x14ac:dyDescent="0.2">
      <c r="A21" s="5" t="s">
        <v>24</v>
      </c>
      <c r="B21" s="1">
        <v>46080</v>
      </c>
      <c r="C21" t="s">
        <v>18</v>
      </c>
    </row>
    <row r="22" spans="1:3" x14ac:dyDescent="0.2">
      <c r="A22" s="5" t="s">
        <v>25</v>
      </c>
      <c r="B22" s="1">
        <v>46080</v>
      </c>
      <c r="C22" t="s">
        <v>18</v>
      </c>
    </row>
    <row r="23" spans="1:3" x14ac:dyDescent="0.2">
      <c r="A23" s="5" t="s">
        <v>26</v>
      </c>
      <c r="B23" s="1">
        <v>46319</v>
      </c>
      <c r="C23" t="s">
        <v>18</v>
      </c>
    </row>
    <row r="24" spans="1:3" x14ac:dyDescent="0.2">
      <c r="A24" s="5" t="s">
        <v>27</v>
      </c>
      <c r="B24" s="1">
        <v>46353</v>
      </c>
      <c r="C24" t="s">
        <v>18</v>
      </c>
    </row>
    <row r="25" spans="1:3" x14ac:dyDescent="0.2">
      <c r="A25" s="5" t="s">
        <v>28</v>
      </c>
      <c r="B25" s="1">
        <v>46065</v>
      </c>
      <c r="C25" t="s">
        <v>18</v>
      </c>
    </row>
    <row r="26" spans="1:3" x14ac:dyDescent="0.2">
      <c r="A26" s="5" t="s">
        <v>29</v>
      </c>
      <c r="B26" s="1">
        <v>46065</v>
      </c>
      <c r="C26" t="s">
        <v>18</v>
      </c>
    </row>
    <row r="27" spans="1:3" x14ac:dyDescent="0.2">
      <c r="A27" s="5" t="s">
        <v>30</v>
      </c>
      <c r="B27" s="1">
        <v>46251</v>
      </c>
      <c r="C27" t="s">
        <v>31</v>
      </c>
    </row>
    <row r="28" spans="1:3" x14ac:dyDescent="0.2">
      <c r="A28" s="5" t="s">
        <v>32</v>
      </c>
      <c r="B28" s="1">
        <v>46251</v>
      </c>
      <c r="C28" t="s">
        <v>31</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74"/>
  <sheetViews>
    <sheetView tabSelected="1" topLeftCell="A144" zoomScale="80" zoomScaleNormal="80" workbookViewId="0">
      <selection activeCell="G2" sqref="G2:G174"/>
    </sheetView>
  </sheetViews>
  <sheetFormatPr baseColWidth="10" defaultColWidth="11.5703125" defaultRowHeight="12.75" x14ac:dyDescent="0.2"/>
  <cols>
    <col min="1" max="1" width="31.5703125" customWidth="1"/>
    <col min="2" max="2" width="53" customWidth="1"/>
    <col min="3" max="3" width="14.42578125" style="6" customWidth="1"/>
    <col min="4" max="4" width="16.5703125" style="7" customWidth="1"/>
    <col min="5" max="5" width="14.5703125" style="8" customWidth="1"/>
    <col min="6" max="6" width="13.42578125" style="8" customWidth="1"/>
    <col min="7" max="7" width="19.7109375" style="8" customWidth="1"/>
    <col min="8" max="8" width="170.28515625" customWidth="1"/>
    <col min="9" max="9" width="105.5703125" customWidth="1"/>
    <col min="10" max="11" width="7.42578125" customWidth="1"/>
    <col min="12" max="12" width="10.140625" customWidth="1"/>
    <col min="13" max="13" width="55.85546875" customWidth="1"/>
  </cols>
  <sheetData>
    <row r="1" spans="1:13" x14ac:dyDescent="0.2">
      <c r="A1" s="2" t="s">
        <v>33</v>
      </c>
      <c r="B1" s="2" t="s">
        <v>34</v>
      </c>
      <c r="C1" s="9" t="s">
        <v>35</v>
      </c>
      <c r="D1" s="10" t="s">
        <v>1</v>
      </c>
      <c r="E1" s="11" t="s">
        <v>36</v>
      </c>
      <c r="F1" s="11" t="s">
        <v>37</v>
      </c>
      <c r="G1" s="12" t="s">
        <v>38</v>
      </c>
      <c r="H1" s="2" t="s">
        <v>39</v>
      </c>
      <c r="I1" s="2" t="s">
        <v>40</v>
      </c>
      <c r="J1" s="2" t="s">
        <v>41</v>
      </c>
      <c r="K1" s="2" t="s">
        <v>413</v>
      </c>
      <c r="L1" s="2" t="s">
        <v>42</v>
      </c>
      <c r="M1" s="2" t="s">
        <v>43</v>
      </c>
    </row>
    <row r="2" spans="1:13" x14ac:dyDescent="0.2">
      <c r="A2" t="s">
        <v>17</v>
      </c>
      <c r="B2" t="s">
        <v>395</v>
      </c>
      <c r="C2" s="6" t="s">
        <v>44</v>
      </c>
      <c r="D2" s="7">
        <v>46083</v>
      </c>
      <c r="E2" s="8">
        <v>46083.893750000003</v>
      </c>
      <c r="F2" s="8">
        <v>46083.999305555597</v>
      </c>
      <c r="G2" s="8">
        <f>F2-E2</f>
        <v>0.10555555559403729</v>
      </c>
      <c r="H2" t="s">
        <v>45</v>
      </c>
      <c r="I2" t="s">
        <v>394</v>
      </c>
      <c r="J2">
        <v>172309</v>
      </c>
      <c r="L2">
        <v>3</v>
      </c>
      <c r="M2" t="s">
        <v>47</v>
      </c>
    </row>
    <row r="3" spans="1:13" x14ac:dyDescent="0.2">
      <c r="A3" t="s">
        <v>17</v>
      </c>
      <c r="B3" t="s">
        <v>396</v>
      </c>
      <c r="C3" s="6" t="s">
        <v>48</v>
      </c>
      <c r="D3" s="7">
        <v>46084</v>
      </c>
      <c r="E3" s="8">
        <v>46084.708333333299</v>
      </c>
      <c r="F3" s="8">
        <v>46084.779861111099</v>
      </c>
      <c r="G3" s="8">
        <f t="shared" ref="G3:G66" si="0">F3-E3</f>
        <v>7.1527777799929027E-2</v>
      </c>
      <c r="H3" t="s">
        <v>49</v>
      </c>
      <c r="I3" t="s">
        <v>50</v>
      </c>
      <c r="J3">
        <v>171915</v>
      </c>
      <c r="L3">
        <v>1</v>
      </c>
      <c r="M3" t="s">
        <v>51</v>
      </c>
    </row>
    <row r="4" spans="1:13" x14ac:dyDescent="0.2">
      <c r="A4" t="s">
        <v>17</v>
      </c>
      <c r="B4" t="s">
        <v>397</v>
      </c>
      <c r="C4" s="6" t="s">
        <v>52</v>
      </c>
      <c r="D4" s="7">
        <v>46085</v>
      </c>
      <c r="E4" s="8">
        <v>46085.28125</v>
      </c>
      <c r="F4" s="8">
        <v>46085.333333333336</v>
      </c>
      <c r="G4" s="8">
        <f t="shared" si="0"/>
        <v>5.2083333335758653E-2</v>
      </c>
      <c r="H4" t="s">
        <v>53</v>
      </c>
      <c r="I4" t="s">
        <v>50</v>
      </c>
      <c r="J4">
        <v>172008</v>
      </c>
      <c r="L4">
        <v>2</v>
      </c>
      <c r="M4" t="s">
        <v>55</v>
      </c>
    </row>
    <row r="5" spans="1:13" x14ac:dyDescent="0.2">
      <c r="A5" t="s">
        <v>17</v>
      </c>
      <c r="B5" t="s">
        <v>395</v>
      </c>
      <c r="C5" s="6" t="s">
        <v>52</v>
      </c>
      <c r="D5" s="7">
        <v>46085</v>
      </c>
      <c r="E5" s="8">
        <v>46085.852083333331</v>
      </c>
      <c r="F5" s="8">
        <v>46085.914583333302</v>
      </c>
      <c r="G5" s="8">
        <f t="shared" si="0"/>
        <v>6.249999997089617E-2</v>
      </c>
      <c r="H5" t="s">
        <v>56</v>
      </c>
      <c r="I5" t="s">
        <v>46</v>
      </c>
      <c r="J5">
        <v>172310</v>
      </c>
      <c r="L5">
        <v>3</v>
      </c>
      <c r="M5" t="s">
        <v>57</v>
      </c>
    </row>
    <row r="6" spans="1:13" x14ac:dyDescent="0.2">
      <c r="A6" t="s">
        <v>17</v>
      </c>
      <c r="B6" t="s">
        <v>395</v>
      </c>
      <c r="C6" s="6" t="s">
        <v>58</v>
      </c>
      <c r="D6" s="7">
        <v>46088</v>
      </c>
      <c r="E6" s="8">
        <v>46088.423611111102</v>
      </c>
      <c r="F6" s="8">
        <v>46088.567361111098</v>
      </c>
      <c r="G6" s="8">
        <f t="shared" si="0"/>
        <v>0.14374999999563443</v>
      </c>
      <c r="H6" t="s">
        <v>59</v>
      </c>
      <c r="I6" t="s">
        <v>60</v>
      </c>
      <c r="J6">
        <v>172367</v>
      </c>
      <c r="L6">
        <v>3</v>
      </c>
      <c r="M6" t="s">
        <v>61</v>
      </c>
    </row>
    <row r="7" spans="1:13" x14ac:dyDescent="0.2">
      <c r="A7" t="s">
        <v>17</v>
      </c>
      <c r="B7" t="s">
        <v>395</v>
      </c>
      <c r="C7" s="6" t="s">
        <v>58</v>
      </c>
      <c r="D7" s="7">
        <v>46088</v>
      </c>
      <c r="E7" s="8">
        <v>46088.684027777803</v>
      </c>
      <c r="F7" s="8">
        <v>46088.778472222199</v>
      </c>
      <c r="G7" s="8">
        <f t="shared" si="0"/>
        <v>9.4444444395776372E-2</v>
      </c>
      <c r="H7" t="s">
        <v>62</v>
      </c>
      <c r="I7" t="s">
        <v>46</v>
      </c>
      <c r="J7">
        <v>172367</v>
      </c>
      <c r="L7">
        <v>3</v>
      </c>
      <c r="M7" t="s">
        <v>61</v>
      </c>
    </row>
    <row r="8" spans="1:13" x14ac:dyDescent="0.2">
      <c r="A8" t="s">
        <v>17</v>
      </c>
      <c r="B8" t="s">
        <v>395</v>
      </c>
      <c r="C8" s="6" t="s">
        <v>63</v>
      </c>
      <c r="D8" s="7">
        <v>46089</v>
      </c>
      <c r="E8" s="8">
        <v>46089.470833333296</v>
      </c>
      <c r="F8" s="8">
        <v>46089.583333333336</v>
      </c>
      <c r="G8" s="8">
        <f t="shared" si="0"/>
        <v>0.11250000003929017</v>
      </c>
      <c r="H8" t="s">
        <v>64</v>
      </c>
      <c r="I8" t="s">
        <v>65</v>
      </c>
      <c r="J8">
        <v>172769</v>
      </c>
      <c r="L8">
        <v>12</v>
      </c>
      <c r="M8" t="s">
        <v>66</v>
      </c>
    </row>
    <row r="9" spans="1:13" x14ac:dyDescent="0.2">
      <c r="A9" t="s">
        <v>17</v>
      </c>
      <c r="B9" t="s">
        <v>395</v>
      </c>
      <c r="C9" s="6" t="s">
        <v>63</v>
      </c>
      <c r="D9" s="7">
        <v>46089</v>
      </c>
      <c r="E9" s="8">
        <v>46089.625</v>
      </c>
      <c r="F9" s="8">
        <v>46089.780555555597</v>
      </c>
      <c r="G9" s="8">
        <f t="shared" si="0"/>
        <v>0.15555555559694767</v>
      </c>
      <c r="H9" t="s">
        <v>64</v>
      </c>
      <c r="I9" t="s">
        <v>65</v>
      </c>
      <c r="J9">
        <v>172769</v>
      </c>
      <c r="L9">
        <v>12</v>
      </c>
      <c r="M9" t="s">
        <v>66</v>
      </c>
    </row>
    <row r="10" spans="1:13" x14ac:dyDescent="0.2">
      <c r="A10" t="s">
        <v>17</v>
      </c>
      <c r="B10" t="s">
        <v>395</v>
      </c>
      <c r="C10" s="6" t="s">
        <v>63</v>
      </c>
      <c r="D10" s="7">
        <v>46089</v>
      </c>
      <c r="E10" s="8">
        <v>46089.996527777803</v>
      </c>
      <c r="F10" s="8">
        <v>46089.999305555597</v>
      </c>
      <c r="G10" s="8">
        <f t="shared" si="0"/>
        <v>2.7777777941082604E-3</v>
      </c>
      <c r="H10" t="s">
        <v>67</v>
      </c>
      <c r="I10" t="s">
        <v>68</v>
      </c>
      <c r="J10">
        <v>172769</v>
      </c>
      <c r="L10">
        <v>1</v>
      </c>
      <c r="M10" t="s">
        <v>66</v>
      </c>
    </row>
    <row r="11" spans="1:13" x14ac:dyDescent="0.2">
      <c r="A11" t="s">
        <v>17</v>
      </c>
      <c r="B11" t="s">
        <v>395</v>
      </c>
      <c r="C11" s="6" t="s">
        <v>44</v>
      </c>
      <c r="D11" s="7">
        <v>46090</v>
      </c>
      <c r="E11" s="8">
        <v>46090</v>
      </c>
      <c r="F11" s="8">
        <v>46090.034027777801</v>
      </c>
      <c r="G11" s="8">
        <f t="shared" si="0"/>
        <v>3.4027777801384218E-2</v>
      </c>
      <c r="H11" t="s">
        <v>69</v>
      </c>
      <c r="I11" t="s">
        <v>70</v>
      </c>
      <c r="J11">
        <v>172862</v>
      </c>
      <c r="L11">
        <v>2</v>
      </c>
      <c r="M11" t="s">
        <v>71</v>
      </c>
    </row>
    <row r="12" spans="1:13" x14ac:dyDescent="0.2">
      <c r="A12" t="s">
        <v>17</v>
      </c>
      <c r="B12" t="s">
        <v>398</v>
      </c>
      <c r="C12" s="6" t="s">
        <v>52</v>
      </c>
      <c r="D12" s="7">
        <v>46092</v>
      </c>
      <c r="E12" s="8">
        <v>46092.291666666701</v>
      </c>
      <c r="F12" s="8">
        <v>46092.333333333336</v>
      </c>
      <c r="G12" s="8">
        <f t="shared" si="0"/>
        <v>4.1666666635137517E-2</v>
      </c>
      <c r="H12" t="s">
        <v>72</v>
      </c>
      <c r="I12" t="s">
        <v>73</v>
      </c>
      <c r="J12">
        <v>172478</v>
      </c>
      <c r="L12">
        <v>2</v>
      </c>
      <c r="M12" t="s">
        <v>74</v>
      </c>
    </row>
    <row r="13" spans="1:13" x14ac:dyDescent="0.2">
      <c r="A13" t="s">
        <v>17</v>
      </c>
      <c r="B13" t="s">
        <v>398</v>
      </c>
      <c r="C13" s="6" t="s">
        <v>52</v>
      </c>
      <c r="D13" s="7">
        <v>46092</v>
      </c>
      <c r="E13" s="8">
        <v>46092.729166666701</v>
      </c>
      <c r="F13" s="8">
        <v>46092.800694444399</v>
      </c>
      <c r="G13" s="8">
        <f t="shared" si="0"/>
        <v>7.152777769806562E-2</v>
      </c>
      <c r="H13" t="s">
        <v>75</v>
      </c>
      <c r="I13" t="s">
        <v>76</v>
      </c>
      <c r="J13">
        <v>172478</v>
      </c>
      <c r="L13">
        <v>3</v>
      </c>
      <c r="M13" t="s">
        <v>74</v>
      </c>
    </row>
    <row r="14" spans="1:13" x14ac:dyDescent="0.2">
      <c r="A14" t="s">
        <v>17</v>
      </c>
      <c r="B14" t="s">
        <v>409</v>
      </c>
      <c r="C14" s="6" t="s">
        <v>77</v>
      </c>
      <c r="D14" s="7">
        <v>46094</v>
      </c>
      <c r="E14" s="8">
        <v>46094.253472222219</v>
      </c>
      <c r="F14" s="8">
        <v>46094.333333333336</v>
      </c>
      <c r="G14" s="8">
        <f t="shared" si="0"/>
        <v>7.9861111116770189E-2</v>
      </c>
      <c r="H14" t="s">
        <v>78</v>
      </c>
      <c r="I14" t="s">
        <v>54</v>
      </c>
      <c r="J14">
        <v>172720</v>
      </c>
      <c r="L14">
        <v>2</v>
      </c>
      <c r="M14" t="s">
        <v>79</v>
      </c>
    </row>
    <row r="15" spans="1:13" x14ac:dyDescent="0.2">
      <c r="A15" t="s">
        <v>17</v>
      </c>
      <c r="B15" t="s">
        <v>410</v>
      </c>
      <c r="C15" s="6" t="s">
        <v>44</v>
      </c>
      <c r="D15" s="7">
        <v>46097</v>
      </c>
      <c r="E15" s="8">
        <v>46097.711805555598</v>
      </c>
      <c r="F15" s="8">
        <v>46097.777083333298</v>
      </c>
      <c r="G15" s="8">
        <f t="shared" si="0"/>
        <v>6.5277777699520811E-2</v>
      </c>
      <c r="H15" t="s">
        <v>80</v>
      </c>
      <c r="I15" t="s">
        <v>81</v>
      </c>
      <c r="J15">
        <v>172774</v>
      </c>
      <c r="L15">
        <v>1</v>
      </c>
      <c r="M15" t="s">
        <v>82</v>
      </c>
    </row>
    <row r="16" spans="1:13" x14ac:dyDescent="0.2">
      <c r="A16" t="s">
        <v>17</v>
      </c>
      <c r="B16" t="s">
        <v>410</v>
      </c>
      <c r="C16" s="6" t="s">
        <v>52</v>
      </c>
      <c r="D16" s="7">
        <v>46099</v>
      </c>
      <c r="E16" s="8">
        <v>46099.708333333299</v>
      </c>
      <c r="F16" s="8">
        <v>46099.854861111096</v>
      </c>
      <c r="G16" s="8">
        <f t="shared" si="0"/>
        <v>0.14652777779701864</v>
      </c>
      <c r="H16" t="s">
        <v>83</v>
      </c>
      <c r="I16" t="s">
        <v>46</v>
      </c>
      <c r="J16">
        <v>172973</v>
      </c>
      <c r="L16">
        <v>3</v>
      </c>
      <c r="M16" t="s">
        <v>84</v>
      </c>
    </row>
    <row r="17" spans="1:13" x14ac:dyDescent="0.2">
      <c r="A17" t="s">
        <v>17</v>
      </c>
      <c r="B17" t="s">
        <v>410</v>
      </c>
      <c r="C17" s="6" t="s">
        <v>85</v>
      </c>
      <c r="D17" s="7">
        <v>46100</v>
      </c>
      <c r="E17" s="8">
        <v>46100.750694444498</v>
      </c>
      <c r="F17" s="8">
        <v>46100.881944444402</v>
      </c>
      <c r="G17" s="8">
        <f t="shared" si="0"/>
        <v>0.13124999990395736</v>
      </c>
      <c r="H17" t="s">
        <v>88</v>
      </c>
      <c r="I17" t="s">
        <v>89</v>
      </c>
      <c r="J17">
        <v>173013</v>
      </c>
      <c r="L17">
        <v>2</v>
      </c>
      <c r="M17" t="s">
        <v>87</v>
      </c>
    </row>
    <row r="18" spans="1:13" x14ac:dyDescent="0.2">
      <c r="A18" t="s">
        <v>17</v>
      </c>
      <c r="B18" t="s">
        <v>411</v>
      </c>
      <c r="C18" s="6" t="s">
        <v>77</v>
      </c>
      <c r="D18" s="7">
        <v>46101</v>
      </c>
      <c r="E18" s="8">
        <v>46101.708333333299</v>
      </c>
      <c r="F18" s="8">
        <v>46101.989583333299</v>
      </c>
      <c r="G18" s="8">
        <f t="shared" si="0"/>
        <v>0.28125</v>
      </c>
      <c r="H18" t="s">
        <v>90</v>
      </c>
      <c r="I18" t="s">
        <v>91</v>
      </c>
      <c r="J18">
        <v>173131</v>
      </c>
      <c r="L18">
        <v>7</v>
      </c>
      <c r="M18" t="s">
        <v>92</v>
      </c>
    </row>
    <row r="19" spans="1:13" x14ac:dyDescent="0.2">
      <c r="A19" t="s">
        <v>17</v>
      </c>
      <c r="B19" t="s">
        <v>412</v>
      </c>
      <c r="C19" s="6" t="s">
        <v>58</v>
      </c>
      <c r="D19" s="7">
        <v>46102</v>
      </c>
      <c r="E19" s="8">
        <v>46102.274305555598</v>
      </c>
      <c r="F19" s="8">
        <v>46102.625</v>
      </c>
      <c r="G19" s="8">
        <f t="shared" si="0"/>
        <v>0.35069444440159714</v>
      </c>
      <c r="H19" t="s">
        <v>93</v>
      </c>
      <c r="I19" t="s">
        <v>94</v>
      </c>
      <c r="J19">
        <v>173245</v>
      </c>
      <c r="L19">
        <v>5</v>
      </c>
      <c r="M19" t="s">
        <v>95</v>
      </c>
    </row>
    <row r="20" spans="1:13" x14ac:dyDescent="0.2">
      <c r="A20" t="s">
        <v>17</v>
      </c>
      <c r="B20" t="s">
        <v>412</v>
      </c>
      <c r="C20" s="6" t="s">
        <v>58</v>
      </c>
      <c r="D20" s="7">
        <v>46102</v>
      </c>
      <c r="E20" s="8">
        <v>46102.666666666664</v>
      </c>
      <c r="F20" s="8">
        <v>46102.697916666701</v>
      </c>
      <c r="G20" s="8">
        <f t="shared" si="0"/>
        <v>3.1250000036379788E-2</v>
      </c>
      <c r="H20" t="s">
        <v>93</v>
      </c>
      <c r="I20" t="s">
        <v>94</v>
      </c>
      <c r="J20">
        <v>173245</v>
      </c>
      <c r="L20">
        <v>5</v>
      </c>
      <c r="M20" t="s">
        <v>95</v>
      </c>
    </row>
    <row r="21" spans="1:13" x14ac:dyDescent="0.2">
      <c r="A21" t="s">
        <v>17</v>
      </c>
      <c r="B21" t="s">
        <v>410</v>
      </c>
      <c r="C21" s="6" t="s">
        <v>58</v>
      </c>
      <c r="D21" s="7">
        <v>46102</v>
      </c>
      <c r="E21" s="8">
        <v>46102.333333333299</v>
      </c>
      <c r="F21" s="8">
        <v>46102.541666666664</v>
      </c>
      <c r="G21" s="8">
        <f t="shared" si="0"/>
        <v>0.20833333336486248</v>
      </c>
      <c r="H21" t="s">
        <v>96</v>
      </c>
      <c r="I21" t="s">
        <v>97</v>
      </c>
      <c r="J21">
        <v>173244</v>
      </c>
      <c r="L21">
        <v>8</v>
      </c>
      <c r="M21" t="s">
        <v>98</v>
      </c>
    </row>
    <row r="22" spans="1:13" x14ac:dyDescent="0.2">
      <c r="A22" t="s">
        <v>17</v>
      </c>
      <c r="B22" t="s">
        <v>410</v>
      </c>
      <c r="C22" s="6" t="s">
        <v>58</v>
      </c>
      <c r="D22" s="7">
        <v>46102</v>
      </c>
      <c r="E22" s="8">
        <v>46102.583333333336</v>
      </c>
      <c r="F22" s="8">
        <v>46102.718055555597</v>
      </c>
      <c r="G22" s="8">
        <f t="shared" si="0"/>
        <v>0.13472222226118902</v>
      </c>
      <c r="H22" t="s">
        <v>96</v>
      </c>
      <c r="I22" t="s">
        <v>97</v>
      </c>
      <c r="J22">
        <v>173244</v>
      </c>
      <c r="L22">
        <v>8</v>
      </c>
      <c r="M22" t="s">
        <v>98</v>
      </c>
    </row>
    <row r="23" spans="1:13" x14ac:dyDescent="0.2">
      <c r="A23" t="s">
        <v>17</v>
      </c>
      <c r="B23" t="s">
        <v>410</v>
      </c>
      <c r="C23" s="6" t="s">
        <v>58</v>
      </c>
      <c r="D23" s="7">
        <v>46102</v>
      </c>
      <c r="E23" s="8">
        <v>46102.7944444444</v>
      </c>
      <c r="F23" s="8">
        <v>46102.911111111098</v>
      </c>
      <c r="G23" s="8">
        <f t="shared" si="0"/>
        <v>0.11666666669771075</v>
      </c>
      <c r="H23" t="s">
        <v>99</v>
      </c>
      <c r="I23" t="s">
        <v>54</v>
      </c>
      <c r="J23">
        <v>173244</v>
      </c>
      <c r="L23">
        <v>2</v>
      </c>
      <c r="M23" t="s">
        <v>98</v>
      </c>
    </row>
    <row r="24" spans="1:13" x14ac:dyDescent="0.2">
      <c r="A24" t="s">
        <v>17</v>
      </c>
      <c r="B24" t="s">
        <v>412</v>
      </c>
      <c r="C24" s="6" t="s">
        <v>63</v>
      </c>
      <c r="D24" s="7">
        <v>46103</v>
      </c>
      <c r="E24" s="8">
        <v>46103.277777777803</v>
      </c>
      <c r="F24" s="8">
        <v>46103.5805555556</v>
      </c>
      <c r="G24" s="8">
        <f t="shared" si="0"/>
        <v>0.30277777779701864</v>
      </c>
      <c r="H24" t="s">
        <v>100</v>
      </c>
      <c r="I24" t="s">
        <v>101</v>
      </c>
      <c r="J24">
        <v>173247</v>
      </c>
      <c r="L24">
        <v>5</v>
      </c>
      <c r="M24" t="s">
        <v>102</v>
      </c>
    </row>
    <row r="25" spans="1:13" x14ac:dyDescent="0.2">
      <c r="A25" t="s">
        <v>17</v>
      </c>
      <c r="B25" t="s">
        <v>410</v>
      </c>
      <c r="C25" s="6" t="s">
        <v>63</v>
      </c>
      <c r="D25" s="7">
        <v>46103</v>
      </c>
      <c r="E25" s="8">
        <v>46103.270833333299</v>
      </c>
      <c r="F25" s="8">
        <v>46103.5625</v>
      </c>
      <c r="G25" s="8">
        <f t="shared" si="0"/>
        <v>0.29166666670062114</v>
      </c>
      <c r="H25" t="s">
        <v>103</v>
      </c>
      <c r="I25" t="s">
        <v>104</v>
      </c>
      <c r="J25">
        <v>173284</v>
      </c>
      <c r="L25">
        <v>6</v>
      </c>
      <c r="M25" t="s">
        <v>105</v>
      </c>
    </row>
    <row r="26" spans="1:13" x14ac:dyDescent="0.2">
      <c r="A26" t="s">
        <v>17</v>
      </c>
      <c r="B26" t="s">
        <v>410</v>
      </c>
      <c r="C26" s="6" t="s">
        <v>63</v>
      </c>
      <c r="D26" s="7">
        <v>46103</v>
      </c>
      <c r="E26" s="8">
        <v>46103.604166666664</v>
      </c>
      <c r="F26" s="8">
        <v>46103.681944444397</v>
      </c>
      <c r="G26" s="8">
        <f t="shared" si="0"/>
        <v>7.7777777732990216E-2</v>
      </c>
      <c r="H26" t="s">
        <v>103</v>
      </c>
      <c r="I26" t="s">
        <v>104</v>
      </c>
      <c r="J26">
        <v>173284</v>
      </c>
      <c r="L26">
        <v>6</v>
      </c>
      <c r="M26" t="s">
        <v>105</v>
      </c>
    </row>
    <row r="27" spans="1:13" x14ac:dyDescent="0.2">
      <c r="A27" t="s">
        <v>19</v>
      </c>
      <c r="B27" t="s">
        <v>414</v>
      </c>
      <c r="C27" s="6" t="s">
        <v>48</v>
      </c>
      <c r="D27" s="7">
        <v>46091</v>
      </c>
      <c r="E27" s="8">
        <v>46091.716666666704</v>
      </c>
      <c r="F27" s="8">
        <v>46091.901388888902</v>
      </c>
      <c r="G27" s="8">
        <f t="shared" si="0"/>
        <v>0.18472222219861578</v>
      </c>
      <c r="H27" t="s">
        <v>106</v>
      </c>
      <c r="I27" t="s">
        <v>107</v>
      </c>
      <c r="J27">
        <v>172425</v>
      </c>
      <c r="L27">
        <v>5</v>
      </c>
      <c r="M27" t="s">
        <v>108</v>
      </c>
    </row>
    <row r="28" spans="1:13" x14ac:dyDescent="0.2">
      <c r="A28" t="s">
        <v>19</v>
      </c>
      <c r="B28" t="s">
        <v>415</v>
      </c>
      <c r="C28" s="6" t="s">
        <v>52</v>
      </c>
      <c r="D28" s="7">
        <v>46092</v>
      </c>
      <c r="E28" s="8">
        <v>0.70833333333333337</v>
      </c>
      <c r="F28" s="8">
        <v>46092.7993055556</v>
      </c>
      <c r="G28" s="8">
        <f t="shared" si="0"/>
        <v>46092.090972222264</v>
      </c>
      <c r="H28" t="s">
        <v>109</v>
      </c>
      <c r="I28" t="s">
        <v>68</v>
      </c>
      <c r="J28">
        <v>172427</v>
      </c>
      <c r="L28">
        <v>1</v>
      </c>
      <c r="M28" t="s">
        <v>110</v>
      </c>
    </row>
    <row r="29" spans="1:13" x14ac:dyDescent="0.2">
      <c r="A29" t="s">
        <v>19</v>
      </c>
      <c r="B29" t="s">
        <v>414</v>
      </c>
      <c r="C29" s="6" t="s">
        <v>52</v>
      </c>
      <c r="D29" s="7">
        <v>46092</v>
      </c>
      <c r="E29" s="8">
        <v>46092.988194444399</v>
      </c>
      <c r="F29" s="8">
        <v>46092.999305555597</v>
      </c>
      <c r="G29" s="8">
        <f t="shared" si="0"/>
        <v>1.1111111198260915E-2</v>
      </c>
      <c r="H29" t="s">
        <v>111</v>
      </c>
      <c r="I29" t="s">
        <v>50</v>
      </c>
      <c r="J29">
        <v>172427</v>
      </c>
      <c r="L29">
        <v>1</v>
      </c>
      <c r="M29" t="s">
        <v>110</v>
      </c>
    </row>
    <row r="30" spans="1:13" x14ac:dyDescent="0.2">
      <c r="A30" t="s">
        <v>19</v>
      </c>
      <c r="B30" t="s">
        <v>414</v>
      </c>
      <c r="C30" s="6" t="s">
        <v>85</v>
      </c>
      <c r="D30" s="7">
        <v>46093</v>
      </c>
      <c r="E30" s="8">
        <v>46093.000694444498</v>
      </c>
      <c r="F30" s="8">
        <v>46093.029861111099</v>
      </c>
      <c r="G30" s="8">
        <f t="shared" si="0"/>
        <v>2.9166666601668112E-2</v>
      </c>
      <c r="H30" t="s">
        <v>111</v>
      </c>
      <c r="I30" t="s">
        <v>50</v>
      </c>
      <c r="J30">
        <v>172582</v>
      </c>
      <c r="L30">
        <v>1</v>
      </c>
      <c r="M30" t="s">
        <v>112</v>
      </c>
    </row>
    <row r="31" spans="1:13" x14ac:dyDescent="0.2">
      <c r="A31" t="s">
        <v>19</v>
      </c>
      <c r="B31" t="s">
        <v>416</v>
      </c>
      <c r="C31" s="6" t="s">
        <v>58</v>
      </c>
      <c r="D31" s="7">
        <v>46095</v>
      </c>
      <c r="E31" s="8">
        <v>46095.333333333299</v>
      </c>
      <c r="F31" s="8">
        <v>46095.479861111096</v>
      </c>
      <c r="G31" s="8">
        <f t="shared" si="0"/>
        <v>0.14652777779701864</v>
      </c>
      <c r="H31" t="s">
        <v>113</v>
      </c>
      <c r="I31" t="s">
        <v>60</v>
      </c>
      <c r="J31">
        <v>172759</v>
      </c>
      <c r="L31">
        <v>3</v>
      </c>
      <c r="M31" t="s">
        <v>114</v>
      </c>
    </row>
    <row r="32" spans="1:13" x14ac:dyDescent="0.2">
      <c r="A32" t="s">
        <v>19</v>
      </c>
      <c r="B32" t="s">
        <v>417</v>
      </c>
      <c r="C32" s="6" t="s">
        <v>63</v>
      </c>
      <c r="D32" s="7">
        <v>46096</v>
      </c>
      <c r="E32" s="8">
        <v>46096.435416666704</v>
      </c>
      <c r="F32" s="8">
        <v>46096.542361111096</v>
      </c>
      <c r="G32" s="8">
        <f t="shared" si="0"/>
        <v>0.10694444439286599</v>
      </c>
      <c r="H32" t="s">
        <v>115</v>
      </c>
      <c r="I32" t="s">
        <v>116</v>
      </c>
      <c r="J32">
        <v>172766</v>
      </c>
      <c r="L32">
        <v>4</v>
      </c>
      <c r="M32" t="s">
        <v>117</v>
      </c>
    </row>
    <row r="33" spans="1:13" x14ac:dyDescent="0.2">
      <c r="A33" t="s">
        <v>19</v>
      </c>
      <c r="B33" t="s">
        <v>419</v>
      </c>
      <c r="C33" s="6" t="s">
        <v>85</v>
      </c>
      <c r="D33" s="7">
        <v>46100</v>
      </c>
      <c r="E33" s="8">
        <v>0.70833333333333337</v>
      </c>
      <c r="F33" s="8">
        <v>46100.770833333299</v>
      </c>
      <c r="G33" s="8">
        <f t="shared" si="0"/>
        <v>46100.062499999964</v>
      </c>
      <c r="H33" t="s">
        <v>418</v>
      </c>
      <c r="I33" t="s">
        <v>118</v>
      </c>
      <c r="J33">
        <v>172959</v>
      </c>
      <c r="L33">
        <v>2</v>
      </c>
      <c r="M33" t="s">
        <v>119</v>
      </c>
    </row>
    <row r="34" spans="1:13" x14ac:dyDescent="0.2">
      <c r="A34" t="s">
        <v>19</v>
      </c>
      <c r="B34" t="s">
        <v>417</v>
      </c>
      <c r="C34" s="6" t="s">
        <v>85</v>
      </c>
      <c r="D34" s="7">
        <v>46100</v>
      </c>
      <c r="E34" s="8">
        <v>0.70833333333333337</v>
      </c>
      <c r="F34" s="8">
        <v>46100.75</v>
      </c>
      <c r="G34" s="8">
        <f t="shared" si="0"/>
        <v>46100.041666666664</v>
      </c>
      <c r="H34" t="s">
        <v>418</v>
      </c>
      <c r="I34" t="s">
        <v>118</v>
      </c>
      <c r="J34">
        <v>172959</v>
      </c>
      <c r="L34">
        <v>2</v>
      </c>
      <c r="M34" t="s">
        <v>119</v>
      </c>
    </row>
    <row r="35" spans="1:13" x14ac:dyDescent="0.2">
      <c r="A35" t="s">
        <v>19</v>
      </c>
      <c r="B35" t="s">
        <v>415</v>
      </c>
      <c r="C35" s="6" t="s">
        <v>77</v>
      </c>
      <c r="D35" s="7">
        <v>46101</v>
      </c>
      <c r="E35" s="8">
        <v>46101.708333333299</v>
      </c>
      <c r="F35" s="8">
        <v>46101.887499999997</v>
      </c>
      <c r="G35" s="8">
        <f t="shared" si="0"/>
        <v>0.17916666669771075</v>
      </c>
      <c r="H35" t="s">
        <v>120</v>
      </c>
      <c r="I35" t="s">
        <v>60</v>
      </c>
      <c r="J35">
        <v>173125</v>
      </c>
      <c r="L35">
        <v>3</v>
      </c>
      <c r="M35" t="s">
        <v>121</v>
      </c>
    </row>
    <row r="36" spans="1:13" x14ac:dyDescent="0.2">
      <c r="A36" t="s">
        <v>22</v>
      </c>
      <c r="B36" t="s">
        <v>420</v>
      </c>
      <c r="C36" s="6" t="s">
        <v>58</v>
      </c>
      <c r="D36" s="7">
        <v>46088</v>
      </c>
      <c r="E36" s="8">
        <v>46088.593055555597</v>
      </c>
      <c r="F36" s="8">
        <v>46088.673611111102</v>
      </c>
      <c r="G36" s="8">
        <f t="shared" si="0"/>
        <v>8.0555555505270604E-2</v>
      </c>
      <c r="H36" t="s">
        <v>122</v>
      </c>
      <c r="I36" t="s">
        <v>123</v>
      </c>
      <c r="J36">
        <v>172297</v>
      </c>
      <c r="L36">
        <v>4</v>
      </c>
      <c r="M36" t="s">
        <v>124</v>
      </c>
    </row>
    <row r="37" spans="1:13" x14ac:dyDescent="0.2">
      <c r="A37" t="s">
        <v>22</v>
      </c>
      <c r="B37" t="s">
        <v>420</v>
      </c>
      <c r="C37" s="6" t="s">
        <v>63</v>
      </c>
      <c r="D37" s="7">
        <v>46089</v>
      </c>
      <c r="E37" s="8">
        <v>46089.425000000003</v>
      </c>
      <c r="F37" s="8">
        <v>46089.541666666701</v>
      </c>
      <c r="G37" s="8">
        <f t="shared" si="0"/>
        <v>0.11666666669771075</v>
      </c>
      <c r="H37" t="s">
        <v>125</v>
      </c>
      <c r="I37" t="s">
        <v>126</v>
      </c>
      <c r="J37">
        <v>172299</v>
      </c>
      <c r="L37">
        <v>6</v>
      </c>
      <c r="M37" t="s">
        <v>127</v>
      </c>
    </row>
    <row r="38" spans="1:13" x14ac:dyDescent="0.2">
      <c r="A38" t="s">
        <v>22</v>
      </c>
      <c r="B38" t="s">
        <v>422</v>
      </c>
      <c r="C38" s="6" t="s">
        <v>48</v>
      </c>
      <c r="D38" s="7">
        <v>46091</v>
      </c>
      <c r="E38" s="8">
        <v>46091.708333333336</v>
      </c>
      <c r="F38" s="8">
        <v>46091.802777777797</v>
      </c>
      <c r="G38" s="8">
        <f t="shared" si="0"/>
        <v>9.4444444461259991E-2</v>
      </c>
      <c r="H38" t="s">
        <v>128</v>
      </c>
      <c r="I38" t="s">
        <v>54</v>
      </c>
      <c r="J38">
        <v>172434</v>
      </c>
      <c r="L38">
        <v>2</v>
      </c>
      <c r="M38" t="s">
        <v>129</v>
      </c>
    </row>
    <row r="39" spans="1:13" x14ac:dyDescent="0.2">
      <c r="A39" t="s">
        <v>22</v>
      </c>
      <c r="B39" t="s">
        <v>422</v>
      </c>
      <c r="C39" s="6" t="s">
        <v>52</v>
      </c>
      <c r="D39" s="7">
        <v>46092</v>
      </c>
      <c r="E39" s="8">
        <v>46092.708333333336</v>
      </c>
      <c r="F39" s="8">
        <v>46092.858333333301</v>
      </c>
      <c r="G39" s="8">
        <f t="shared" si="0"/>
        <v>0.1499999999650754</v>
      </c>
      <c r="H39" t="s">
        <v>421</v>
      </c>
      <c r="I39" t="s">
        <v>86</v>
      </c>
      <c r="J39">
        <v>172556</v>
      </c>
      <c r="L39">
        <v>2</v>
      </c>
      <c r="M39" t="s">
        <v>130</v>
      </c>
    </row>
    <row r="40" spans="1:13" x14ac:dyDescent="0.2">
      <c r="A40" t="s">
        <v>22</v>
      </c>
      <c r="B40" t="s">
        <v>423</v>
      </c>
      <c r="C40" s="6" t="s">
        <v>77</v>
      </c>
      <c r="D40" s="7">
        <v>46094</v>
      </c>
      <c r="E40" s="8">
        <v>46094.708333333299</v>
      </c>
      <c r="F40" s="8">
        <v>46094.791666666701</v>
      </c>
      <c r="G40" s="8">
        <f t="shared" si="0"/>
        <v>8.3333333401242271E-2</v>
      </c>
      <c r="H40" t="s">
        <v>132</v>
      </c>
      <c r="I40" t="s">
        <v>133</v>
      </c>
      <c r="J40">
        <v>172665</v>
      </c>
      <c r="L40">
        <v>3</v>
      </c>
      <c r="M40" t="s">
        <v>134</v>
      </c>
    </row>
    <row r="41" spans="1:13" x14ac:dyDescent="0.2">
      <c r="A41" t="s">
        <v>22</v>
      </c>
      <c r="B41" t="s">
        <v>423</v>
      </c>
      <c r="C41" s="6" t="s">
        <v>44</v>
      </c>
      <c r="D41" s="7">
        <v>46097</v>
      </c>
      <c r="E41" s="8">
        <v>46097.708333333336</v>
      </c>
      <c r="F41" s="8">
        <v>46097.758333333302</v>
      </c>
      <c r="G41" s="8">
        <f t="shared" si="0"/>
        <v>4.9999999966530595E-2</v>
      </c>
      <c r="H41" t="s">
        <v>135</v>
      </c>
      <c r="I41" t="s">
        <v>136</v>
      </c>
      <c r="J41">
        <v>172803</v>
      </c>
      <c r="L41">
        <v>2</v>
      </c>
      <c r="M41" t="s">
        <v>137</v>
      </c>
    </row>
    <row r="42" spans="1:13" x14ac:dyDescent="0.2">
      <c r="A42" t="s">
        <v>22</v>
      </c>
      <c r="B42" t="s">
        <v>423</v>
      </c>
      <c r="C42" s="6" t="s">
        <v>77</v>
      </c>
      <c r="D42" s="7">
        <v>46101</v>
      </c>
      <c r="E42" s="8">
        <v>46101.708333333299</v>
      </c>
      <c r="F42" s="8">
        <v>46101.791666666701</v>
      </c>
      <c r="G42" s="8">
        <f t="shared" si="0"/>
        <v>8.3333333401242271E-2</v>
      </c>
      <c r="H42" t="s">
        <v>138</v>
      </c>
      <c r="I42" t="s">
        <v>139</v>
      </c>
      <c r="J42">
        <v>173113</v>
      </c>
      <c r="L42">
        <v>4</v>
      </c>
      <c r="M42" t="s">
        <v>140</v>
      </c>
    </row>
    <row r="43" spans="1:13" x14ac:dyDescent="0.2">
      <c r="A43" t="s">
        <v>22</v>
      </c>
      <c r="B43" t="s">
        <v>422</v>
      </c>
      <c r="C43" s="6" t="s">
        <v>58</v>
      </c>
      <c r="D43" s="7">
        <v>46102</v>
      </c>
      <c r="E43" s="8">
        <v>46102.270833333299</v>
      </c>
      <c r="F43" s="8">
        <v>46102.541666666664</v>
      </c>
      <c r="G43" s="8">
        <f t="shared" si="0"/>
        <v>0.27083333336486248</v>
      </c>
      <c r="H43" t="s">
        <v>141</v>
      </c>
      <c r="I43" t="s">
        <v>142</v>
      </c>
      <c r="J43">
        <v>173299</v>
      </c>
      <c r="L43">
        <v>4</v>
      </c>
      <c r="M43" t="s">
        <v>143</v>
      </c>
    </row>
    <row r="44" spans="1:13" x14ac:dyDescent="0.2">
      <c r="A44" t="s">
        <v>22</v>
      </c>
      <c r="B44" t="s">
        <v>422</v>
      </c>
      <c r="C44" s="6" t="s">
        <v>58</v>
      </c>
      <c r="D44" s="7">
        <v>46102</v>
      </c>
      <c r="E44" s="8">
        <v>46102.583333333336</v>
      </c>
      <c r="F44" s="8">
        <v>46102.708333333299</v>
      </c>
      <c r="G44" s="8">
        <f t="shared" si="0"/>
        <v>0.12499999996362021</v>
      </c>
      <c r="H44" t="s">
        <v>141</v>
      </c>
      <c r="I44" t="s">
        <v>142</v>
      </c>
      <c r="J44">
        <v>173299</v>
      </c>
      <c r="L44">
        <v>4</v>
      </c>
      <c r="M44" t="s">
        <v>143</v>
      </c>
    </row>
    <row r="45" spans="1:13" x14ac:dyDescent="0.2">
      <c r="A45" t="s">
        <v>22</v>
      </c>
      <c r="B45" t="s">
        <v>422</v>
      </c>
      <c r="C45" s="6" t="s">
        <v>63</v>
      </c>
      <c r="D45" s="7">
        <v>46103</v>
      </c>
      <c r="E45" s="8">
        <v>46103.270833333299</v>
      </c>
      <c r="F45" s="8">
        <v>46103.583333333336</v>
      </c>
      <c r="G45" s="8">
        <f t="shared" si="0"/>
        <v>0.31250000003637979</v>
      </c>
      <c r="H45" t="s">
        <v>144</v>
      </c>
      <c r="I45" t="s">
        <v>145</v>
      </c>
      <c r="J45">
        <v>173351</v>
      </c>
      <c r="L45">
        <v>4</v>
      </c>
      <c r="M45" t="s">
        <v>146</v>
      </c>
    </row>
    <row r="46" spans="1:13" x14ac:dyDescent="0.2">
      <c r="A46" t="s">
        <v>22</v>
      </c>
      <c r="B46" t="s">
        <v>422</v>
      </c>
      <c r="C46" s="6" t="s">
        <v>63</v>
      </c>
      <c r="D46" s="7">
        <v>46103</v>
      </c>
      <c r="E46" s="8">
        <v>46103.625</v>
      </c>
      <c r="F46" s="8">
        <v>46103.736111111102</v>
      </c>
      <c r="G46" s="8">
        <f t="shared" si="0"/>
        <v>0.11111111110221827</v>
      </c>
      <c r="H46" t="s">
        <v>144</v>
      </c>
      <c r="I46" t="s">
        <v>145</v>
      </c>
      <c r="J46">
        <v>173351</v>
      </c>
      <c r="L46">
        <v>4</v>
      </c>
      <c r="M46" t="s">
        <v>146</v>
      </c>
    </row>
    <row r="47" spans="1:13" x14ac:dyDescent="0.2">
      <c r="A47" t="s">
        <v>22</v>
      </c>
      <c r="B47" t="s">
        <v>425</v>
      </c>
      <c r="C47" s="6" t="s">
        <v>63</v>
      </c>
      <c r="D47" s="7">
        <v>46103</v>
      </c>
      <c r="E47" s="8">
        <v>46103.777777777803</v>
      </c>
      <c r="F47" s="8">
        <v>46103.90625</v>
      </c>
      <c r="G47" s="8">
        <f t="shared" si="0"/>
        <v>0.12847222219716059</v>
      </c>
      <c r="H47" t="s">
        <v>147</v>
      </c>
      <c r="I47" t="s">
        <v>116</v>
      </c>
      <c r="J47">
        <v>173346</v>
      </c>
      <c r="L47">
        <v>4</v>
      </c>
      <c r="M47" t="s">
        <v>148</v>
      </c>
    </row>
    <row r="48" spans="1:13" x14ac:dyDescent="0.2">
      <c r="A48" t="s">
        <v>23</v>
      </c>
      <c r="B48" t="s">
        <v>426</v>
      </c>
      <c r="C48" s="6" t="s">
        <v>63</v>
      </c>
      <c r="D48" s="7">
        <v>46082</v>
      </c>
      <c r="E48" s="8">
        <v>46082.6472222222</v>
      </c>
      <c r="F48" s="8">
        <v>46082.6694444444</v>
      </c>
      <c r="G48" s="8">
        <f t="shared" si="0"/>
        <v>2.2222222200070973E-2</v>
      </c>
      <c r="H48" t="s">
        <v>149</v>
      </c>
      <c r="I48" t="s">
        <v>150</v>
      </c>
      <c r="J48">
        <v>171790</v>
      </c>
      <c r="L48">
        <v>2</v>
      </c>
      <c r="M48" t="s">
        <v>151</v>
      </c>
    </row>
    <row r="49" spans="1:13" x14ac:dyDescent="0.2">
      <c r="A49" t="s">
        <v>23</v>
      </c>
      <c r="B49" t="s">
        <v>426</v>
      </c>
      <c r="C49" s="6" t="s">
        <v>63</v>
      </c>
      <c r="D49" s="7">
        <v>46082</v>
      </c>
      <c r="E49" s="8">
        <v>46082.7993055556</v>
      </c>
      <c r="F49" s="8">
        <v>46082.864583333299</v>
      </c>
      <c r="G49" s="8">
        <f t="shared" si="0"/>
        <v>6.5277777699520811E-2</v>
      </c>
      <c r="H49" t="s">
        <v>152</v>
      </c>
      <c r="I49" t="s">
        <v>60</v>
      </c>
      <c r="J49">
        <v>171790</v>
      </c>
      <c r="L49">
        <v>3</v>
      </c>
      <c r="M49" t="s">
        <v>151</v>
      </c>
    </row>
    <row r="50" spans="1:13" x14ac:dyDescent="0.2">
      <c r="A50" t="s">
        <v>23</v>
      </c>
      <c r="B50" t="s">
        <v>427</v>
      </c>
      <c r="C50" s="6" t="s">
        <v>44</v>
      </c>
      <c r="D50" s="7">
        <v>46090</v>
      </c>
      <c r="E50" s="8">
        <v>46090.78125</v>
      </c>
      <c r="F50" s="8">
        <v>46090.802777777797</v>
      </c>
      <c r="G50" s="8">
        <f t="shared" si="0"/>
        <v>2.1527777797018643E-2</v>
      </c>
      <c r="H50" t="s">
        <v>153</v>
      </c>
      <c r="I50" t="s">
        <v>60</v>
      </c>
      <c r="J50">
        <v>172573</v>
      </c>
      <c r="L50">
        <v>3</v>
      </c>
      <c r="M50" t="s">
        <v>154</v>
      </c>
    </row>
    <row r="51" spans="1:13" x14ac:dyDescent="0.2">
      <c r="A51" t="s">
        <v>23</v>
      </c>
      <c r="B51" t="s">
        <v>427</v>
      </c>
      <c r="C51" s="6" t="s">
        <v>44</v>
      </c>
      <c r="D51" s="7">
        <v>46090</v>
      </c>
      <c r="E51" s="8">
        <v>46090.861111111102</v>
      </c>
      <c r="F51" s="8">
        <v>46090.90625</v>
      </c>
      <c r="G51" s="8">
        <f t="shared" si="0"/>
        <v>4.5138888897781726E-2</v>
      </c>
      <c r="H51" t="s">
        <v>155</v>
      </c>
      <c r="I51" t="s">
        <v>46</v>
      </c>
      <c r="J51">
        <v>172573</v>
      </c>
      <c r="L51">
        <v>3</v>
      </c>
      <c r="M51" t="s">
        <v>154</v>
      </c>
    </row>
    <row r="52" spans="1:13" x14ac:dyDescent="0.2">
      <c r="A52" t="s">
        <v>23</v>
      </c>
      <c r="B52" t="s">
        <v>427</v>
      </c>
      <c r="C52" s="6" t="s">
        <v>85</v>
      </c>
      <c r="D52" s="7">
        <v>46093</v>
      </c>
      <c r="E52" s="8">
        <v>46093.895138888904</v>
      </c>
      <c r="F52" s="8">
        <v>46093.929166666698</v>
      </c>
      <c r="G52" s="8">
        <f t="shared" si="0"/>
        <v>3.402777779410826E-2</v>
      </c>
      <c r="H52" t="s">
        <v>156</v>
      </c>
      <c r="I52" t="s">
        <v>60</v>
      </c>
      <c r="J52">
        <v>172695</v>
      </c>
      <c r="L52">
        <v>3</v>
      </c>
      <c r="M52" t="s">
        <v>157</v>
      </c>
    </row>
    <row r="53" spans="1:13" x14ac:dyDescent="0.2">
      <c r="A53" t="s">
        <v>23</v>
      </c>
      <c r="B53" t="s">
        <v>427</v>
      </c>
      <c r="C53" s="6" t="s">
        <v>77</v>
      </c>
      <c r="D53" s="7">
        <v>46094</v>
      </c>
      <c r="E53" s="8">
        <v>46094.823611111096</v>
      </c>
      <c r="F53" s="8">
        <v>46094.872916666704</v>
      </c>
      <c r="G53" s="8">
        <f t="shared" si="0"/>
        <v>4.9305555607134011E-2</v>
      </c>
      <c r="H53" t="s">
        <v>428</v>
      </c>
      <c r="I53" t="s">
        <v>68</v>
      </c>
      <c r="J53">
        <v>172697</v>
      </c>
      <c r="L53">
        <v>1</v>
      </c>
      <c r="M53" t="s">
        <v>158</v>
      </c>
    </row>
    <row r="54" spans="1:13" x14ac:dyDescent="0.2">
      <c r="A54" t="s">
        <v>23</v>
      </c>
      <c r="B54" t="s">
        <v>427</v>
      </c>
      <c r="C54" s="6" t="s">
        <v>77</v>
      </c>
      <c r="D54" s="7">
        <v>46094</v>
      </c>
      <c r="E54" s="8">
        <v>46094.938194444498</v>
      </c>
      <c r="F54" s="8">
        <v>46094.999305555553</v>
      </c>
      <c r="G54" s="8">
        <f t="shared" si="0"/>
        <v>6.1111111055652145E-2</v>
      </c>
      <c r="H54" t="s">
        <v>159</v>
      </c>
      <c r="I54" t="s">
        <v>68</v>
      </c>
      <c r="J54">
        <v>172697</v>
      </c>
      <c r="L54">
        <v>1</v>
      </c>
      <c r="M54" t="s">
        <v>158</v>
      </c>
    </row>
    <row r="55" spans="1:13" x14ac:dyDescent="0.2">
      <c r="A55" t="s">
        <v>23</v>
      </c>
      <c r="B55" t="s">
        <v>427</v>
      </c>
      <c r="C55" s="6" t="s">
        <v>58</v>
      </c>
      <c r="D55" s="7">
        <v>46095</v>
      </c>
      <c r="E55" s="8">
        <v>46095</v>
      </c>
      <c r="F55" s="8">
        <v>46095.065972222197</v>
      </c>
      <c r="G55" s="8">
        <f t="shared" si="0"/>
        <v>6.597222219716059E-2</v>
      </c>
      <c r="H55" t="s">
        <v>160</v>
      </c>
      <c r="I55" t="s">
        <v>136</v>
      </c>
      <c r="J55">
        <v>172699</v>
      </c>
      <c r="L55">
        <v>2</v>
      </c>
      <c r="M55" t="s">
        <v>161</v>
      </c>
    </row>
    <row r="56" spans="1:13" x14ac:dyDescent="0.2">
      <c r="A56" t="s">
        <v>23</v>
      </c>
      <c r="B56" t="s">
        <v>427</v>
      </c>
      <c r="C56" s="6" t="s">
        <v>58</v>
      </c>
      <c r="D56" s="7">
        <v>46095</v>
      </c>
      <c r="E56" s="8">
        <v>46095.374305555597</v>
      </c>
      <c r="F56" s="8">
        <v>46095.541666666664</v>
      </c>
      <c r="G56" s="8">
        <f t="shared" si="0"/>
        <v>0.16736111106729368</v>
      </c>
      <c r="H56" t="s">
        <v>162</v>
      </c>
      <c r="I56" t="s">
        <v>163</v>
      </c>
      <c r="J56">
        <v>172699</v>
      </c>
      <c r="L56">
        <v>9</v>
      </c>
      <c r="M56" t="s">
        <v>161</v>
      </c>
    </row>
    <row r="57" spans="1:13" x14ac:dyDescent="0.2">
      <c r="A57" t="s">
        <v>23</v>
      </c>
      <c r="B57" t="s">
        <v>427</v>
      </c>
      <c r="C57" s="6" t="s">
        <v>58</v>
      </c>
      <c r="D57" s="7">
        <v>46095</v>
      </c>
      <c r="E57" s="8">
        <v>46095.583333333336</v>
      </c>
      <c r="F57" s="8">
        <v>46095.699305555601</v>
      </c>
      <c r="G57" s="8">
        <f t="shared" si="0"/>
        <v>0.11597222226555459</v>
      </c>
      <c r="H57" t="s">
        <v>162</v>
      </c>
      <c r="I57" t="s">
        <v>163</v>
      </c>
      <c r="J57">
        <v>172699</v>
      </c>
      <c r="L57">
        <v>9</v>
      </c>
      <c r="M57" t="s">
        <v>161</v>
      </c>
    </row>
    <row r="58" spans="1:13" x14ac:dyDescent="0.2">
      <c r="A58" t="s">
        <v>23</v>
      </c>
      <c r="B58" t="s">
        <v>427</v>
      </c>
      <c r="C58" s="6" t="s">
        <v>63</v>
      </c>
      <c r="D58" s="7">
        <v>46096</v>
      </c>
      <c r="E58" s="8">
        <v>46096.333333333299</v>
      </c>
      <c r="F58" s="8">
        <v>46096.493055555598</v>
      </c>
      <c r="G58" s="8">
        <f t="shared" si="0"/>
        <v>0.159722222299024</v>
      </c>
      <c r="H58" t="s">
        <v>164</v>
      </c>
      <c r="I58" t="s">
        <v>101</v>
      </c>
      <c r="J58">
        <v>172758</v>
      </c>
      <c r="L58">
        <v>5</v>
      </c>
      <c r="M58" t="s">
        <v>165</v>
      </c>
    </row>
    <row r="59" spans="1:13" x14ac:dyDescent="0.2">
      <c r="A59" t="s">
        <v>23</v>
      </c>
      <c r="B59" t="s">
        <v>427</v>
      </c>
      <c r="C59" s="6" t="s">
        <v>63</v>
      </c>
      <c r="D59" s="7">
        <v>46096</v>
      </c>
      <c r="E59" s="8">
        <v>46096.6069444444</v>
      </c>
      <c r="F59" s="8">
        <v>46096.628472222197</v>
      </c>
      <c r="G59" s="8">
        <f t="shared" si="0"/>
        <v>2.1527777797018643E-2</v>
      </c>
      <c r="H59" t="s">
        <v>166</v>
      </c>
      <c r="I59" t="s">
        <v>131</v>
      </c>
      <c r="J59">
        <v>172758</v>
      </c>
      <c r="L59">
        <v>3</v>
      </c>
      <c r="M59" t="s">
        <v>165</v>
      </c>
    </row>
    <row r="60" spans="1:13" x14ac:dyDescent="0.2">
      <c r="A60" t="s">
        <v>23</v>
      </c>
      <c r="B60" t="s">
        <v>429</v>
      </c>
      <c r="C60" s="6" t="s">
        <v>44</v>
      </c>
      <c r="D60" s="7">
        <v>46097</v>
      </c>
      <c r="E60" s="8">
        <v>46097.757638888899</v>
      </c>
      <c r="F60" s="8">
        <v>46097.833333333299</v>
      </c>
      <c r="G60" s="8">
        <f t="shared" si="0"/>
        <v>7.5694444400141947E-2</v>
      </c>
      <c r="H60" t="s">
        <v>167</v>
      </c>
      <c r="I60" t="s">
        <v>60</v>
      </c>
      <c r="J60">
        <v>172782</v>
      </c>
      <c r="L60">
        <v>3</v>
      </c>
      <c r="M60" t="s">
        <v>168</v>
      </c>
    </row>
    <row r="61" spans="1:13" x14ac:dyDescent="0.2">
      <c r="A61" t="s">
        <v>23</v>
      </c>
      <c r="B61" t="s">
        <v>429</v>
      </c>
      <c r="C61" s="6" t="s">
        <v>48</v>
      </c>
      <c r="D61" s="7">
        <v>46098</v>
      </c>
      <c r="E61" s="8">
        <v>46098.802777777797</v>
      </c>
      <c r="F61" s="8">
        <v>46098.90625</v>
      </c>
      <c r="G61" s="8">
        <f t="shared" si="0"/>
        <v>0.10347222220298136</v>
      </c>
      <c r="H61" t="s">
        <v>169</v>
      </c>
      <c r="I61" t="s">
        <v>170</v>
      </c>
      <c r="J61">
        <v>172872</v>
      </c>
      <c r="L61">
        <v>5</v>
      </c>
      <c r="M61" t="s">
        <v>171</v>
      </c>
    </row>
    <row r="62" spans="1:13" x14ac:dyDescent="0.2">
      <c r="A62" t="s">
        <v>23</v>
      </c>
      <c r="B62" t="s">
        <v>429</v>
      </c>
      <c r="C62" s="6" t="s">
        <v>52</v>
      </c>
      <c r="D62" s="7">
        <v>46099</v>
      </c>
      <c r="E62" s="8">
        <v>46099.833333333299</v>
      </c>
      <c r="F62" s="8">
        <v>46099.9375</v>
      </c>
      <c r="G62" s="8">
        <f t="shared" si="0"/>
        <v>0.10416666670062114</v>
      </c>
      <c r="H62" t="s">
        <v>430</v>
      </c>
      <c r="I62" t="s">
        <v>60</v>
      </c>
      <c r="J62">
        <v>172976</v>
      </c>
      <c r="L62">
        <v>3</v>
      </c>
      <c r="M62" t="s">
        <v>172</v>
      </c>
    </row>
    <row r="63" spans="1:13" x14ac:dyDescent="0.2">
      <c r="A63" t="s">
        <v>23</v>
      </c>
      <c r="B63" t="s">
        <v>429</v>
      </c>
      <c r="C63" s="6" t="s">
        <v>85</v>
      </c>
      <c r="D63" s="7">
        <v>46100</v>
      </c>
      <c r="E63" s="8">
        <v>46100.708333333299</v>
      </c>
      <c r="F63" s="8">
        <v>46100.958333333299</v>
      </c>
      <c r="G63" s="8">
        <f t="shared" si="0"/>
        <v>0.25</v>
      </c>
      <c r="H63" t="s">
        <v>173</v>
      </c>
      <c r="I63" t="s">
        <v>174</v>
      </c>
      <c r="J63">
        <v>173044</v>
      </c>
      <c r="L63">
        <v>9</v>
      </c>
      <c r="M63" t="s">
        <v>175</v>
      </c>
    </row>
    <row r="64" spans="1:13" x14ac:dyDescent="0.2">
      <c r="A64" t="s">
        <v>23</v>
      </c>
      <c r="B64" t="s">
        <v>429</v>
      </c>
      <c r="C64" s="6" t="s">
        <v>77</v>
      </c>
      <c r="D64" s="7">
        <v>46101</v>
      </c>
      <c r="E64" s="8">
        <v>46101.857638888898</v>
      </c>
      <c r="F64" s="8">
        <v>46101.940972222197</v>
      </c>
      <c r="G64" s="8">
        <f t="shared" si="0"/>
        <v>8.3333333299378864E-2</v>
      </c>
      <c r="H64" t="s">
        <v>176</v>
      </c>
      <c r="I64" t="s">
        <v>177</v>
      </c>
      <c r="J64">
        <v>173139</v>
      </c>
      <c r="L64">
        <v>7</v>
      </c>
      <c r="M64" t="s">
        <v>178</v>
      </c>
    </row>
    <row r="65" spans="1:13" x14ac:dyDescent="0.2">
      <c r="A65" t="s">
        <v>23</v>
      </c>
      <c r="B65" t="s">
        <v>431</v>
      </c>
      <c r="C65" s="6" t="s">
        <v>58</v>
      </c>
      <c r="D65" s="7">
        <v>46102</v>
      </c>
      <c r="E65" s="8">
        <v>46102.270833333299</v>
      </c>
      <c r="F65" s="8">
        <v>46102.666666666701</v>
      </c>
      <c r="G65" s="8">
        <f t="shared" si="0"/>
        <v>0.39583333340124227</v>
      </c>
      <c r="H65" t="s">
        <v>179</v>
      </c>
      <c r="I65" t="s">
        <v>116</v>
      </c>
      <c r="J65">
        <v>173193</v>
      </c>
      <c r="L65">
        <v>4</v>
      </c>
      <c r="M65" t="s">
        <v>180</v>
      </c>
    </row>
    <row r="66" spans="1:13" x14ac:dyDescent="0.2">
      <c r="A66" t="s">
        <v>23</v>
      </c>
      <c r="B66" t="s">
        <v>429</v>
      </c>
      <c r="C66" s="6" t="s">
        <v>58</v>
      </c>
      <c r="D66" s="7">
        <v>46102</v>
      </c>
      <c r="E66" s="8">
        <v>46102.739583333299</v>
      </c>
      <c r="F66" s="8">
        <v>46102.770833333299</v>
      </c>
      <c r="G66" s="8">
        <f t="shared" si="0"/>
        <v>3.125E-2</v>
      </c>
      <c r="H66" t="s">
        <v>181</v>
      </c>
      <c r="I66" t="s">
        <v>182</v>
      </c>
      <c r="J66">
        <v>173193</v>
      </c>
      <c r="L66">
        <v>1</v>
      </c>
      <c r="M66" t="s">
        <v>180</v>
      </c>
    </row>
    <row r="67" spans="1:13" x14ac:dyDescent="0.2">
      <c r="A67" t="s">
        <v>23</v>
      </c>
      <c r="B67" t="s">
        <v>429</v>
      </c>
      <c r="C67" s="6" t="s">
        <v>58</v>
      </c>
      <c r="D67" s="7">
        <v>46102</v>
      </c>
      <c r="E67" s="8">
        <v>46102.809722222199</v>
      </c>
      <c r="F67" s="8">
        <v>46102.902777777803</v>
      </c>
      <c r="G67" s="8">
        <f t="shared" ref="G67:G130" si="1">F67-E67</f>
        <v>9.3055555604223628E-2</v>
      </c>
      <c r="H67" t="s">
        <v>183</v>
      </c>
      <c r="I67" t="s">
        <v>60</v>
      </c>
      <c r="J67">
        <v>173193</v>
      </c>
      <c r="L67">
        <v>3</v>
      </c>
      <c r="M67" t="s">
        <v>180</v>
      </c>
    </row>
    <row r="68" spans="1:13" x14ac:dyDescent="0.2">
      <c r="A68" t="s">
        <v>23</v>
      </c>
      <c r="B68" t="s">
        <v>427</v>
      </c>
      <c r="C68" s="6" t="s">
        <v>58</v>
      </c>
      <c r="D68" s="7">
        <v>46102</v>
      </c>
      <c r="E68" s="8">
        <v>46102.270833333299</v>
      </c>
      <c r="F68" s="8">
        <v>46102.417361111096</v>
      </c>
      <c r="G68" s="8">
        <f t="shared" si="1"/>
        <v>0.14652777779701864</v>
      </c>
      <c r="H68" t="s">
        <v>184</v>
      </c>
      <c r="I68" t="s">
        <v>101</v>
      </c>
      <c r="J68">
        <v>173194</v>
      </c>
      <c r="L68">
        <v>5</v>
      </c>
      <c r="M68" t="s">
        <v>185</v>
      </c>
    </row>
    <row r="69" spans="1:13" x14ac:dyDescent="0.2">
      <c r="A69" t="s">
        <v>23</v>
      </c>
      <c r="B69" t="s">
        <v>427</v>
      </c>
      <c r="C69" s="6" t="s">
        <v>58</v>
      </c>
      <c r="D69" s="7">
        <v>46102</v>
      </c>
      <c r="E69" s="8">
        <v>46102.4506944444</v>
      </c>
      <c r="F69" s="8">
        <v>46102.548611111102</v>
      </c>
      <c r="G69" s="8">
        <f t="shared" si="1"/>
        <v>9.7916666702076327E-2</v>
      </c>
      <c r="H69" t="s">
        <v>186</v>
      </c>
      <c r="I69" t="s">
        <v>60</v>
      </c>
      <c r="J69">
        <v>173194</v>
      </c>
      <c r="L69">
        <v>3</v>
      </c>
      <c r="M69" t="s">
        <v>185</v>
      </c>
    </row>
    <row r="70" spans="1:13" x14ac:dyDescent="0.2">
      <c r="A70" t="s">
        <v>23</v>
      </c>
      <c r="B70" t="s">
        <v>427</v>
      </c>
      <c r="C70" s="6" t="s">
        <v>58</v>
      </c>
      <c r="D70" s="7">
        <v>46102</v>
      </c>
      <c r="E70" s="8">
        <v>46102.636111111096</v>
      </c>
      <c r="F70" s="8">
        <v>46102.668055555601</v>
      </c>
      <c r="G70" s="8">
        <f t="shared" si="1"/>
        <v>3.1944444504915737E-2</v>
      </c>
      <c r="H70" t="s">
        <v>432</v>
      </c>
      <c r="I70" t="s">
        <v>187</v>
      </c>
      <c r="J70">
        <v>173194</v>
      </c>
      <c r="L70">
        <v>1</v>
      </c>
      <c r="M70" t="s">
        <v>185</v>
      </c>
    </row>
    <row r="71" spans="1:13" x14ac:dyDescent="0.2">
      <c r="A71" t="s">
        <v>23</v>
      </c>
      <c r="B71" t="s">
        <v>431</v>
      </c>
      <c r="C71" s="6" t="s">
        <v>63</v>
      </c>
      <c r="D71" s="7">
        <v>46103</v>
      </c>
      <c r="E71" s="8">
        <v>46103.291666666701</v>
      </c>
      <c r="F71" s="8">
        <v>46103.59375</v>
      </c>
      <c r="G71" s="8">
        <f t="shared" si="1"/>
        <v>0.30208333329937886</v>
      </c>
      <c r="H71" t="s">
        <v>188</v>
      </c>
      <c r="I71" t="s">
        <v>116</v>
      </c>
      <c r="J71">
        <v>173223</v>
      </c>
      <c r="L71">
        <v>4</v>
      </c>
      <c r="M71" t="s">
        <v>189</v>
      </c>
    </row>
    <row r="72" spans="1:13" x14ac:dyDescent="0.2">
      <c r="A72" t="s">
        <v>23</v>
      </c>
      <c r="B72" t="s">
        <v>429</v>
      </c>
      <c r="C72" s="6" t="s">
        <v>63</v>
      </c>
      <c r="D72" s="7">
        <v>46103</v>
      </c>
      <c r="E72" s="8">
        <v>46103.726388888899</v>
      </c>
      <c r="F72" s="8">
        <v>46103.770833333299</v>
      </c>
      <c r="G72" s="8">
        <f t="shared" si="1"/>
        <v>4.4444444400141947E-2</v>
      </c>
      <c r="H72" t="s">
        <v>190</v>
      </c>
      <c r="I72" t="s">
        <v>60</v>
      </c>
      <c r="J72">
        <v>173223</v>
      </c>
      <c r="L72">
        <v>3</v>
      </c>
      <c r="M72" t="s">
        <v>189</v>
      </c>
    </row>
    <row r="73" spans="1:13" x14ac:dyDescent="0.2">
      <c r="A73" t="s">
        <v>24</v>
      </c>
      <c r="B73" t="s">
        <v>424</v>
      </c>
      <c r="C73" s="6" t="s">
        <v>44</v>
      </c>
      <c r="D73" s="7">
        <v>46083</v>
      </c>
      <c r="E73" s="8">
        <v>46083.666666666664</v>
      </c>
      <c r="F73" s="8">
        <v>46083.791666666701</v>
      </c>
      <c r="G73" s="8">
        <f t="shared" si="1"/>
        <v>0.12500000003637979</v>
      </c>
      <c r="H73" t="s">
        <v>191</v>
      </c>
      <c r="I73" t="s">
        <v>192</v>
      </c>
      <c r="J73">
        <v>171799</v>
      </c>
      <c r="L73">
        <v>2</v>
      </c>
      <c r="M73" t="s">
        <v>193</v>
      </c>
    </row>
    <row r="74" spans="1:13" x14ac:dyDescent="0.2">
      <c r="A74" t="s">
        <v>24</v>
      </c>
      <c r="B74" t="s">
        <v>424</v>
      </c>
      <c r="C74" s="6" t="s">
        <v>48</v>
      </c>
      <c r="D74" s="7">
        <v>46084</v>
      </c>
      <c r="E74" s="8">
        <v>46084.277777777803</v>
      </c>
      <c r="F74" s="8">
        <v>46084.333333333336</v>
      </c>
      <c r="G74" s="8">
        <f t="shared" si="1"/>
        <v>5.5555555532919243E-2</v>
      </c>
      <c r="H74" t="s">
        <v>194</v>
      </c>
      <c r="I74" t="s">
        <v>50</v>
      </c>
      <c r="J74">
        <v>171894</v>
      </c>
      <c r="L74">
        <v>1</v>
      </c>
      <c r="M74" t="s">
        <v>195</v>
      </c>
    </row>
    <row r="75" spans="1:13" x14ac:dyDescent="0.2">
      <c r="A75" t="s">
        <v>24</v>
      </c>
      <c r="B75" t="s">
        <v>424</v>
      </c>
      <c r="C75" s="6" t="s">
        <v>48</v>
      </c>
      <c r="D75" s="7">
        <v>46084</v>
      </c>
      <c r="E75" s="8">
        <v>46084.666666666664</v>
      </c>
      <c r="F75" s="8">
        <v>46084.75</v>
      </c>
      <c r="G75" s="8">
        <f t="shared" si="1"/>
        <v>8.3333333335758653E-2</v>
      </c>
      <c r="H75" t="s">
        <v>196</v>
      </c>
      <c r="I75" t="s">
        <v>182</v>
      </c>
      <c r="J75">
        <v>171894</v>
      </c>
      <c r="L75">
        <v>1</v>
      </c>
      <c r="M75" t="s">
        <v>195</v>
      </c>
    </row>
    <row r="76" spans="1:13" x14ac:dyDescent="0.2">
      <c r="A76" t="s">
        <v>24</v>
      </c>
      <c r="B76" t="s">
        <v>424</v>
      </c>
      <c r="C76" s="6" t="s">
        <v>52</v>
      </c>
      <c r="D76" s="7">
        <v>46085</v>
      </c>
      <c r="E76" s="8">
        <v>46085.666666666664</v>
      </c>
      <c r="F76" s="8">
        <v>46085.777777777803</v>
      </c>
      <c r="G76" s="8">
        <f t="shared" si="1"/>
        <v>0.11111111113859806</v>
      </c>
      <c r="H76" t="s">
        <v>197</v>
      </c>
      <c r="I76" t="s">
        <v>50</v>
      </c>
      <c r="J76">
        <v>171993</v>
      </c>
      <c r="L76">
        <v>1</v>
      </c>
      <c r="M76" t="s">
        <v>198</v>
      </c>
    </row>
    <row r="77" spans="1:13" x14ac:dyDescent="0.2">
      <c r="A77" t="s">
        <v>24</v>
      </c>
      <c r="B77" t="s">
        <v>424</v>
      </c>
      <c r="C77" s="6" t="s">
        <v>85</v>
      </c>
      <c r="D77" s="7">
        <v>46086</v>
      </c>
      <c r="E77" s="8">
        <v>46086.666666666664</v>
      </c>
      <c r="F77" s="8">
        <v>46086.75</v>
      </c>
      <c r="G77" s="8">
        <f t="shared" si="1"/>
        <v>8.3333333335758653E-2</v>
      </c>
      <c r="H77" t="s">
        <v>199</v>
      </c>
      <c r="I77" t="s">
        <v>50</v>
      </c>
      <c r="J77">
        <v>172093</v>
      </c>
      <c r="L77">
        <v>1</v>
      </c>
      <c r="M77" t="s">
        <v>200</v>
      </c>
    </row>
    <row r="78" spans="1:13" x14ac:dyDescent="0.2">
      <c r="A78" t="s">
        <v>24</v>
      </c>
      <c r="B78" t="s">
        <v>424</v>
      </c>
      <c r="C78" s="6" t="s">
        <v>77</v>
      </c>
      <c r="D78" s="7">
        <v>46087</v>
      </c>
      <c r="E78" s="8">
        <v>46087.666666666664</v>
      </c>
      <c r="F78" s="8">
        <v>46087.75</v>
      </c>
      <c r="G78" s="8">
        <f t="shared" si="1"/>
        <v>8.3333333335758653E-2</v>
      </c>
      <c r="H78" t="s">
        <v>201</v>
      </c>
      <c r="I78" t="s">
        <v>50</v>
      </c>
      <c r="J78">
        <v>172165</v>
      </c>
      <c r="L78">
        <v>1</v>
      </c>
      <c r="M78" t="s">
        <v>202</v>
      </c>
    </row>
    <row r="79" spans="1:13" x14ac:dyDescent="0.2">
      <c r="A79" t="s">
        <v>24</v>
      </c>
      <c r="B79" t="s">
        <v>424</v>
      </c>
      <c r="C79" s="6" t="s">
        <v>44</v>
      </c>
      <c r="D79" s="7">
        <v>46090</v>
      </c>
      <c r="E79" s="8">
        <v>46090.666666666664</v>
      </c>
      <c r="F79" s="8">
        <v>46090.770833333299</v>
      </c>
      <c r="G79" s="8">
        <f t="shared" si="1"/>
        <v>0.10416666663513752</v>
      </c>
      <c r="H79" t="s">
        <v>203</v>
      </c>
      <c r="I79" t="s">
        <v>187</v>
      </c>
      <c r="J79">
        <v>172274</v>
      </c>
      <c r="L79">
        <v>1</v>
      </c>
      <c r="M79" t="s">
        <v>204</v>
      </c>
    </row>
    <row r="80" spans="1:13" x14ac:dyDescent="0.2">
      <c r="A80" t="s">
        <v>24</v>
      </c>
      <c r="B80" t="s">
        <v>424</v>
      </c>
      <c r="C80" s="6" t="s">
        <v>48</v>
      </c>
      <c r="D80" s="7">
        <v>46091</v>
      </c>
      <c r="E80" s="8">
        <v>46091.666666666664</v>
      </c>
      <c r="F80" s="8">
        <v>46091.770833333299</v>
      </c>
      <c r="G80" s="8">
        <f t="shared" si="1"/>
        <v>0.10416666663513752</v>
      </c>
      <c r="H80" t="s">
        <v>205</v>
      </c>
      <c r="I80" t="s">
        <v>192</v>
      </c>
      <c r="J80">
        <v>172404</v>
      </c>
      <c r="L80">
        <v>2</v>
      </c>
      <c r="M80" t="s">
        <v>206</v>
      </c>
    </row>
    <row r="81" spans="1:13" x14ac:dyDescent="0.2">
      <c r="A81" t="s">
        <v>24</v>
      </c>
      <c r="B81" t="s">
        <v>424</v>
      </c>
      <c r="C81" s="6" t="s">
        <v>52</v>
      </c>
      <c r="D81" s="7">
        <v>46092</v>
      </c>
      <c r="E81" s="8">
        <v>46092.666666666664</v>
      </c>
      <c r="F81" s="8">
        <v>46092.8125</v>
      </c>
      <c r="G81" s="8">
        <f t="shared" si="1"/>
        <v>0.14583333333575865</v>
      </c>
      <c r="H81" t="s">
        <v>207</v>
      </c>
      <c r="I81" t="s">
        <v>50</v>
      </c>
      <c r="J81">
        <v>172473</v>
      </c>
      <c r="L81">
        <v>1</v>
      </c>
      <c r="M81" t="s">
        <v>208</v>
      </c>
    </row>
    <row r="82" spans="1:13" x14ac:dyDescent="0.2">
      <c r="A82" t="s">
        <v>24</v>
      </c>
      <c r="B82" t="s">
        <v>424</v>
      </c>
      <c r="C82" s="6" t="s">
        <v>44</v>
      </c>
      <c r="D82" s="7">
        <v>46097</v>
      </c>
      <c r="E82" s="8">
        <v>46097.666666666664</v>
      </c>
      <c r="F82" s="8">
        <v>46097.875</v>
      </c>
      <c r="G82" s="8">
        <f t="shared" si="1"/>
        <v>0.20833333333575865</v>
      </c>
      <c r="H82" t="s">
        <v>209</v>
      </c>
      <c r="I82" t="s">
        <v>182</v>
      </c>
      <c r="J82">
        <v>172700</v>
      </c>
      <c r="L82">
        <v>1</v>
      </c>
      <c r="M82" t="s">
        <v>210</v>
      </c>
    </row>
    <row r="83" spans="1:13" x14ac:dyDescent="0.2">
      <c r="A83" t="s">
        <v>24</v>
      </c>
      <c r="B83" t="s">
        <v>424</v>
      </c>
      <c r="C83" s="6" t="s">
        <v>48</v>
      </c>
      <c r="D83" s="7">
        <v>46098</v>
      </c>
      <c r="E83" s="8">
        <v>46098.260416666701</v>
      </c>
      <c r="F83" s="8">
        <v>46098.333333333336</v>
      </c>
      <c r="G83" s="8">
        <f t="shared" si="1"/>
        <v>7.2916666635137517E-2</v>
      </c>
      <c r="H83" t="s">
        <v>211</v>
      </c>
      <c r="I83" t="s">
        <v>68</v>
      </c>
      <c r="J83">
        <v>172868</v>
      </c>
      <c r="L83">
        <v>1</v>
      </c>
      <c r="M83" t="s">
        <v>212</v>
      </c>
    </row>
    <row r="84" spans="1:13" x14ac:dyDescent="0.2">
      <c r="A84" t="s">
        <v>24</v>
      </c>
      <c r="B84" t="s">
        <v>424</v>
      </c>
      <c r="C84" s="6" t="s">
        <v>48</v>
      </c>
      <c r="D84" s="7">
        <v>46098</v>
      </c>
      <c r="E84" s="8">
        <v>46098.666666666664</v>
      </c>
      <c r="F84" s="8">
        <v>46098.75</v>
      </c>
      <c r="G84" s="8">
        <f t="shared" si="1"/>
        <v>8.3333333335758653E-2</v>
      </c>
      <c r="H84" t="s">
        <v>213</v>
      </c>
      <c r="I84" t="s">
        <v>50</v>
      </c>
      <c r="J84">
        <v>172868</v>
      </c>
      <c r="L84">
        <v>1</v>
      </c>
      <c r="M84" t="s">
        <v>212</v>
      </c>
    </row>
    <row r="85" spans="1:13" x14ac:dyDescent="0.2">
      <c r="A85" t="s">
        <v>24</v>
      </c>
      <c r="B85" t="s">
        <v>424</v>
      </c>
      <c r="C85" s="6" t="s">
        <v>52</v>
      </c>
      <c r="D85" s="7">
        <v>46099</v>
      </c>
      <c r="E85" s="8">
        <v>46099.666666666664</v>
      </c>
      <c r="F85" s="8">
        <v>46099.791666666701</v>
      </c>
      <c r="G85" s="8">
        <f t="shared" si="1"/>
        <v>0.12500000003637979</v>
      </c>
      <c r="H85" t="s">
        <v>214</v>
      </c>
      <c r="I85" t="s">
        <v>187</v>
      </c>
      <c r="J85">
        <v>172944</v>
      </c>
      <c r="L85">
        <v>1</v>
      </c>
      <c r="M85" t="s">
        <v>215</v>
      </c>
    </row>
    <row r="86" spans="1:13" x14ac:dyDescent="0.2">
      <c r="A86" t="s">
        <v>24</v>
      </c>
      <c r="B86" t="s">
        <v>424</v>
      </c>
      <c r="C86" s="6" t="s">
        <v>85</v>
      </c>
      <c r="D86" s="7">
        <v>46100</v>
      </c>
      <c r="E86" s="8">
        <v>46100.666666666664</v>
      </c>
      <c r="F86" s="8">
        <v>46100.75</v>
      </c>
      <c r="G86" s="8">
        <f t="shared" si="1"/>
        <v>8.3333333335758653E-2</v>
      </c>
      <c r="H86" t="s">
        <v>216</v>
      </c>
      <c r="I86" t="s">
        <v>50</v>
      </c>
      <c r="J86">
        <v>173010</v>
      </c>
      <c r="L86">
        <v>1</v>
      </c>
      <c r="M86" t="s">
        <v>217</v>
      </c>
    </row>
    <row r="87" spans="1:13" x14ac:dyDescent="0.2">
      <c r="A87" t="s">
        <v>24</v>
      </c>
      <c r="B87" t="s">
        <v>424</v>
      </c>
      <c r="C87" s="6" t="s">
        <v>77</v>
      </c>
      <c r="D87" s="7">
        <v>46101</v>
      </c>
      <c r="E87" s="8">
        <v>46101.291666666701</v>
      </c>
      <c r="F87" s="8">
        <v>46101.368055555555</v>
      </c>
      <c r="G87" s="8">
        <f t="shared" si="1"/>
        <v>7.638888885412598E-2</v>
      </c>
      <c r="H87" t="s">
        <v>218</v>
      </c>
      <c r="I87" t="s">
        <v>192</v>
      </c>
      <c r="J87">
        <v>173089</v>
      </c>
      <c r="L87">
        <v>2</v>
      </c>
      <c r="M87" t="s">
        <v>219</v>
      </c>
    </row>
    <row r="88" spans="1:13" x14ac:dyDescent="0.2">
      <c r="A88" t="s">
        <v>24</v>
      </c>
      <c r="B88" t="s">
        <v>424</v>
      </c>
      <c r="C88" s="6" t="s">
        <v>77</v>
      </c>
      <c r="D88" s="7">
        <v>46101</v>
      </c>
      <c r="E88" s="8">
        <v>46101.739583333299</v>
      </c>
      <c r="F88" s="8">
        <v>46101.822916666701</v>
      </c>
      <c r="G88" s="8">
        <f t="shared" si="1"/>
        <v>8.3333333401242271E-2</v>
      </c>
      <c r="H88" t="s">
        <v>220</v>
      </c>
      <c r="I88" t="s">
        <v>68</v>
      </c>
      <c r="J88">
        <v>173089</v>
      </c>
      <c r="L88">
        <v>1</v>
      </c>
      <c r="M88" t="s">
        <v>219</v>
      </c>
    </row>
    <row r="89" spans="1:13" x14ac:dyDescent="0.2">
      <c r="A89" t="s">
        <v>24</v>
      </c>
      <c r="B89" t="s">
        <v>424</v>
      </c>
      <c r="C89" s="6" t="s">
        <v>58</v>
      </c>
      <c r="D89" s="7">
        <v>46102</v>
      </c>
      <c r="E89" s="8">
        <v>46102.302083333299</v>
      </c>
      <c r="F89" s="8">
        <v>46102.666666666701</v>
      </c>
      <c r="G89" s="8">
        <f t="shared" si="1"/>
        <v>0.36458333340124227</v>
      </c>
      <c r="H89" t="s">
        <v>221</v>
      </c>
      <c r="I89" t="s">
        <v>50</v>
      </c>
      <c r="J89">
        <v>173192</v>
      </c>
      <c r="L89">
        <v>1</v>
      </c>
      <c r="M89" t="s">
        <v>222</v>
      </c>
    </row>
    <row r="90" spans="1:13" x14ac:dyDescent="0.2">
      <c r="A90" t="s">
        <v>26</v>
      </c>
      <c r="B90" t="s">
        <v>433</v>
      </c>
      <c r="C90" s="6" t="s">
        <v>44</v>
      </c>
      <c r="D90" s="7">
        <v>46083</v>
      </c>
      <c r="E90" s="8">
        <v>46083.708333333336</v>
      </c>
      <c r="F90" s="8">
        <v>46083.8125</v>
      </c>
      <c r="G90" s="8">
        <f t="shared" si="1"/>
        <v>0.10416666666424135</v>
      </c>
      <c r="H90" t="s">
        <v>223</v>
      </c>
      <c r="I90" t="s">
        <v>133</v>
      </c>
      <c r="J90">
        <v>171816</v>
      </c>
      <c r="L90">
        <v>3</v>
      </c>
      <c r="M90" t="s">
        <v>224</v>
      </c>
    </row>
    <row r="91" spans="1:13" x14ac:dyDescent="0.2">
      <c r="A91" t="s">
        <v>26</v>
      </c>
      <c r="B91" t="s">
        <v>434</v>
      </c>
      <c r="C91" s="6" t="s">
        <v>58</v>
      </c>
      <c r="D91" s="7">
        <v>46088</v>
      </c>
      <c r="E91" s="8">
        <v>46088.335416666698</v>
      </c>
      <c r="F91" s="8">
        <v>46088.525694444397</v>
      </c>
      <c r="G91" s="8">
        <f t="shared" si="1"/>
        <v>0.19027777769952081</v>
      </c>
      <c r="H91" t="s">
        <v>225</v>
      </c>
      <c r="I91" t="s">
        <v>107</v>
      </c>
      <c r="J91">
        <v>172277</v>
      </c>
      <c r="L91">
        <v>5</v>
      </c>
      <c r="M91" t="s">
        <v>226</v>
      </c>
    </row>
    <row r="92" spans="1:13" x14ac:dyDescent="0.2">
      <c r="A92" t="s">
        <v>26</v>
      </c>
      <c r="B92" t="s">
        <v>433</v>
      </c>
      <c r="C92" s="6" t="s">
        <v>58</v>
      </c>
      <c r="D92" s="7">
        <v>46095</v>
      </c>
      <c r="E92" s="8">
        <v>46095.525000000001</v>
      </c>
      <c r="F92" s="8">
        <v>46095.633333333302</v>
      </c>
      <c r="G92" s="8">
        <f t="shared" si="1"/>
        <v>0.10833333330083406</v>
      </c>
      <c r="H92" t="s">
        <v>227</v>
      </c>
      <c r="I92" t="s">
        <v>60</v>
      </c>
      <c r="J92">
        <v>172714</v>
      </c>
      <c r="L92">
        <v>3</v>
      </c>
      <c r="M92" t="s">
        <v>228</v>
      </c>
    </row>
    <row r="93" spans="1:13" x14ac:dyDescent="0.2">
      <c r="A93" t="s">
        <v>26</v>
      </c>
      <c r="B93" t="s">
        <v>433</v>
      </c>
      <c r="C93" s="6" t="s">
        <v>63</v>
      </c>
      <c r="D93" s="7">
        <v>46096</v>
      </c>
      <c r="E93" s="8">
        <v>46096.333333333299</v>
      </c>
      <c r="F93" s="8">
        <v>46096.614583333299</v>
      </c>
      <c r="G93" s="8">
        <f t="shared" si="1"/>
        <v>0.28125</v>
      </c>
      <c r="H93" t="s">
        <v>229</v>
      </c>
      <c r="I93" t="s">
        <v>230</v>
      </c>
      <c r="J93">
        <v>172716</v>
      </c>
      <c r="L93">
        <v>9</v>
      </c>
      <c r="M93" t="s">
        <v>231</v>
      </c>
    </row>
    <row r="94" spans="1:13" x14ac:dyDescent="0.2">
      <c r="A94" t="s">
        <v>26</v>
      </c>
      <c r="B94" t="s">
        <v>435</v>
      </c>
      <c r="C94" s="6" t="s">
        <v>48</v>
      </c>
      <c r="D94" s="7">
        <v>46098</v>
      </c>
      <c r="E94" s="8">
        <v>46098.756944444402</v>
      </c>
      <c r="F94" s="8">
        <v>46098.925000000003</v>
      </c>
      <c r="G94" s="8">
        <f t="shared" si="1"/>
        <v>0.16805555560131324</v>
      </c>
      <c r="H94" t="s">
        <v>232</v>
      </c>
      <c r="I94" t="s">
        <v>107</v>
      </c>
      <c r="J94">
        <v>173005</v>
      </c>
      <c r="L94">
        <v>5</v>
      </c>
      <c r="M94" t="s">
        <v>233</v>
      </c>
    </row>
    <row r="95" spans="1:13" x14ac:dyDescent="0.2">
      <c r="A95" t="s">
        <v>26</v>
      </c>
      <c r="B95" t="s">
        <v>435</v>
      </c>
      <c r="C95" s="6" t="s">
        <v>52</v>
      </c>
      <c r="D95" s="7">
        <v>46099</v>
      </c>
      <c r="E95" s="8">
        <v>46099.902777777803</v>
      </c>
      <c r="F95" s="8">
        <v>46099.941666666702</v>
      </c>
      <c r="G95" s="8">
        <f t="shared" si="1"/>
        <v>3.8888888899236917E-2</v>
      </c>
      <c r="H95" t="s">
        <v>234</v>
      </c>
      <c r="I95" t="s">
        <v>60</v>
      </c>
      <c r="J95">
        <v>173135</v>
      </c>
      <c r="L95">
        <v>3</v>
      </c>
      <c r="M95" t="s">
        <v>235</v>
      </c>
    </row>
    <row r="96" spans="1:13" x14ac:dyDescent="0.2">
      <c r="A96" t="s">
        <v>26</v>
      </c>
      <c r="B96" t="s">
        <v>435</v>
      </c>
      <c r="C96" s="6" t="s">
        <v>85</v>
      </c>
      <c r="D96" s="7">
        <v>46100</v>
      </c>
      <c r="E96" s="8">
        <v>46100.708333333299</v>
      </c>
      <c r="F96" s="8">
        <v>46100.7631944444</v>
      </c>
      <c r="G96" s="8">
        <f t="shared" si="1"/>
        <v>5.4861111100763083E-2</v>
      </c>
      <c r="H96" t="s">
        <v>236</v>
      </c>
      <c r="I96" t="s">
        <v>237</v>
      </c>
      <c r="J96">
        <v>173140</v>
      </c>
      <c r="L96">
        <v>3</v>
      </c>
      <c r="M96" t="s">
        <v>238</v>
      </c>
    </row>
    <row r="97" spans="1:13" x14ac:dyDescent="0.2">
      <c r="A97" t="s">
        <v>26</v>
      </c>
      <c r="B97" t="s">
        <v>438</v>
      </c>
      <c r="C97" s="6" t="s">
        <v>58</v>
      </c>
      <c r="D97" s="7">
        <v>46102</v>
      </c>
      <c r="E97" s="8">
        <v>46102.25</v>
      </c>
      <c r="F97" s="8">
        <v>46102.541666666664</v>
      </c>
      <c r="G97" s="8">
        <f t="shared" si="1"/>
        <v>0.29166666666424135</v>
      </c>
      <c r="H97" t="s">
        <v>436</v>
      </c>
      <c r="I97" t="s">
        <v>182</v>
      </c>
      <c r="J97">
        <v>173191</v>
      </c>
      <c r="L97">
        <v>1</v>
      </c>
      <c r="M97" t="s">
        <v>239</v>
      </c>
    </row>
    <row r="98" spans="1:13" x14ac:dyDescent="0.2">
      <c r="A98" t="s">
        <v>26</v>
      </c>
      <c r="B98" t="s">
        <v>438</v>
      </c>
      <c r="C98" s="6" t="s">
        <v>58</v>
      </c>
      <c r="D98" s="7">
        <v>46102</v>
      </c>
      <c r="E98" s="8">
        <v>46102.583333333336</v>
      </c>
      <c r="F98" s="8">
        <v>46102.697916666701</v>
      </c>
      <c r="G98" s="8">
        <f t="shared" si="1"/>
        <v>0.11458333336486248</v>
      </c>
      <c r="H98" t="s">
        <v>437</v>
      </c>
      <c r="I98" t="s">
        <v>182</v>
      </c>
      <c r="J98">
        <v>173191</v>
      </c>
      <c r="L98">
        <v>1</v>
      </c>
      <c r="M98" t="s">
        <v>239</v>
      </c>
    </row>
    <row r="99" spans="1:13" x14ac:dyDescent="0.2">
      <c r="A99" t="s">
        <v>26</v>
      </c>
      <c r="B99" t="s">
        <v>435</v>
      </c>
      <c r="C99" s="6" t="s">
        <v>63</v>
      </c>
      <c r="D99" s="7">
        <v>46103</v>
      </c>
      <c r="E99" s="8">
        <v>46103.2631944444</v>
      </c>
      <c r="F99" s="8">
        <v>46103.375</v>
      </c>
      <c r="G99" s="8">
        <f t="shared" si="1"/>
        <v>0.11180555559985805</v>
      </c>
      <c r="H99" t="s">
        <v>240</v>
      </c>
      <c r="I99" t="s">
        <v>241</v>
      </c>
      <c r="J99">
        <v>173222</v>
      </c>
      <c r="L99">
        <v>5</v>
      </c>
      <c r="M99" t="s">
        <v>242</v>
      </c>
    </row>
    <row r="100" spans="1:13" x14ac:dyDescent="0.2">
      <c r="A100" t="s">
        <v>26</v>
      </c>
      <c r="B100" t="s">
        <v>435</v>
      </c>
      <c r="C100" s="6" t="s">
        <v>63</v>
      </c>
      <c r="D100" s="7">
        <v>46103</v>
      </c>
      <c r="E100" s="8">
        <v>46103.645138888904</v>
      </c>
      <c r="F100" s="8">
        <v>46103.698611111096</v>
      </c>
      <c r="G100" s="8">
        <f t="shared" si="1"/>
        <v>5.3472222192795016E-2</v>
      </c>
      <c r="H100" t="s">
        <v>243</v>
      </c>
      <c r="I100" t="s">
        <v>244</v>
      </c>
      <c r="J100">
        <v>173222</v>
      </c>
      <c r="L100">
        <v>4</v>
      </c>
      <c r="M100" t="s">
        <v>242</v>
      </c>
    </row>
    <row r="101" spans="1:13" x14ac:dyDescent="0.2">
      <c r="A101" t="s">
        <v>27</v>
      </c>
      <c r="B101" t="s">
        <v>439</v>
      </c>
      <c r="C101" s="6" t="s">
        <v>44</v>
      </c>
      <c r="D101" s="7">
        <v>46083</v>
      </c>
      <c r="E101" s="8">
        <v>46083.784027777801</v>
      </c>
      <c r="F101" s="8">
        <v>46083.887499999997</v>
      </c>
      <c r="G101" s="8">
        <f t="shared" si="1"/>
        <v>0.1034722221957054</v>
      </c>
      <c r="H101" t="s">
        <v>245</v>
      </c>
      <c r="I101" t="s">
        <v>187</v>
      </c>
      <c r="J101">
        <v>171804</v>
      </c>
      <c r="L101">
        <v>1</v>
      </c>
      <c r="M101" t="s">
        <v>246</v>
      </c>
    </row>
    <row r="102" spans="1:13" x14ac:dyDescent="0.2">
      <c r="A102" t="s">
        <v>27</v>
      </c>
      <c r="B102" t="s">
        <v>440</v>
      </c>
      <c r="C102" s="6" t="s">
        <v>48</v>
      </c>
      <c r="D102" s="7">
        <v>46084</v>
      </c>
      <c r="E102" s="8">
        <v>46084.708333333336</v>
      </c>
      <c r="F102" s="8">
        <v>46084.759722222203</v>
      </c>
      <c r="G102" s="8">
        <f t="shared" si="1"/>
        <v>5.1388888867222704E-2</v>
      </c>
      <c r="H102" t="s">
        <v>247</v>
      </c>
      <c r="I102" t="s">
        <v>248</v>
      </c>
      <c r="J102">
        <v>171941</v>
      </c>
      <c r="L102">
        <v>2</v>
      </c>
      <c r="M102" t="s">
        <v>249</v>
      </c>
    </row>
    <row r="103" spans="1:13" ht="25.5" x14ac:dyDescent="0.2">
      <c r="A103" t="s">
        <v>27</v>
      </c>
      <c r="B103" t="s">
        <v>440</v>
      </c>
      <c r="C103" s="6" t="s">
        <v>52</v>
      </c>
      <c r="D103" s="7">
        <v>46085</v>
      </c>
      <c r="E103" s="8">
        <v>46085.25</v>
      </c>
      <c r="F103" s="8">
        <v>46085.333333333336</v>
      </c>
      <c r="G103" s="8">
        <f t="shared" si="1"/>
        <v>8.3333333335758653E-2</v>
      </c>
      <c r="H103" s="19" t="s">
        <v>441</v>
      </c>
      <c r="I103" t="s">
        <v>68</v>
      </c>
      <c r="J103">
        <v>171989</v>
      </c>
      <c r="L103">
        <v>1</v>
      </c>
      <c r="M103" t="s">
        <v>250</v>
      </c>
    </row>
    <row r="104" spans="1:13" x14ac:dyDescent="0.2">
      <c r="A104" t="s">
        <v>27</v>
      </c>
      <c r="B104" t="s">
        <v>440</v>
      </c>
      <c r="C104" s="6" t="s">
        <v>52</v>
      </c>
      <c r="D104" s="7">
        <v>46085</v>
      </c>
      <c r="E104" s="8">
        <v>0.70833333333333337</v>
      </c>
      <c r="F104" s="8">
        <v>46085.875</v>
      </c>
      <c r="G104" s="8">
        <f t="shared" si="1"/>
        <v>46085.166666666664</v>
      </c>
      <c r="H104" t="s">
        <v>251</v>
      </c>
      <c r="I104" t="s">
        <v>136</v>
      </c>
      <c r="J104">
        <v>171989</v>
      </c>
      <c r="L104">
        <v>2</v>
      </c>
      <c r="M104" t="s">
        <v>250</v>
      </c>
    </row>
    <row r="105" spans="1:13" x14ac:dyDescent="0.2">
      <c r="A105" t="s">
        <v>27</v>
      </c>
      <c r="B105" t="s">
        <v>439</v>
      </c>
      <c r="C105" s="6" t="s">
        <v>85</v>
      </c>
      <c r="D105" s="7">
        <v>46086</v>
      </c>
      <c r="E105" s="8">
        <v>46086.815972222197</v>
      </c>
      <c r="F105" s="8">
        <v>46086.847222222197</v>
      </c>
      <c r="G105" s="8">
        <f t="shared" si="1"/>
        <v>3.125E-2</v>
      </c>
      <c r="H105" t="s">
        <v>252</v>
      </c>
      <c r="I105" t="s">
        <v>50</v>
      </c>
      <c r="J105">
        <v>172107</v>
      </c>
      <c r="L105">
        <v>1</v>
      </c>
      <c r="M105" t="s">
        <v>253</v>
      </c>
    </row>
    <row r="106" spans="1:13" x14ac:dyDescent="0.2">
      <c r="A106" t="s">
        <v>27</v>
      </c>
      <c r="B106" t="s">
        <v>439</v>
      </c>
      <c r="C106" s="6" t="s">
        <v>63</v>
      </c>
      <c r="D106" s="7">
        <v>46089</v>
      </c>
      <c r="E106" s="8">
        <v>46089.579861111102</v>
      </c>
      <c r="F106" s="8">
        <v>46089.715277777803</v>
      </c>
      <c r="G106" s="8">
        <f t="shared" si="1"/>
        <v>0.13541666670062114</v>
      </c>
      <c r="H106" t="s">
        <v>254</v>
      </c>
      <c r="I106" t="s">
        <v>50</v>
      </c>
      <c r="J106">
        <v>172300</v>
      </c>
      <c r="L106">
        <v>1</v>
      </c>
      <c r="M106" t="s">
        <v>255</v>
      </c>
    </row>
    <row r="107" spans="1:13" x14ac:dyDescent="0.2">
      <c r="A107" t="s">
        <v>27</v>
      </c>
      <c r="B107" t="s">
        <v>439</v>
      </c>
      <c r="C107" s="6" t="s">
        <v>44</v>
      </c>
      <c r="D107" s="7">
        <v>46097</v>
      </c>
      <c r="E107" s="8">
        <v>46097.708333333336</v>
      </c>
      <c r="F107" s="8">
        <v>46097.798611111102</v>
      </c>
      <c r="G107" s="8">
        <f t="shared" si="1"/>
        <v>9.0277777766459621E-2</v>
      </c>
      <c r="H107" t="s">
        <v>256</v>
      </c>
      <c r="I107" t="s">
        <v>50</v>
      </c>
      <c r="J107">
        <v>172792</v>
      </c>
      <c r="L107">
        <v>1</v>
      </c>
      <c r="M107" t="s">
        <v>257</v>
      </c>
    </row>
    <row r="108" spans="1:13" x14ac:dyDescent="0.2">
      <c r="A108" t="s">
        <v>27</v>
      </c>
      <c r="B108" t="s">
        <v>439</v>
      </c>
      <c r="C108" s="6" t="s">
        <v>48</v>
      </c>
      <c r="D108" s="7">
        <v>46098</v>
      </c>
      <c r="E108" s="8">
        <v>46098.715277777803</v>
      </c>
      <c r="F108" s="8">
        <v>46098.837500000001</v>
      </c>
      <c r="G108" s="8">
        <f t="shared" si="1"/>
        <v>0.12222222219861578</v>
      </c>
      <c r="H108" t="s">
        <v>258</v>
      </c>
      <c r="I108" t="s">
        <v>86</v>
      </c>
      <c r="J108">
        <v>172891</v>
      </c>
      <c r="L108">
        <v>2</v>
      </c>
      <c r="M108" t="s">
        <v>259</v>
      </c>
    </row>
    <row r="109" spans="1:13" x14ac:dyDescent="0.2">
      <c r="A109" t="s">
        <v>27</v>
      </c>
      <c r="B109" t="s">
        <v>439</v>
      </c>
      <c r="C109" s="6" t="s">
        <v>77</v>
      </c>
      <c r="D109" s="7">
        <v>46101</v>
      </c>
      <c r="E109" s="8">
        <v>46101.708333333336</v>
      </c>
      <c r="F109" s="8">
        <v>46101.765277777798</v>
      </c>
      <c r="G109" s="8">
        <f t="shared" si="1"/>
        <v>5.6944444462715182E-2</v>
      </c>
      <c r="H109" t="s">
        <v>260</v>
      </c>
      <c r="I109" t="s">
        <v>248</v>
      </c>
      <c r="J109">
        <v>173118</v>
      </c>
      <c r="L109">
        <v>2</v>
      </c>
      <c r="M109" t="s">
        <v>261</v>
      </c>
    </row>
    <row r="110" spans="1:13" x14ac:dyDescent="0.2">
      <c r="A110" t="s">
        <v>27</v>
      </c>
      <c r="B110" t="s">
        <v>442</v>
      </c>
      <c r="C110" s="6" t="s">
        <v>58</v>
      </c>
      <c r="D110" s="7">
        <v>46102</v>
      </c>
      <c r="E110" s="8">
        <v>46102.506944444402</v>
      </c>
      <c r="F110" s="8">
        <v>46102.641666666699</v>
      </c>
      <c r="G110" s="8">
        <f t="shared" si="1"/>
        <v>0.13472222229756881</v>
      </c>
      <c r="H110" t="s">
        <v>262</v>
      </c>
      <c r="I110" t="s">
        <v>263</v>
      </c>
      <c r="J110">
        <v>173212</v>
      </c>
      <c r="L110">
        <v>5</v>
      </c>
      <c r="M110" t="s">
        <v>264</v>
      </c>
    </row>
    <row r="111" spans="1:13" x14ac:dyDescent="0.2">
      <c r="A111" t="s">
        <v>27</v>
      </c>
      <c r="B111" t="s">
        <v>442</v>
      </c>
      <c r="C111" s="6" t="s">
        <v>58</v>
      </c>
      <c r="D111" s="7">
        <v>46102</v>
      </c>
      <c r="E111" s="8">
        <v>46102.647916666698</v>
      </c>
      <c r="F111" s="8">
        <v>46102.7</v>
      </c>
      <c r="G111" s="8">
        <f t="shared" si="1"/>
        <v>5.2083333299378864E-2</v>
      </c>
      <c r="H111" t="s">
        <v>265</v>
      </c>
      <c r="I111" t="s">
        <v>54</v>
      </c>
      <c r="J111">
        <v>173212</v>
      </c>
      <c r="L111">
        <v>2</v>
      </c>
      <c r="M111" t="s">
        <v>264</v>
      </c>
    </row>
    <row r="112" spans="1:13" x14ac:dyDescent="0.2">
      <c r="A112" t="s">
        <v>28</v>
      </c>
      <c r="B112" t="s">
        <v>445</v>
      </c>
      <c r="C112" s="6" t="s">
        <v>63</v>
      </c>
      <c r="D112" s="7">
        <v>46082</v>
      </c>
      <c r="E112" s="8">
        <v>46082.520138888904</v>
      </c>
      <c r="F112" s="8">
        <v>46082.628472222197</v>
      </c>
      <c r="G112" s="8">
        <f t="shared" si="1"/>
        <v>0.1083333332935581</v>
      </c>
      <c r="H112" t="s">
        <v>266</v>
      </c>
      <c r="I112" t="s">
        <v>116</v>
      </c>
      <c r="J112">
        <v>171751</v>
      </c>
      <c r="L112">
        <v>4</v>
      </c>
      <c r="M112" t="s">
        <v>267</v>
      </c>
    </row>
    <row r="113" spans="1:13" x14ac:dyDescent="0.2">
      <c r="A113" t="s">
        <v>28</v>
      </c>
      <c r="B113" t="s">
        <v>445</v>
      </c>
      <c r="C113" s="6" t="s">
        <v>63</v>
      </c>
      <c r="D113" s="7">
        <v>46082</v>
      </c>
      <c r="E113" s="8">
        <v>46082.847222222197</v>
      </c>
      <c r="F113" s="8">
        <v>46082.918055555601</v>
      </c>
      <c r="G113" s="8">
        <f t="shared" si="1"/>
        <v>7.0833333404152654E-2</v>
      </c>
      <c r="H113" t="s">
        <v>268</v>
      </c>
      <c r="I113" t="s">
        <v>46</v>
      </c>
      <c r="J113">
        <v>171751</v>
      </c>
      <c r="L113">
        <v>3</v>
      </c>
      <c r="M113" t="s">
        <v>267</v>
      </c>
    </row>
    <row r="114" spans="1:13" x14ac:dyDescent="0.2">
      <c r="A114" t="s">
        <v>28</v>
      </c>
      <c r="B114" t="s">
        <v>444</v>
      </c>
      <c r="C114" s="6" t="s">
        <v>44</v>
      </c>
      <c r="D114" s="7">
        <v>46083</v>
      </c>
      <c r="E114" s="8">
        <v>46083.708333333336</v>
      </c>
      <c r="F114" s="8">
        <v>46083.752083333296</v>
      </c>
      <c r="G114" s="8">
        <f t="shared" si="1"/>
        <v>4.3749999960709829E-2</v>
      </c>
      <c r="H114" t="s">
        <v>269</v>
      </c>
      <c r="I114" t="s">
        <v>70</v>
      </c>
      <c r="J114">
        <v>171797</v>
      </c>
      <c r="L114">
        <v>2</v>
      </c>
      <c r="M114" t="s">
        <v>270</v>
      </c>
    </row>
    <row r="115" spans="1:13" x14ac:dyDescent="0.2">
      <c r="A115" t="s">
        <v>28</v>
      </c>
      <c r="B115" t="s">
        <v>446</v>
      </c>
      <c r="C115" s="6" t="s">
        <v>85</v>
      </c>
      <c r="D115" s="7">
        <v>46086</v>
      </c>
      <c r="E115" s="8">
        <v>46086.708333333336</v>
      </c>
      <c r="F115" s="8">
        <v>46086.752083333296</v>
      </c>
      <c r="G115" s="8">
        <f t="shared" si="1"/>
        <v>4.3749999960709829E-2</v>
      </c>
      <c r="H115" t="s">
        <v>271</v>
      </c>
      <c r="I115" t="s">
        <v>70</v>
      </c>
      <c r="J115">
        <v>172115</v>
      </c>
      <c r="L115">
        <v>2</v>
      </c>
      <c r="M115" t="s">
        <v>272</v>
      </c>
    </row>
    <row r="116" spans="1:13" x14ac:dyDescent="0.2">
      <c r="A116" t="s">
        <v>28</v>
      </c>
      <c r="B116" t="s">
        <v>447</v>
      </c>
      <c r="C116" s="6" t="s">
        <v>58</v>
      </c>
      <c r="D116" s="7">
        <v>46088</v>
      </c>
      <c r="E116" s="8">
        <v>46088.315277777801</v>
      </c>
      <c r="F116" s="8">
        <v>46088.7097222222</v>
      </c>
      <c r="G116" s="8">
        <f t="shared" si="1"/>
        <v>0.39444444439868676</v>
      </c>
      <c r="H116" t="s">
        <v>273</v>
      </c>
      <c r="I116" t="s">
        <v>274</v>
      </c>
      <c r="J116">
        <v>172250</v>
      </c>
      <c r="L116">
        <v>7</v>
      </c>
      <c r="M116" t="s">
        <v>275</v>
      </c>
    </row>
    <row r="117" spans="1:13" x14ac:dyDescent="0.2">
      <c r="A117" t="s">
        <v>28</v>
      </c>
      <c r="B117" t="s">
        <v>447</v>
      </c>
      <c r="C117" s="6" t="s">
        <v>63</v>
      </c>
      <c r="D117" s="7">
        <v>46089</v>
      </c>
      <c r="E117" s="8">
        <v>46089.582638888904</v>
      </c>
      <c r="F117" s="8">
        <v>46089.711111111101</v>
      </c>
      <c r="G117" s="8">
        <f t="shared" si="1"/>
        <v>0.12847222219716059</v>
      </c>
      <c r="H117" t="s">
        <v>276</v>
      </c>
      <c r="I117" t="s">
        <v>244</v>
      </c>
      <c r="J117">
        <v>172287</v>
      </c>
      <c r="L117">
        <v>4</v>
      </c>
      <c r="M117" t="s">
        <v>277</v>
      </c>
    </row>
    <row r="118" spans="1:13" x14ac:dyDescent="0.2">
      <c r="A118" t="s">
        <v>28</v>
      </c>
      <c r="B118" t="s">
        <v>448</v>
      </c>
      <c r="C118" s="6" t="s">
        <v>48</v>
      </c>
      <c r="D118" s="7">
        <v>46091</v>
      </c>
      <c r="E118" s="8">
        <v>46091.708333333336</v>
      </c>
      <c r="F118" s="8">
        <v>46091.802777777797</v>
      </c>
      <c r="G118" s="8">
        <f t="shared" si="1"/>
        <v>9.4444444461259991E-2</v>
      </c>
      <c r="H118" t="s">
        <v>278</v>
      </c>
      <c r="I118" t="s">
        <v>46</v>
      </c>
      <c r="J118">
        <v>172409</v>
      </c>
      <c r="L118">
        <v>3</v>
      </c>
      <c r="M118" t="s">
        <v>279</v>
      </c>
    </row>
    <row r="119" spans="1:13" x14ac:dyDescent="0.2">
      <c r="A119" t="s">
        <v>28</v>
      </c>
      <c r="B119" t="s">
        <v>449</v>
      </c>
      <c r="C119" s="6" t="s">
        <v>58</v>
      </c>
      <c r="D119" s="7">
        <v>46095</v>
      </c>
      <c r="E119" s="8">
        <v>46095.0444444444</v>
      </c>
      <c r="F119" s="8">
        <v>46095.086805555598</v>
      </c>
      <c r="G119" s="8">
        <f t="shared" si="1"/>
        <v>4.2361111198260915E-2</v>
      </c>
      <c r="H119" t="s">
        <v>280</v>
      </c>
      <c r="I119" t="s">
        <v>60</v>
      </c>
      <c r="J119">
        <v>172693</v>
      </c>
      <c r="L119">
        <v>3</v>
      </c>
      <c r="M119" t="s">
        <v>281</v>
      </c>
    </row>
    <row r="120" spans="1:13" x14ac:dyDescent="0.2">
      <c r="A120" t="s">
        <v>28</v>
      </c>
      <c r="B120" t="s">
        <v>443</v>
      </c>
      <c r="C120" s="6" t="s">
        <v>58</v>
      </c>
      <c r="D120" s="7">
        <v>46095</v>
      </c>
      <c r="E120" s="8">
        <v>46095.328472222202</v>
      </c>
      <c r="F120" s="8">
        <v>46095.7368055556</v>
      </c>
      <c r="G120" s="8">
        <f t="shared" si="1"/>
        <v>0.40833333339833189</v>
      </c>
      <c r="H120" t="s">
        <v>282</v>
      </c>
      <c r="I120" t="s">
        <v>283</v>
      </c>
      <c r="J120">
        <v>172693</v>
      </c>
      <c r="L120">
        <v>6</v>
      </c>
      <c r="M120" t="s">
        <v>281</v>
      </c>
    </row>
    <row r="121" spans="1:13" x14ac:dyDescent="0.2">
      <c r="A121" t="s">
        <v>28</v>
      </c>
      <c r="B121" t="s">
        <v>449</v>
      </c>
      <c r="C121" s="6" t="s">
        <v>63</v>
      </c>
      <c r="D121" s="7">
        <v>46096</v>
      </c>
      <c r="E121" s="8">
        <v>46096.371527777803</v>
      </c>
      <c r="F121" s="8">
        <v>46096.541666666664</v>
      </c>
      <c r="G121" s="8">
        <f t="shared" si="1"/>
        <v>0.17013888886140194</v>
      </c>
      <c r="H121" t="s">
        <v>284</v>
      </c>
      <c r="I121" t="s">
        <v>285</v>
      </c>
      <c r="J121">
        <v>172909</v>
      </c>
      <c r="L121">
        <v>7</v>
      </c>
      <c r="M121" t="s">
        <v>286</v>
      </c>
    </row>
    <row r="122" spans="1:13" x14ac:dyDescent="0.2">
      <c r="A122" t="s">
        <v>28</v>
      </c>
      <c r="B122" t="s">
        <v>449</v>
      </c>
      <c r="C122" s="6" t="s">
        <v>63</v>
      </c>
      <c r="D122" s="7">
        <v>46096</v>
      </c>
      <c r="E122" s="8">
        <v>46096.583333333336</v>
      </c>
      <c r="F122" s="8">
        <v>46096.770833333299</v>
      </c>
      <c r="G122" s="8">
        <f t="shared" si="1"/>
        <v>0.18749999996362021</v>
      </c>
      <c r="H122" t="s">
        <v>284</v>
      </c>
      <c r="I122" t="s">
        <v>285</v>
      </c>
      <c r="J122">
        <v>172909</v>
      </c>
      <c r="L122">
        <v>7</v>
      </c>
      <c r="M122" t="s">
        <v>286</v>
      </c>
    </row>
    <row r="123" spans="1:13" x14ac:dyDescent="0.2">
      <c r="A123" t="s">
        <v>28</v>
      </c>
      <c r="B123" t="s">
        <v>450</v>
      </c>
      <c r="C123" s="6" t="s">
        <v>44</v>
      </c>
      <c r="D123" s="7">
        <v>46097</v>
      </c>
      <c r="E123" s="8">
        <v>46097.811111111099</v>
      </c>
      <c r="F123" s="8">
        <v>46097.831944444399</v>
      </c>
      <c r="G123" s="8">
        <f t="shared" si="1"/>
        <v>2.0833333299378864E-2</v>
      </c>
      <c r="H123" t="s">
        <v>287</v>
      </c>
      <c r="I123" t="s">
        <v>60</v>
      </c>
      <c r="J123">
        <v>172771</v>
      </c>
      <c r="L123">
        <v>3</v>
      </c>
      <c r="M123" t="s">
        <v>288</v>
      </c>
    </row>
    <row r="124" spans="1:13" x14ac:dyDescent="0.2">
      <c r="A124" t="s">
        <v>28</v>
      </c>
      <c r="B124" t="s">
        <v>451</v>
      </c>
      <c r="C124" s="6" t="s">
        <v>48</v>
      </c>
      <c r="D124" s="7">
        <v>46098</v>
      </c>
      <c r="E124" s="8">
        <v>46098.708333333336</v>
      </c>
      <c r="F124" s="8">
        <v>46098.756249999999</v>
      </c>
      <c r="G124" s="8">
        <f t="shared" si="1"/>
        <v>4.7916666662786156E-2</v>
      </c>
      <c r="H124" t="s">
        <v>289</v>
      </c>
      <c r="I124" t="s">
        <v>136</v>
      </c>
      <c r="J124">
        <v>172875</v>
      </c>
      <c r="L124">
        <v>2</v>
      </c>
      <c r="M124" t="s">
        <v>290</v>
      </c>
    </row>
    <row r="125" spans="1:13" x14ac:dyDescent="0.2">
      <c r="A125" t="s">
        <v>28</v>
      </c>
      <c r="B125" t="s">
        <v>450</v>
      </c>
      <c r="C125" s="6" t="s">
        <v>85</v>
      </c>
      <c r="D125" s="7">
        <v>46100</v>
      </c>
      <c r="E125" s="8">
        <v>46100.708333333299</v>
      </c>
      <c r="F125" s="8">
        <v>46100.814583333296</v>
      </c>
      <c r="G125" s="8">
        <f t="shared" si="1"/>
        <v>0.10624999999708962</v>
      </c>
      <c r="H125" t="s">
        <v>291</v>
      </c>
      <c r="I125" t="s">
        <v>136</v>
      </c>
      <c r="J125">
        <v>173041</v>
      </c>
      <c r="L125">
        <v>2</v>
      </c>
      <c r="M125" t="s">
        <v>292</v>
      </c>
    </row>
    <row r="126" spans="1:13" x14ac:dyDescent="0.2">
      <c r="A126" t="s">
        <v>28</v>
      </c>
      <c r="B126" t="s">
        <v>450</v>
      </c>
      <c r="C126" s="6" t="s">
        <v>77</v>
      </c>
      <c r="D126" s="7">
        <v>46101</v>
      </c>
      <c r="E126" s="8">
        <v>46101.286111111098</v>
      </c>
      <c r="F126" s="8">
        <v>46101.333333333336</v>
      </c>
      <c r="G126" s="8">
        <f t="shared" si="1"/>
        <v>4.7222222237905953E-2</v>
      </c>
      <c r="H126" t="s">
        <v>293</v>
      </c>
      <c r="I126" t="s">
        <v>68</v>
      </c>
      <c r="J126">
        <v>173109</v>
      </c>
      <c r="L126">
        <v>1</v>
      </c>
      <c r="M126" t="s">
        <v>294</v>
      </c>
    </row>
    <row r="127" spans="1:13" x14ac:dyDescent="0.2">
      <c r="A127" t="s">
        <v>28</v>
      </c>
      <c r="B127" t="s">
        <v>447</v>
      </c>
      <c r="C127" s="6" t="s">
        <v>77</v>
      </c>
      <c r="D127" s="7">
        <v>46101</v>
      </c>
      <c r="E127" s="8">
        <v>46101.828472222202</v>
      </c>
      <c r="F127" s="8">
        <v>46101.859027777798</v>
      </c>
      <c r="G127" s="8">
        <f t="shared" si="1"/>
        <v>3.055555559694767E-2</v>
      </c>
      <c r="H127" t="s">
        <v>295</v>
      </c>
      <c r="I127" t="s">
        <v>60</v>
      </c>
      <c r="J127">
        <v>173109</v>
      </c>
      <c r="L127">
        <v>3</v>
      </c>
      <c r="M127" t="s">
        <v>294</v>
      </c>
    </row>
    <row r="128" spans="1:13" x14ac:dyDescent="0.2">
      <c r="A128" t="s">
        <v>30</v>
      </c>
      <c r="B128" t="s">
        <v>452</v>
      </c>
      <c r="C128" s="6" t="s">
        <v>63</v>
      </c>
      <c r="D128" s="7">
        <v>46082</v>
      </c>
      <c r="E128" s="8">
        <v>46082.518750000003</v>
      </c>
      <c r="F128" s="8">
        <v>46082.6027777778</v>
      </c>
      <c r="G128" s="8">
        <f t="shared" si="1"/>
        <v>8.4027777797018643E-2</v>
      </c>
      <c r="H128" t="s">
        <v>296</v>
      </c>
      <c r="I128" t="s">
        <v>60</v>
      </c>
      <c r="J128">
        <v>171753</v>
      </c>
      <c r="L128">
        <v>3</v>
      </c>
      <c r="M128" t="s">
        <v>297</v>
      </c>
    </row>
    <row r="129" spans="1:13" x14ac:dyDescent="0.2">
      <c r="A129" t="s">
        <v>30</v>
      </c>
      <c r="B129" t="s">
        <v>452</v>
      </c>
      <c r="C129" s="6" t="s">
        <v>63</v>
      </c>
      <c r="D129" s="7">
        <v>46082</v>
      </c>
      <c r="E129" s="8">
        <v>46082.665972222203</v>
      </c>
      <c r="F129" s="8">
        <v>46082.791666666701</v>
      </c>
      <c r="G129" s="8">
        <f t="shared" si="1"/>
        <v>0.12569444449763978</v>
      </c>
      <c r="H129" t="s">
        <v>298</v>
      </c>
      <c r="I129" t="s">
        <v>60</v>
      </c>
      <c r="J129">
        <v>171753</v>
      </c>
      <c r="L129">
        <v>3</v>
      </c>
      <c r="M129" t="s">
        <v>297</v>
      </c>
    </row>
    <row r="130" spans="1:13" x14ac:dyDescent="0.2">
      <c r="A130" t="s">
        <v>30</v>
      </c>
      <c r="B130" t="s">
        <v>452</v>
      </c>
      <c r="C130" s="6" t="s">
        <v>63</v>
      </c>
      <c r="D130" s="7">
        <v>46082</v>
      </c>
      <c r="E130" s="8">
        <v>46082.845138888901</v>
      </c>
      <c r="F130" s="8">
        <v>46082.90625</v>
      </c>
      <c r="G130" s="8">
        <f t="shared" si="1"/>
        <v>6.1111111099307891E-2</v>
      </c>
      <c r="H130" t="s">
        <v>299</v>
      </c>
      <c r="I130" t="s">
        <v>50</v>
      </c>
      <c r="J130">
        <v>171753</v>
      </c>
      <c r="L130">
        <v>1</v>
      </c>
      <c r="M130" t="s">
        <v>297</v>
      </c>
    </row>
    <row r="131" spans="1:13" x14ac:dyDescent="0.2">
      <c r="A131" t="s">
        <v>30</v>
      </c>
      <c r="B131" t="s">
        <v>452</v>
      </c>
      <c r="C131" s="6" t="s">
        <v>63</v>
      </c>
      <c r="D131" s="7">
        <v>46082</v>
      </c>
      <c r="E131" s="8">
        <v>46082.942361111098</v>
      </c>
      <c r="F131" s="8">
        <v>46082.984027777798</v>
      </c>
      <c r="G131" s="8">
        <f t="shared" ref="G131:G174" si="2">F131-E131</f>
        <v>4.1666666700621136E-2</v>
      </c>
      <c r="H131" t="s">
        <v>300</v>
      </c>
      <c r="I131" t="s">
        <v>50</v>
      </c>
      <c r="J131">
        <v>171753</v>
      </c>
      <c r="L131">
        <v>1</v>
      </c>
      <c r="M131" t="s">
        <v>297</v>
      </c>
    </row>
    <row r="132" spans="1:13" x14ac:dyDescent="0.2">
      <c r="A132" t="s">
        <v>30</v>
      </c>
      <c r="B132" t="s">
        <v>453</v>
      </c>
      <c r="C132" s="6" t="s">
        <v>44</v>
      </c>
      <c r="D132" s="7">
        <v>46083</v>
      </c>
      <c r="E132" s="8">
        <v>46083.708333333336</v>
      </c>
      <c r="F132" s="8">
        <v>46083.753472222197</v>
      </c>
      <c r="G132" s="8">
        <f t="shared" si="2"/>
        <v>4.5138888861401938E-2</v>
      </c>
      <c r="H132" t="s">
        <v>301</v>
      </c>
      <c r="I132" t="s">
        <v>136</v>
      </c>
      <c r="J132">
        <v>171814</v>
      </c>
      <c r="L132">
        <v>2</v>
      </c>
      <c r="M132" t="s">
        <v>302</v>
      </c>
    </row>
    <row r="133" spans="1:13" x14ac:dyDescent="0.2">
      <c r="A133" t="s">
        <v>30</v>
      </c>
      <c r="B133" t="s">
        <v>453</v>
      </c>
      <c r="C133" s="6" t="s">
        <v>48</v>
      </c>
      <c r="D133" s="7">
        <v>46084</v>
      </c>
      <c r="E133" s="8">
        <v>46084.708333333336</v>
      </c>
      <c r="F133" s="8">
        <v>46084.815277777801</v>
      </c>
      <c r="G133" s="8">
        <f t="shared" si="2"/>
        <v>0.10694444446562557</v>
      </c>
      <c r="H133" t="s">
        <v>303</v>
      </c>
      <c r="I133" t="s">
        <v>304</v>
      </c>
      <c r="J133">
        <v>171926</v>
      </c>
      <c r="L133">
        <v>3</v>
      </c>
      <c r="M133" t="s">
        <v>305</v>
      </c>
    </row>
    <row r="134" spans="1:13" x14ac:dyDescent="0.2">
      <c r="A134" t="s">
        <v>30</v>
      </c>
      <c r="B134" t="s">
        <v>454</v>
      </c>
      <c r="C134" s="6" t="s">
        <v>52</v>
      </c>
      <c r="D134" s="7">
        <v>46085</v>
      </c>
      <c r="E134" s="8">
        <v>46085.813194444498</v>
      </c>
      <c r="F134" s="8">
        <v>46085.868750000001</v>
      </c>
      <c r="G134" s="8">
        <f t="shared" si="2"/>
        <v>5.5555555503815413E-2</v>
      </c>
      <c r="H134" t="s">
        <v>306</v>
      </c>
      <c r="I134" t="s">
        <v>60</v>
      </c>
      <c r="J134">
        <v>172010</v>
      </c>
      <c r="L134">
        <v>3</v>
      </c>
      <c r="M134" t="s">
        <v>307</v>
      </c>
    </row>
    <row r="135" spans="1:13" x14ac:dyDescent="0.2">
      <c r="A135" t="s">
        <v>30</v>
      </c>
      <c r="B135" t="s">
        <v>453</v>
      </c>
      <c r="C135" s="6" t="s">
        <v>85</v>
      </c>
      <c r="D135" s="7">
        <v>46086</v>
      </c>
      <c r="E135" s="8">
        <v>46086.708333333336</v>
      </c>
      <c r="F135" s="8">
        <v>46086.752083333296</v>
      </c>
      <c r="G135" s="8">
        <f t="shared" si="2"/>
        <v>4.3749999960709829E-2</v>
      </c>
      <c r="H135" t="s">
        <v>308</v>
      </c>
      <c r="I135" t="s">
        <v>136</v>
      </c>
      <c r="J135">
        <v>172104</v>
      </c>
      <c r="L135">
        <v>2</v>
      </c>
      <c r="M135" t="s">
        <v>309</v>
      </c>
    </row>
    <row r="136" spans="1:13" x14ac:dyDescent="0.2">
      <c r="A136" t="s">
        <v>30</v>
      </c>
      <c r="B136" t="s">
        <v>455</v>
      </c>
      <c r="C136" s="6" t="s">
        <v>77</v>
      </c>
      <c r="D136" s="7">
        <v>46087</v>
      </c>
      <c r="E136" s="8">
        <v>46087.804861111101</v>
      </c>
      <c r="F136" s="8">
        <v>46087.860416666699</v>
      </c>
      <c r="G136" s="8">
        <f t="shared" si="2"/>
        <v>5.5555555598402862E-2</v>
      </c>
      <c r="H136" t="s">
        <v>310</v>
      </c>
      <c r="I136" t="s">
        <v>311</v>
      </c>
      <c r="J136">
        <v>172194</v>
      </c>
      <c r="L136">
        <v>3</v>
      </c>
      <c r="M136" t="s">
        <v>312</v>
      </c>
    </row>
    <row r="137" spans="1:13" x14ac:dyDescent="0.2">
      <c r="A137" t="s">
        <v>30</v>
      </c>
      <c r="B137" t="s">
        <v>455</v>
      </c>
      <c r="C137" s="6" t="s">
        <v>58</v>
      </c>
      <c r="D137" s="7">
        <v>46088</v>
      </c>
      <c r="E137" s="8">
        <v>46088.473611111098</v>
      </c>
      <c r="F137" s="8">
        <v>46088.639583333301</v>
      </c>
      <c r="G137" s="8">
        <f t="shared" si="2"/>
        <v>0.16597222220298136</v>
      </c>
      <c r="H137" t="s">
        <v>313</v>
      </c>
      <c r="I137" t="s">
        <v>314</v>
      </c>
      <c r="J137">
        <v>172256</v>
      </c>
      <c r="L137">
        <v>6</v>
      </c>
      <c r="M137" t="s">
        <v>315</v>
      </c>
    </row>
    <row r="138" spans="1:13" x14ac:dyDescent="0.2">
      <c r="A138" t="s">
        <v>30</v>
      </c>
      <c r="B138" t="s">
        <v>455</v>
      </c>
      <c r="C138" s="6" t="s">
        <v>63</v>
      </c>
      <c r="D138" s="7">
        <v>46089</v>
      </c>
      <c r="E138" s="8">
        <v>46089.726388888899</v>
      </c>
      <c r="F138" s="8">
        <v>46089.816666666702</v>
      </c>
      <c r="G138" s="8">
        <f t="shared" si="2"/>
        <v>9.027777780283941E-2</v>
      </c>
      <c r="H138" t="s">
        <v>316</v>
      </c>
      <c r="I138" t="s">
        <v>60</v>
      </c>
      <c r="J138">
        <v>172301</v>
      </c>
      <c r="L138">
        <v>3</v>
      </c>
      <c r="M138" t="s">
        <v>317</v>
      </c>
    </row>
    <row r="139" spans="1:13" x14ac:dyDescent="0.2">
      <c r="A139" t="s">
        <v>30</v>
      </c>
      <c r="B139" t="s">
        <v>453</v>
      </c>
      <c r="C139" s="6" t="s">
        <v>85</v>
      </c>
      <c r="D139" s="7">
        <v>46093</v>
      </c>
      <c r="E139" s="8">
        <v>46093.71875</v>
      </c>
      <c r="F139" s="8">
        <v>46093.809722222199</v>
      </c>
      <c r="G139" s="8">
        <f t="shared" si="2"/>
        <v>9.0972222198615782E-2</v>
      </c>
      <c r="H139" t="s">
        <v>318</v>
      </c>
      <c r="I139" t="s">
        <v>319</v>
      </c>
      <c r="J139">
        <v>172569</v>
      </c>
      <c r="L139">
        <v>3</v>
      </c>
      <c r="M139" t="s">
        <v>320</v>
      </c>
    </row>
    <row r="140" spans="1:13" x14ac:dyDescent="0.2">
      <c r="A140" t="s">
        <v>30</v>
      </c>
      <c r="B140" t="s">
        <v>456</v>
      </c>
      <c r="C140" s="6" t="s">
        <v>58</v>
      </c>
      <c r="D140" s="7">
        <v>46095</v>
      </c>
      <c r="E140" s="8">
        <v>46095.268750000003</v>
      </c>
      <c r="F140" s="8">
        <v>46095.541666666664</v>
      </c>
      <c r="G140" s="8">
        <f t="shared" si="2"/>
        <v>0.27291666666133096</v>
      </c>
      <c r="H140" t="s">
        <v>321</v>
      </c>
      <c r="I140" t="s">
        <v>322</v>
      </c>
      <c r="J140">
        <v>172778</v>
      </c>
      <c r="L140">
        <v>9</v>
      </c>
      <c r="M140" t="s">
        <v>323</v>
      </c>
    </row>
    <row r="141" spans="1:13" x14ac:dyDescent="0.2">
      <c r="A141" t="s">
        <v>30</v>
      </c>
      <c r="B141" t="s">
        <v>456</v>
      </c>
      <c r="C141" s="6" t="s">
        <v>58</v>
      </c>
      <c r="D141" s="7">
        <v>46095</v>
      </c>
      <c r="E141" s="8">
        <v>46095.583333333336</v>
      </c>
      <c r="F141" s="8">
        <v>46095.671527777798</v>
      </c>
      <c r="G141" s="8">
        <f t="shared" si="2"/>
        <v>8.8194444462715182E-2</v>
      </c>
      <c r="H141" t="s">
        <v>321</v>
      </c>
      <c r="I141" t="s">
        <v>322</v>
      </c>
      <c r="J141">
        <v>172778</v>
      </c>
      <c r="L141">
        <v>9</v>
      </c>
      <c r="M141" t="s">
        <v>323</v>
      </c>
    </row>
    <row r="142" spans="1:13" x14ac:dyDescent="0.2">
      <c r="A142" t="s">
        <v>30</v>
      </c>
      <c r="B142" t="s">
        <v>456</v>
      </c>
      <c r="C142" s="6" t="s">
        <v>58</v>
      </c>
      <c r="D142" s="7">
        <v>46095</v>
      </c>
      <c r="E142" s="8">
        <v>46095.765972222202</v>
      </c>
      <c r="F142" s="8">
        <v>46095.810416666704</v>
      </c>
      <c r="G142" s="8">
        <f t="shared" si="2"/>
        <v>4.4444444502005354E-2</v>
      </c>
      <c r="H142" t="s">
        <v>324</v>
      </c>
      <c r="I142" t="s">
        <v>60</v>
      </c>
      <c r="J142">
        <v>172778</v>
      </c>
      <c r="L142">
        <v>3</v>
      </c>
      <c r="M142" t="s">
        <v>323</v>
      </c>
    </row>
    <row r="143" spans="1:13" x14ac:dyDescent="0.2">
      <c r="A143" t="s">
        <v>30</v>
      </c>
      <c r="B143" t="s">
        <v>456</v>
      </c>
      <c r="C143" s="6" t="s">
        <v>63</v>
      </c>
      <c r="D143" s="7">
        <v>46096</v>
      </c>
      <c r="E143" s="8">
        <v>46096.336805555598</v>
      </c>
      <c r="F143" s="8">
        <v>46096.5</v>
      </c>
      <c r="G143" s="8">
        <f t="shared" si="2"/>
        <v>0.16319444440159714</v>
      </c>
      <c r="H143" t="s">
        <v>325</v>
      </c>
      <c r="I143" t="s">
        <v>107</v>
      </c>
      <c r="J143">
        <v>172835</v>
      </c>
      <c r="L143">
        <v>5</v>
      </c>
      <c r="M143" t="s">
        <v>326</v>
      </c>
    </row>
    <row r="144" spans="1:13" x14ac:dyDescent="0.2">
      <c r="A144" t="s">
        <v>30</v>
      </c>
      <c r="B144" t="s">
        <v>456</v>
      </c>
      <c r="C144" s="6" t="s">
        <v>63</v>
      </c>
      <c r="D144" s="7">
        <v>46096</v>
      </c>
      <c r="E144" s="8">
        <v>46096.541666666664</v>
      </c>
      <c r="F144" s="8">
        <v>46096.647916666698</v>
      </c>
      <c r="G144" s="8">
        <f t="shared" si="2"/>
        <v>0.10625000003346941</v>
      </c>
      <c r="H144" t="s">
        <v>325</v>
      </c>
      <c r="I144" t="s">
        <v>107</v>
      </c>
      <c r="J144">
        <v>172835</v>
      </c>
      <c r="L144">
        <v>5</v>
      </c>
      <c r="M144" t="s">
        <v>326</v>
      </c>
    </row>
    <row r="145" spans="1:13" x14ac:dyDescent="0.2">
      <c r="A145" t="s">
        <v>30</v>
      </c>
      <c r="B145" t="s">
        <v>457</v>
      </c>
      <c r="C145" s="6" t="s">
        <v>52</v>
      </c>
      <c r="D145" s="7">
        <v>46099</v>
      </c>
      <c r="E145" s="8">
        <v>46099.304166666698</v>
      </c>
      <c r="F145" s="8">
        <v>46099.333333333336</v>
      </c>
      <c r="G145" s="8">
        <f t="shared" si="2"/>
        <v>2.91666666380479E-2</v>
      </c>
      <c r="H145" t="s">
        <v>327</v>
      </c>
      <c r="I145" t="s">
        <v>54</v>
      </c>
      <c r="J145">
        <v>172943</v>
      </c>
      <c r="L145">
        <v>2</v>
      </c>
      <c r="M145" t="s">
        <v>328</v>
      </c>
    </row>
    <row r="146" spans="1:13" x14ac:dyDescent="0.2">
      <c r="A146" t="s">
        <v>30</v>
      </c>
      <c r="B146" t="s">
        <v>458</v>
      </c>
      <c r="C146" s="6" t="s">
        <v>85</v>
      </c>
      <c r="D146" s="7">
        <v>46099</v>
      </c>
      <c r="E146" s="8">
        <v>46099.821527777778</v>
      </c>
      <c r="F146" s="8">
        <v>46099.895833333336</v>
      </c>
      <c r="G146" s="8">
        <f t="shared" si="2"/>
        <v>7.4305555557657499E-2</v>
      </c>
      <c r="H146" t="s">
        <v>459</v>
      </c>
      <c r="I146" t="s">
        <v>60</v>
      </c>
      <c r="J146">
        <v>173202</v>
      </c>
      <c r="L146">
        <v>3</v>
      </c>
      <c r="M146" t="s">
        <v>460</v>
      </c>
    </row>
    <row r="147" spans="1:13" x14ac:dyDescent="0.2">
      <c r="A147" t="s">
        <v>30</v>
      </c>
      <c r="B147" t="s">
        <v>458</v>
      </c>
      <c r="C147" s="6" t="s">
        <v>85</v>
      </c>
      <c r="D147" s="7">
        <v>46100</v>
      </c>
      <c r="E147" s="8">
        <v>46100.831250000003</v>
      </c>
      <c r="F147" s="8">
        <v>46100.889583333301</v>
      </c>
      <c r="G147" s="8">
        <f t="shared" si="2"/>
        <v>5.8333333297923673E-2</v>
      </c>
      <c r="H147" t="s">
        <v>329</v>
      </c>
      <c r="I147" t="s">
        <v>60</v>
      </c>
      <c r="J147">
        <v>173203</v>
      </c>
      <c r="L147">
        <v>3</v>
      </c>
      <c r="M147" t="s">
        <v>330</v>
      </c>
    </row>
    <row r="148" spans="1:13" ht="25.5" x14ac:dyDescent="0.2">
      <c r="A148" t="s">
        <v>30</v>
      </c>
      <c r="B148" t="s">
        <v>453</v>
      </c>
      <c r="C148" s="6" t="s">
        <v>77</v>
      </c>
      <c r="D148" s="7">
        <v>46101</v>
      </c>
      <c r="E148" s="8">
        <v>46101.291666666664</v>
      </c>
      <c r="F148" s="8">
        <v>46101.333333333336</v>
      </c>
      <c r="G148" s="8">
        <f t="shared" si="2"/>
        <v>4.1666666671517305E-2</v>
      </c>
      <c r="H148" s="19" t="s">
        <v>461</v>
      </c>
      <c r="I148" t="s">
        <v>60</v>
      </c>
      <c r="J148">
        <v>173104</v>
      </c>
      <c r="L148">
        <v>3</v>
      </c>
      <c r="M148" t="s">
        <v>332</v>
      </c>
    </row>
    <row r="149" spans="1:13" x14ac:dyDescent="0.2">
      <c r="A149" t="s">
        <v>30</v>
      </c>
      <c r="B149" t="s">
        <v>453</v>
      </c>
      <c r="C149" s="6" t="s">
        <v>77</v>
      </c>
      <c r="D149" s="7">
        <v>46101</v>
      </c>
      <c r="E149" s="8">
        <v>46101.708333333336</v>
      </c>
      <c r="F149" s="8">
        <v>46101.795833333301</v>
      </c>
      <c r="G149" s="8">
        <f t="shared" si="2"/>
        <v>8.7499999965075403E-2</v>
      </c>
      <c r="H149" t="s">
        <v>331</v>
      </c>
      <c r="I149" t="s">
        <v>60</v>
      </c>
      <c r="J149">
        <v>173104</v>
      </c>
      <c r="L149">
        <v>3</v>
      </c>
      <c r="M149" t="s">
        <v>332</v>
      </c>
    </row>
    <row r="150" spans="1:13" x14ac:dyDescent="0.2">
      <c r="A150" t="s">
        <v>30</v>
      </c>
      <c r="B150" t="s">
        <v>455</v>
      </c>
      <c r="C150" s="6" t="s">
        <v>58</v>
      </c>
      <c r="D150" s="7">
        <v>46102</v>
      </c>
      <c r="E150" s="8">
        <v>46102.0493055556</v>
      </c>
      <c r="F150" s="8">
        <v>46102.1159722222</v>
      </c>
      <c r="G150" s="8">
        <f t="shared" si="2"/>
        <v>6.666666660021292E-2</v>
      </c>
      <c r="H150" t="s">
        <v>333</v>
      </c>
      <c r="I150" t="s">
        <v>334</v>
      </c>
      <c r="J150">
        <v>173235</v>
      </c>
      <c r="L150">
        <v>6</v>
      </c>
      <c r="M150" t="s">
        <v>335</v>
      </c>
    </row>
    <row r="151" spans="1:13" x14ac:dyDescent="0.2">
      <c r="A151" t="s">
        <v>30</v>
      </c>
      <c r="B151" t="s">
        <v>454</v>
      </c>
      <c r="C151" s="6" t="s">
        <v>58</v>
      </c>
      <c r="D151" s="7">
        <v>46102</v>
      </c>
      <c r="E151" s="8">
        <v>46102.367361111101</v>
      </c>
      <c r="F151" s="8">
        <v>46102.525000000001</v>
      </c>
      <c r="G151" s="8">
        <f t="shared" si="2"/>
        <v>0.15763888890069211</v>
      </c>
      <c r="H151" t="s">
        <v>336</v>
      </c>
      <c r="I151" t="s">
        <v>107</v>
      </c>
      <c r="J151">
        <v>173235</v>
      </c>
      <c r="L151">
        <v>5</v>
      </c>
      <c r="M151" t="s">
        <v>335</v>
      </c>
    </row>
    <row r="152" spans="1:13" x14ac:dyDescent="0.2">
      <c r="A152" t="s">
        <v>30</v>
      </c>
      <c r="B152" t="s">
        <v>458</v>
      </c>
      <c r="C152" s="6" t="s">
        <v>58</v>
      </c>
      <c r="D152" s="7">
        <v>46102</v>
      </c>
      <c r="E152" s="8">
        <v>46102.642361111102</v>
      </c>
      <c r="F152" s="8">
        <v>46102.772916666698</v>
      </c>
      <c r="G152" s="8">
        <f t="shared" si="2"/>
        <v>0.13055555559549248</v>
      </c>
      <c r="H152" t="s">
        <v>337</v>
      </c>
      <c r="I152" t="s">
        <v>60</v>
      </c>
      <c r="J152">
        <v>173204</v>
      </c>
      <c r="L152">
        <v>3</v>
      </c>
      <c r="M152" t="s">
        <v>338</v>
      </c>
    </row>
    <row r="153" spans="1:13" x14ac:dyDescent="0.2">
      <c r="A153" t="s">
        <v>30</v>
      </c>
      <c r="B153" t="s">
        <v>458</v>
      </c>
      <c r="C153" s="6" t="s">
        <v>58</v>
      </c>
      <c r="D153" s="7">
        <v>46102</v>
      </c>
      <c r="E153" s="8">
        <v>46102.807638888902</v>
      </c>
      <c r="F153" s="8">
        <v>46102.849305555603</v>
      </c>
      <c r="G153" s="8">
        <f t="shared" si="2"/>
        <v>4.1666666700621136E-2</v>
      </c>
      <c r="H153" t="s">
        <v>339</v>
      </c>
      <c r="I153" t="s">
        <v>60</v>
      </c>
      <c r="J153">
        <v>173204</v>
      </c>
      <c r="L153">
        <v>3</v>
      </c>
      <c r="M153" t="s">
        <v>338</v>
      </c>
    </row>
    <row r="154" spans="1:13" x14ac:dyDescent="0.2">
      <c r="A154" t="s">
        <v>30</v>
      </c>
      <c r="B154" t="s">
        <v>458</v>
      </c>
      <c r="C154" s="6" t="s">
        <v>58</v>
      </c>
      <c r="D154" s="7">
        <v>46102</v>
      </c>
      <c r="E154" s="8">
        <v>46102.873611111099</v>
      </c>
      <c r="F154" s="8">
        <v>46102.9375</v>
      </c>
      <c r="G154" s="8">
        <f t="shared" si="2"/>
        <v>6.3888888900692109E-2</v>
      </c>
      <c r="H154" t="s">
        <v>340</v>
      </c>
      <c r="I154" t="s">
        <v>60</v>
      </c>
      <c r="J154">
        <v>173204</v>
      </c>
      <c r="L154">
        <v>3</v>
      </c>
      <c r="M154" t="s">
        <v>338</v>
      </c>
    </row>
    <row r="155" spans="1:13" x14ac:dyDescent="0.2">
      <c r="A155" t="s">
        <v>30</v>
      </c>
      <c r="B155" t="s">
        <v>458</v>
      </c>
      <c r="C155" s="6" t="s">
        <v>63</v>
      </c>
      <c r="D155" s="7">
        <v>46103</v>
      </c>
      <c r="E155" s="8">
        <v>46103.393750000003</v>
      </c>
      <c r="F155" s="8">
        <v>46103.5</v>
      </c>
      <c r="G155" s="8">
        <f t="shared" si="2"/>
        <v>0.10624999999708962</v>
      </c>
      <c r="H155" t="s">
        <v>341</v>
      </c>
      <c r="I155" t="s">
        <v>60</v>
      </c>
      <c r="J155">
        <v>173325</v>
      </c>
      <c r="L155">
        <v>3</v>
      </c>
      <c r="M155" t="s">
        <v>342</v>
      </c>
    </row>
    <row r="156" spans="1:13" x14ac:dyDescent="0.2">
      <c r="A156" t="s">
        <v>30</v>
      </c>
      <c r="B156" t="s">
        <v>458</v>
      </c>
      <c r="C156" s="6" t="s">
        <v>63</v>
      </c>
      <c r="D156" s="7">
        <v>46103</v>
      </c>
      <c r="E156" s="8">
        <v>46103.778472222199</v>
      </c>
      <c r="F156" s="8">
        <v>46103.868055555598</v>
      </c>
      <c r="G156" s="8">
        <f t="shared" si="2"/>
        <v>8.958333339978708E-2</v>
      </c>
      <c r="H156" t="s">
        <v>343</v>
      </c>
      <c r="I156" t="s">
        <v>60</v>
      </c>
      <c r="J156">
        <v>173325</v>
      </c>
      <c r="L156">
        <v>3</v>
      </c>
      <c r="M156" t="s">
        <v>342</v>
      </c>
    </row>
    <row r="157" spans="1:13" x14ac:dyDescent="0.2">
      <c r="A157" t="s">
        <v>20</v>
      </c>
      <c r="B157" t="s">
        <v>462</v>
      </c>
      <c r="C157" s="6" t="s">
        <v>52</v>
      </c>
      <c r="D157" s="7">
        <v>46085</v>
      </c>
      <c r="E157" s="8">
        <v>46085.708333333336</v>
      </c>
      <c r="F157" s="8">
        <v>46085.770833333299</v>
      </c>
      <c r="G157" s="8">
        <f t="shared" si="2"/>
        <v>6.2499999963620212E-2</v>
      </c>
      <c r="H157" t="s">
        <v>344</v>
      </c>
      <c r="I157" t="s">
        <v>70</v>
      </c>
      <c r="J157">
        <v>172001</v>
      </c>
      <c r="L157">
        <v>2</v>
      </c>
      <c r="M157" t="s">
        <v>345</v>
      </c>
    </row>
    <row r="158" spans="1:13" x14ac:dyDescent="0.2">
      <c r="A158" t="s">
        <v>20</v>
      </c>
      <c r="B158" t="s">
        <v>463</v>
      </c>
      <c r="C158" s="6" t="s">
        <v>85</v>
      </c>
      <c r="D158" s="7">
        <v>46086</v>
      </c>
      <c r="E158" s="8">
        <v>46086.708333333336</v>
      </c>
      <c r="F158" s="8">
        <v>46086.758333333302</v>
      </c>
      <c r="G158" s="8">
        <f t="shared" si="2"/>
        <v>4.9999999966530595E-2</v>
      </c>
      <c r="H158" t="s">
        <v>346</v>
      </c>
      <c r="I158" t="s">
        <v>68</v>
      </c>
      <c r="J158">
        <v>172125</v>
      </c>
      <c r="L158">
        <v>1</v>
      </c>
      <c r="M158" t="s">
        <v>347</v>
      </c>
    </row>
    <row r="159" spans="1:13" x14ac:dyDescent="0.2">
      <c r="A159" t="s">
        <v>20</v>
      </c>
      <c r="B159" t="s">
        <v>464</v>
      </c>
      <c r="C159" s="6" t="s">
        <v>77</v>
      </c>
      <c r="D159" s="7">
        <v>46087</v>
      </c>
      <c r="E159" s="8">
        <v>46087.708333333336</v>
      </c>
      <c r="F159" s="8">
        <v>46087.892361111102</v>
      </c>
      <c r="G159" s="8">
        <f t="shared" si="2"/>
        <v>0.18402777776645962</v>
      </c>
      <c r="H159" t="s">
        <v>348</v>
      </c>
      <c r="I159" t="s">
        <v>349</v>
      </c>
      <c r="J159">
        <v>172186</v>
      </c>
      <c r="L159">
        <v>8</v>
      </c>
      <c r="M159" t="s">
        <v>350</v>
      </c>
    </row>
    <row r="160" spans="1:13" x14ac:dyDescent="0.2">
      <c r="A160" t="s">
        <v>20</v>
      </c>
      <c r="B160" t="s">
        <v>465</v>
      </c>
      <c r="C160" s="6" t="s">
        <v>85</v>
      </c>
      <c r="D160" s="7">
        <v>46093</v>
      </c>
      <c r="E160" s="8">
        <v>46093.708333333299</v>
      </c>
      <c r="F160" s="8">
        <v>46093.761111111096</v>
      </c>
      <c r="G160" s="8">
        <f t="shared" si="2"/>
        <v>5.2777777797018643E-2</v>
      </c>
      <c r="H160" t="s">
        <v>351</v>
      </c>
      <c r="I160" t="s">
        <v>352</v>
      </c>
      <c r="J160">
        <v>172600</v>
      </c>
      <c r="L160">
        <v>3</v>
      </c>
      <c r="M160" t="s">
        <v>353</v>
      </c>
    </row>
    <row r="161" spans="1:13" x14ac:dyDescent="0.2">
      <c r="A161" t="s">
        <v>25</v>
      </c>
      <c r="B161" t="s">
        <v>466</v>
      </c>
      <c r="C161" s="6" t="s">
        <v>44</v>
      </c>
      <c r="D161" s="7">
        <v>46083</v>
      </c>
      <c r="E161" s="8">
        <v>46083.711805555598</v>
      </c>
      <c r="F161" s="8">
        <v>46083.833333333299</v>
      </c>
      <c r="G161" s="8">
        <f t="shared" si="2"/>
        <v>0.121527777700976</v>
      </c>
      <c r="H161" t="s">
        <v>354</v>
      </c>
      <c r="I161" t="s">
        <v>355</v>
      </c>
      <c r="J161">
        <v>171811</v>
      </c>
      <c r="L161">
        <v>4</v>
      </c>
      <c r="M161" t="s">
        <v>356</v>
      </c>
    </row>
    <row r="162" spans="1:13" x14ac:dyDescent="0.2">
      <c r="A162" t="s">
        <v>25</v>
      </c>
      <c r="B162" t="s">
        <v>467</v>
      </c>
      <c r="C162" s="6" t="s">
        <v>52</v>
      </c>
      <c r="D162" s="7">
        <v>46085</v>
      </c>
      <c r="E162" s="8">
        <v>46085.836805555598</v>
      </c>
      <c r="F162" s="8">
        <v>46085.879166666702</v>
      </c>
      <c r="G162" s="8">
        <f t="shared" si="2"/>
        <v>4.2361111103673466E-2</v>
      </c>
      <c r="H162" t="s">
        <v>357</v>
      </c>
      <c r="I162" t="s">
        <v>116</v>
      </c>
      <c r="J162">
        <v>172098</v>
      </c>
      <c r="L162">
        <v>4</v>
      </c>
      <c r="M162" t="s">
        <v>358</v>
      </c>
    </row>
    <row r="163" spans="1:13" x14ac:dyDescent="0.2">
      <c r="A163" t="s">
        <v>25</v>
      </c>
      <c r="B163" t="s">
        <v>467</v>
      </c>
      <c r="C163" s="6" t="s">
        <v>52</v>
      </c>
      <c r="D163" s="7">
        <v>46085</v>
      </c>
      <c r="E163" s="8">
        <v>46085.708333333299</v>
      </c>
      <c r="F163" s="8">
        <v>46085.75</v>
      </c>
      <c r="G163" s="8">
        <f t="shared" si="2"/>
        <v>4.1666666700621136E-2</v>
      </c>
      <c r="H163" t="s">
        <v>359</v>
      </c>
      <c r="I163" t="s">
        <v>50</v>
      </c>
      <c r="J163">
        <v>172018</v>
      </c>
      <c r="L163">
        <v>1</v>
      </c>
      <c r="M163" t="s">
        <v>360</v>
      </c>
    </row>
    <row r="164" spans="1:13" x14ac:dyDescent="0.2">
      <c r="A164" t="s">
        <v>25</v>
      </c>
      <c r="B164" t="s">
        <v>467</v>
      </c>
      <c r="C164" s="6" t="s">
        <v>77</v>
      </c>
      <c r="D164" s="7">
        <v>46087</v>
      </c>
      <c r="E164" s="8">
        <v>46087.708333333299</v>
      </c>
      <c r="F164" s="8">
        <v>46087.916666666701</v>
      </c>
      <c r="G164" s="8">
        <f t="shared" si="2"/>
        <v>0.20833333340124227</v>
      </c>
      <c r="H164" t="s">
        <v>361</v>
      </c>
      <c r="I164" t="s">
        <v>362</v>
      </c>
      <c r="J164">
        <v>172211</v>
      </c>
      <c r="L164">
        <v>6</v>
      </c>
      <c r="M164" t="s">
        <v>363</v>
      </c>
    </row>
    <row r="165" spans="1:13" x14ac:dyDescent="0.2">
      <c r="A165" t="s">
        <v>25</v>
      </c>
      <c r="B165" t="s">
        <v>467</v>
      </c>
      <c r="C165" s="6" t="s">
        <v>58</v>
      </c>
      <c r="D165" s="7">
        <v>46088</v>
      </c>
      <c r="E165" s="8">
        <v>46088.35</v>
      </c>
      <c r="F165" s="8">
        <v>46088.545833333301</v>
      </c>
      <c r="G165" s="8">
        <f t="shared" si="2"/>
        <v>0.19583333330228925</v>
      </c>
      <c r="H165" t="s">
        <v>468</v>
      </c>
      <c r="I165" t="s">
        <v>364</v>
      </c>
      <c r="J165">
        <v>172258</v>
      </c>
      <c r="L165">
        <v>3</v>
      </c>
      <c r="M165" t="s">
        <v>365</v>
      </c>
    </row>
    <row r="166" spans="1:13" x14ac:dyDescent="0.2">
      <c r="A166" t="s">
        <v>25</v>
      </c>
      <c r="B166" t="s">
        <v>469</v>
      </c>
      <c r="C166" s="6" t="s">
        <v>58</v>
      </c>
      <c r="D166" s="7">
        <v>46088</v>
      </c>
      <c r="E166" s="8">
        <v>46088.9284722222</v>
      </c>
      <c r="F166" s="8">
        <v>46088.989583333299</v>
      </c>
      <c r="G166" s="8">
        <f t="shared" si="2"/>
        <v>6.1111111099307891E-2</v>
      </c>
      <c r="H166" t="s">
        <v>366</v>
      </c>
      <c r="I166" t="s">
        <v>60</v>
      </c>
      <c r="J166">
        <v>172258</v>
      </c>
      <c r="L166">
        <v>3</v>
      </c>
      <c r="M166" t="s">
        <v>365</v>
      </c>
    </row>
    <row r="167" spans="1:13" x14ac:dyDescent="0.2">
      <c r="A167" t="s">
        <v>25</v>
      </c>
      <c r="B167" t="s">
        <v>469</v>
      </c>
      <c r="C167" s="6" t="s">
        <v>63</v>
      </c>
      <c r="D167" s="7">
        <v>46089</v>
      </c>
      <c r="E167" s="8">
        <v>46089.819444444402</v>
      </c>
      <c r="F167" s="8">
        <v>46089.888888888898</v>
      </c>
      <c r="G167" s="8">
        <f t="shared" si="2"/>
        <v>6.9444444496184587E-2</v>
      </c>
      <c r="H167" t="s">
        <v>367</v>
      </c>
      <c r="I167" t="s">
        <v>123</v>
      </c>
      <c r="J167">
        <v>172302</v>
      </c>
      <c r="L167">
        <v>4</v>
      </c>
      <c r="M167" t="s">
        <v>368</v>
      </c>
    </row>
    <row r="168" spans="1:13" x14ac:dyDescent="0.2">
      <c r="A168" t="s">
        <v>25</v>
      </c>
      <c r="B168" t="s">
        <v>470</v>
      </c>
      <c r="C168" s="6" t="s">
        <v>52</v>
      </c>
      <c r="D168" s="7">
        <v>46099</v>
      </c>
      <c r="E168" s="8">
        <v>46099.715972222199</v>
      </c>
      <c r="F168" s="8">
        <v>46099.760416666701</v>
      </c>
      <c r="G168" s="8">
        <f t="shared" si="2"/>
        <v>4.4444444502005354E-2</v>
      </c>
      <c r="H168" t="s">
        <v>369</v>
      </c>
      <c r="I168" t="s">
        <v>73</v>
      </c>
      <c r="J168">
        <v>172978</v>
      </c>
      <c r="L168">
        <v>2</v>
      </c>
      <c r="M168" t="s">
        <v>370</v>
      </c>
    </row>
    <row r="169" spans="1:13" x14ac:dyDescent="0.2">
      <c r="A169" t="s">
        <v>29</v>
      </c>
      <c r="B169" t="s">
        <v>471</v>
      </c>
      <c r="C169" s="6" t="s">
        <v>44</v>
      </c>
      <c r="D169" s="7">
        <v>46083</v>
      </c>
      <c r="E169" s="8">
        <v>46083.708333333299</v>
      </c>
      <c r="F169" s="8">
        <v>46083.837500000001</v>
      </c>
      <c r="G169" s="8">
        <f t="shared" si="2"/>
        <v>0.12916666670207633</v>
      </c>
      <c r="H169" t="s">
        <v>371</v>
      </c>
      <c r="I169" t="s">
        <v>372</v>
      </c>
      <c r="J169">
        <v>171784</v>
      </c>
      <c r="L169">
        <v>4</v>
      </c>
      <c r="M169" t="s">
        <v>373</v>
      </c>
    </row>
    <row r="170" spans="1:13" x14ac:dyDescent="0.2">
      <c r="A170" t="s">
        <v>29</v>
      </c>
      <c r="B170" t="s">
        <v>471</v>
      </c>
      <c r="C170" s="6" t="s">
        <v>48</v>
      </c>
      <c r="D170" s="7">
        <v>46084</v>
      </c>
      <c r="E170" s="8">
        <v>46084.837500000001</v>
      </c>
      <c r="F170" s="8">
        <v>46084.861111111102</v>
      </c>
      <c r="G170" s="8">
        <f t="shared" si="2"/>
        <v>2.3611111100763083E-2</v>
      </c>
      <c r="H170" t="s">
        <v>374</v>
      </c>
      <c r="I170" t="s">
        <v>50</v>
      </c>
      <c r="J170">
        <v>171914</v>
      </c>
      <c r="L170">
        <v>1</v>
      </c>
      <c r="M170" t="s">
        <v>375</v>
      </c>
    </row>
    <row r="171" spans="1:13" x14ac:dyDescent="0.2">
      <c r="A171" t="s">
        <v>32</v>
      </c>
      <c r="B171" t="s">
        <v>472</v>
      </c>
      <c r="C171" s="6" t="s">
        <v>48</v>
      </c>
      <c r="D171" s="7">
        <v>46084</v>
      </c>
      <c r="E171" s="8">
        <v>46084.708333333336</v>
      </c>
      <c r="F171" s="8">
        <v>46084.752083333333</v>
      </c>
      <c r="G171" s="8">
        <f t="shared" si="2"/>
        <v>4.3749999997089617E-2</v>
      </c>
      <c r="H171" s="19" t="s">
        <v>473</v>
      </c>
      <c r="I171" t="s">
        <v>60</v>
      </c>
      <c r="J171">
        <v>171947</v>
      </c>
      <c r="L171">
        <v>3</v>
      </c>
      <c r="M171" t="s">
        <v>377</v>
      </c>
    </row>
    <row r="172" spans="1:13" x14ac:dyDescent="0.2">
      <c r="A172" t="s">
        <v>32</v>
      </c>
      <c r="B172" t="s">
        <v>474</v>
      </c>
      <c r="C172" s="6" t="s">
        <v>48</v>
      </c>
      <c r="D172" s="7">
        <v>46091</v>
      </c>
      <c r="E172" s="8">
        <v>46091.941666666702</v>
      </c>
      <c r="F172" s="8">
        <v>46091.997916666704</v>
      </c>
      <c r="G172" s="8">
        <f t="shared" si="2"/>
        <v>5.6250000001455192E-2</v>
      </c>
      <c r="H172" t="s">
        <v>376</v>
      </c>
      <c r="I172" t="s">
        <v>60</v>
      </c>
      <c r="J172">
        <v>172483</v>
      </c>
      <c r="L172">
        <v>3</v>
      </c>
      <c r="M172" t="s">
        <v>377</v>
      </c>
    </row>
    <row r="173" spans="1:13" x14ac:dyDescent="0.2">
      <c r="A173" t="s">
        <v>32</v>
      </c>
      <c r="B173" t="s">
        <v>474</v>
      </c>
      <c r="C173" s="6" t="s">
        <v>77</v>
      </c>
      <c r="D173" s="7">
        <v>46094</v>
      </c>
      <c r="E173" s="8">
        <v>46094.278472222199</v>
      </c>
      <c r="F173" s="8">
        <v>46094.333333333299</v>
      </c>
      <c r="G173" s="8">
        <f t="shared" si="2"/>
        <v>5.4861111100763083E-2</v>
      </c>
      <c r="H173" t="s">
        <v>378</v>
      </c>
      <c r="I173" t="s">
        <v>50</v>
      </c>
      <c r="J173">
        <v>172663</v>
      </c>
      <c r="L173">
        <v>1</v>
      </c>
      <c r="M173" t="s">
        <v>379</v>
      </c>
    </row>
    <row r="174" spans="1:13" x14ac:dyDescent="0.2">
      <c r="A174" t="s">
        <v>32</v>
      </c>
      <c r="B174" t="s">
        <v>474</v>
      </c>
      <c r="C174" s="6" t="s">
        <v>77</v>
      </c>
      <c r="D174" s="7">
        <v>46094</v>
      </c>
      <c r="E174" s="8">
        <v>46094.71875</v>
      </c>
      <c r="F174" s="8">
        <v>46094.816666666702</v>
      </c>
      <c r="G174" s="8">
        <f t="shared" si="2"/>
        <v>9.7916666702076327E-2</v>
      </c>
      <c r="H174" t="s">
        <v>475</v>
      </c>
      <c r="I174" t="s">
        <v>136</v>
      </c>
      <c r="J174">
        <v>172663</v>
      </c>
      <c r="L174">
        <v>2</v>
      </c>
      <c r="M174" t="s">
        <v>379</v>
      </c>
    </row>
  </sheetData>
  <autoFilter ref="A1:M1" xr:uid="{00000000-0001-0000-0100-000000000000}"/>
  <conditionalFormatting sqref="A1:M1048576">
    <cfRule type="expression" dxfId="5" priority="1" stopIfTrue="1">
      <formula>($C1="sábado")</formula>
    </cfRule>
    <cfRule type="expression" dxfId="4" priority="2" stopIfTrue="1">
      <formula>($C1="domingo")</formula>
    </cfRule>
    <cfRule type="expression" dxfId="2" priority="6">
      <formula>( HOUR($E1)&lt;6)</formula>
    </cfRule>
  </conditionalFormatting>
  <conditionalFormatting sqref="E1:E1048576">
    <cfRule type="expression" dxfId="1" priority="8">
      <formula>AND(HOUR($E1)&lt;17, HOUR($F1)&gt;17)</formula>
    </cfRule>
  </conditionalFormatting>
  <conditionalFormatting sqref="F1:F1048576">
    <cfRule type="expression" dxfId="0" priority="4">
      <formula>AND(HOUR($E1)&lt;8, HOUR($F1)&gt;8)</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extLst>
    <ext xmlns:x14="http://schemas.microsoft.com/office/spreadsheetml/2009/9/main" uri="{78C0D931-6437-407d-A8EE-F0AAD7539E65}">
      <x14:conditionalFormattings>
        <x14:conditionalFormatting xmlns:xm="http://schemas.microsoft.com/office/excel/2006/main">
          <x14:cfRule type="expression" priority="3" stopIfTrue="1" id="{A0029B56-7284-4DCF-92E2-DA1CE69CE7F7}">
            <xm:f>COUNTIF(Revisar_primero!$B$2:$B$14,$D1)&gt;0</xm:f>
            <x14:dxf>
              <fill>
                <patternFill>
                  <bgColor theme="4" tint="0.79998168889431442"/>
                </patternFill>
              </fill>
            </x14:dxf>
          </x14:cfRule>
          <xm:sqref>A1:M1048576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53</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Revisar_primero</vt:lpstr>
      <vt:lpstr>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Ernesto Vladimir Palacios Merino</cp:lastModifiedBy>
  <cp:revision>2</cp:revision>
  <dcterms:modified xsi:type="dcterms:W3CDTF">2026-03-29T02:48:20Z</dcterms:modified>
  <dc:language>es-EC</dc:language>
</cp:coreProperties>
</file>