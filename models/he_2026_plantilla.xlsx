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RAS_EXTRA" sheetId="1" state="visible" r:id="rId3"/>
  </sheets>
  <definedNames>
    <definedName function="false" hidden="false" localSheetId="0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0" name="Imprimir_títulos_IM" vbProcedure="false">NA()</definedName>
    <definedName function="false" hidden="false" localSheetId="0" name="Imprimir_área_IM" vbProcedure="false">NA()</definedName>
    <definedName function="false" hidden="false" localSheetId="0" name="_Regression_Int" vbProcedure="false">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<sst xmlns="http://schemas.openxmlformats.org/spreadsheetml/2006/main" count="26" uniqueCount="26">
  <si>
    <r>
      <rPr>
        <b val="true"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</si>
  <si>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</si>
  <si>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 xml:space="preserve">HOJA DE PRUEBA</t>
  </si>
  <si>
    <t xml:space="preserve">TOTAL</t>
  </si>
  <si>
    <t xml:space="preserve">Cuadrilla o Agencia:</t>
  </si>
  <si>
    <t xml:space="preserve">AGENCIA GUALAQUIZA</t>
  </si>
  <si>
    <t xml:space="preserve">(horas reloj)</t>
  </si>
  <si>
    <t xml:space="preserve">Parte:</t>
  </si>
  <si>
    <t xml:space="preserve">                      Trabajador                                                         Jefe Zonal                                                          Ingeniero 1            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</si>
  <si>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</si>
  <si>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</si>
  <si>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</si>
  <si>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</si>
  <si>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</si>
  <si>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</si>
  <si>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</si>
  <si>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</si>
  <si>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</si>
  <si>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</si>
  <si>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</si>
  <si>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</si>
  <si>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174083. Guayusal, Est 291765 cambio tirafusible 25A-T</t>
  </si>
  <si>
    <t xml:space="preserve">OT # 174084. Chumpias, Est 028535 cambio tirafusible 25A-T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</si>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</sst>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h:mm"/>
    <numFmt numFmtId="167" formatCode="h:mm;@"/>
    <numFmt numFmtId="168" formatCode="[$-C0A]d/mmm\ yyyy;@"/>
  </numFmts>
  <fonts count="21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b val="true"/>
      <sz val="12"/>
      <name val="Franklin Gothic Book"/>
      <family val="2"/>
      <charset val="1"/>
    </font>
    <font>
      <sz val="12"/>
      <name val="Franklin Gothic Book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21"/>
      <name val="Times New Roman"/>
      <family val="0"/>
      <charset val="134"/>
    </font>
    <font>
      <sz val="10"/>
      <name val="Calibri"/>
      <family val="2"/>
      <charset val="1"/>
    </font>
    <font>
      <b val="true"/>
      <sz val="12"/>
      <name val="Aptos Display"/>
      <family val="0"/>
      <charset val="134"/>
    </font>
    <font>
      <sz val="14"/>
      <name val="Calibri"/>
      <family val="2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>
        <color rgb="FF3465A4"/>
      </right>
      <top style="thin"/>
      <bottom/>
      <diagonal/>
    </border>
    <border diagonalUp="false" diagonalDown="false">
      <left/>
      <right style="thin">
        <color rgb="FF3465A4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/>
      <bottom style="hair">
        <color rgb="FF3465A4"/>
      </bottom>
      <diagonal/>
    </border>
    <border diagonalUp="false" diagonalDown="false">
      <left/>
      <right/>
      <top/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thin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thin">
        <color rgb="FF3465A4"/>
      </top>
      <bottom style="thin">
        <color rgb="FF3465A4"/>
      </bottom>
      <diagonal/>
    </border>
    <border diagonalUp="false" diagonalDown="false">
      <left style="thin"/>
      <right/>
      <top style="hair">
        <color rgb="FF3465A4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>
        <color rgb="FF3465A4"/>
      </right>
      <top/>
      <bottom style="thin"/>
      <diagonal/>
    </border>
    <border diagonalUp="false" diagonalDown="false">
      <left style="thin">
        <color rgb="FF3465A4"/>
      </left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1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10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1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109800</xdr:colOff>
      <xdr:row>0</xdr:row>
      <xdr:rowOff>1054800</xdr:rowOff>
    </xdr:to>
    <xdr:pic>
      <xdr:nvPicPr>
        <xdr:cNvPr id="1" name="Imagen 2"/>
        <xdr:cNvPicPr/>
      </xdr:nvPicPr>
      <xdr:blipFill>
        <a:blip r:embed="rId1"/>
        <a:stretch/>
      </xdr:blipFill>
      <xdr:spPr>
        <a:xfrm>
          <a:off x="0" y="0"/>
          <a:ext cx="2039040" cy="1054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7870680</xdr:colOff>
      <xdr:row>0</xdr:row>
      <xdr:rowOff>400320</xdr:rowOff>
    </xdr:to>
    <xdr:pic>
      <xdr:nvPicPr>
        <xdr:cNvPr id="2" name="Imagen 4"/>
        <xdr:cNvPicPr/>
      </xdr:nvPicPr>
      <xdr:blipFill>
        <a:blip r:embed="rId2"/>
        <a:stretch/>
      </xdr:blipFill>
      <xdr:spPr>
        <a:xfrm>
          <a:off x="10395360" y="21960"/>
          <a:ext cx="4150440" cy="37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J8" activeCellId="0" sqref="J8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</v>
      </c>
      <c r="I2" s="8" t="n">
        <f aca="false">SUM(K6:K36)</f>
        <v>33.0166666666667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</v>
      </c>
      <c r="I3" s="12" t="n">
        <f aca="false">SUM(I6:I36)</f>
        <v>0.777083333333334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MAYO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fals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35" hidden="false" customHeight="false" outlineLevel="0" collapsed="false">
      <c r="A6" s="27" t="str">
        <f aca="false">IF(B6&gt;0,PROPER(TEXT(B6,"dddd")),"")</f>
        <v>Viernes</v>
      </c>
      <c r="B6" s="28" t="n">
        <v>46143</v>
      </c>
      <c r="C6" s="29"/>
      <c r="D6" s="30"/>
      <c r="E6" s="29"/>
      <c r="F6" s="30"/>
      <c r="G6" s="29"/>
      <c r="H6" s="30"/>
      <c r="I6" s="29" t="n">
        <v>0</v>
      </c>
      <c r="J6" s="31"/>
      <c r="K6" s="1" t="n">
        <f aca="true">SUMPRODUCT((INDIRECT({"D","F","H"}&amp;ROW())-INDIRECT({"C","E","G"}&amp;ROW()))*2*24)</f>
        <v>0</v>
      </c>
    </row>
    <row r="7" customFormat="false" ht="17.35" hidden="false" customHeight="false" outlineLevel="0" collapsed="false">
      <c r="A7" s="27" t="str">
        <f aca="false">IF(B7&gt;0,PROPER(TEXT(B7,"dddd")),"")</f>
        <v>Sábado</v>
      </c>
      <c r="B7" s="32" t="n">
        <v>46144</v>
      </c>
      <c r="C7" s="33" t="n">
        <v>0.803472222222222</v>
      </c>
      <c r="D7" s="34" t="n">
        <v>0.865277777777778</v>
      </c>
      <c r="E7" s="33"/>
      <c r="F7" s="34"/>
      <c r="G7" s="33"/>
      <c r="H7" s="34"/>
      <c r="I7" s="33" t="n">
        <v>0.0618055555555556</v>
      </c>
      <c r="J7" s="35" t="s">
        <v>19</v>
      </c>
      <c r="K7" s="1" t="n">
        <f aca="true">SUMPRODUCT((INDIRECT({"D","F","H"}&amp;ROW())-INDIRECT({"C","E","G"}&amp;ROW()))*2*24)</f>
        <v>2.96666666666669</v>
      </c>
    </row>
    <row r="8" customFormat="false" ht="17.35" hidden="false" customHeight="false" outlineLevel="0" collapsed="false">
      <c r="A8" s="27" t="str">
        <f aca="false">IF(B8&gt;0,PROPER(TEXT(B8,"dddd")),"")</f>
        <v>Domingo</v>
      </c>
      <c r="B8" s="32" t="n">
        <v>46145</v>
      </c>
      <c r="C8" s="33" t="n">
        <v>0.370138888888889</v>
      </c>
      <c r="D8" s="34" t="n">
        <v>0.552083333333333</v>
      </c>
      <c r="E8" s="33" t="n">
        <v>0.709027777777778</v>
      </c>
      <c r="F8" s="34" t="n">
        <v>0.795138888888889</v>
      </c>
      <c r="G8" s="33"/>
      <c r="H8" s="34"/>
      <c r="I8" s="33" t="n">
        <v>0.268055555555556</v>
      </c>
      <c r="J8" s="35" t="s">
        <v>20</v>
      </c>
      <c r="K8" s="1" t="n">
        <f aca="true">SUMPRODUCT((INDIRECT({"D","F","H"}&amp;ROW())-INDIRECT({"C","E","G"}&amp;ROW()))*2*24)</f>
        <v>12.8666666666666</v>
      </c>
    </row>
    <row r="9" customFormat="false" ht="17.35" hidden="false" customHeight="false" outlineLevel="0" collapsed="false">
      <c r="A9" s="27" t="str">
        <f aca="false">IF(B9&gt;0,PROPER(TEXT(B9,"dddd")),"")</f>
        <v>Lunes</v>
      </c>
      <c r="B9" s="28" t="n">
        <v>46146</v>
      </c>
      <c r="C9" s="33" t="n">
        <v>0.677777777777778</v>
      </c>
      <c r="D9" s="34" t="n">
        <v>0.766666666666667</v>
      </c>
      <c r="E9" s="33"/>
      <c r="F9" s="34"/>
      <c r="G9" s="33"/>
      <c r="H9" s="34"/>
      <c r="I9" s="33" t="n">
        <v>0.0888888888888889</v>
      </c>
      <c r="J9" s="35" t="s">
        <v>21</v>
      </c>
      <c r="K9" s="1" t="n">
        <f aca="true">SUMPRODUCT((INDIRECT({"D","F","H"}&amp;ROW())-INDIRECT({"C","E","G"}&amp;ROW()))*1.5*24)</f>
        <v>3.2</v>
      </c>
    </row>
    <row r="10" customFormat="false" ht="17.35" hidden="false" customHeight="false" outlineLevel="0" collapsed="false">
      <c r="A10" s="27" t="str">
        <f aca="false">IF(B10&gt;0,PROPER(TEXT(B10,"dddd")),"")</f>
        <v>Martes</v>
      </c>
      <c r="B10" s="32" t="n">
        <v>46147</v>
      </c>
      <c r="C10" s="33" t="n">
        <v>0.366666666666667</v>
      </c>
      <c r="D10" s="34" t="n">
        <v>0.450694444444444</v>
      </c>
      <c r="E10" s="33"/>
      <c r="F10" s="34"/>
      <c r="G10" s="33"/>
      <c r="H10" s="34"/>
      <c r="I10" s="33" t="n">
        <v>0.0840277777777778</v>
      </c>
      <c r="J10" s="35" t="s">
        <v>22</v>
      </c>
      <c r="K10" s="1" t="n">
        <f aca="true">SUMPRODUCT((INDIRECT({"D","F","H"}&amp;ROW())-INDIRECT({"C","E","G"}&amp;ROW()))*1.5*24)</f>
        <v>3.02499999999997</v>
      </c>
    </row>
    <row r="11" customFormat="false" ht="17.35" hidden="false" customHeight="false" outlineLevel="0" collapsed="false">
      <c r="A11" s="27" t="str">
        <f aca="false">IF(B11&gt;0,PROPER(TEXT(B11,"dddd")),"")</f>
        <v>Miércoles</v>
      </c>
      <c r="B11" s="32" t="n">
        <v>46148</v>
      </c>
      <c r="C11" s="33" t="n">
        <v>0.798611111111111</v>
      </c>
      <c r="D11" s="34" t="n">
        <v>0.885416666666667</v>
      </c>
      <c r="E11" s="33"/>
      <c r="F11" s="34"/>
      <c r="G11" s="33"/>
      <c r="H11" s="34"/>
      <c r="I11" s="33" t="n">
        <v>0.0868055555555556</v>
      </c>
      <c r="J11" s="35" t="s">
        <v>23</v>
      </c>
      <c r="K11" s="1" t="n">
        <f aca="true">SUMPRODUCT((INDIRECT({"D","F","H"}&amp;ROW())-INDIRECT({"C","E","G"}&amp;ROW()))*1.5*24)</f>
        <v>3.12500000000001</v>
      </c>
    </row>
    <row r="12" customFormat="false" ht="17.35" hidden="false" customHeight="false" outlineLevel="0" collapsed="false">
      <c r="A12" s="27" t="str">
        <f aca="false">IF(B12&gt;0,PROPER(TEXT(B12,"dddd")),"")</f>
        <v>Jueves</v>
      </c>
      <c r="B12" s="28" t="n">
        <v>46149</v>
      </c>
      <c r="C12" s="33" t="n">
        <v>0.75</v>
      </c>
      <c r="D12" s="34" t="n">
        <v>0.847222222222222</v>
      </c>
      <c r="E12" s="33"/>
      <c r="F12" s="34"/>
      <c r="G12" s="33"/>
      <c r="H12" s="34"/>
      <c r="I12" s="36" t="n">
        <v>0.0972222222222222</v>
      </c>
      <c r="J12" s="35" t="s">
        <v>24</v>
      </c>
      <c r="K12" s="1" t="n">
        <f aca="true">SUMPRODUCT((INDIRECT({"D","F","H"}&amp;ROW())-INDIRECT({"C","E","G"}&amp;ROW()))*1.5*24)</f>
        <v>3.49999999999999</v>
      </c>
    </row>
    <row r="13" customFormat="false" ht="17.35" hidden="false" customHeight="false" outlineLevel="0" collapsed="false">
      <c r="A13" s="27" t="str">
        <f aca="false">IF(B13&gt;0,PROPER(TEXT(B13,"dddd")),"")</f>
        <v>Viernes</v>
      </c>
      <c r="B13" s="32" t="n">
        <v>46150</v>
      </c>
      <c r="C13" s="33"/>
      <c r="D13" s="34"/>
      <c r="E13" s="33"/>
      <c r="F13" s="34"/>
      <c r="G13" s="33"/>
      <c r="H13" s="34"/>
      <c r="I13" s="33" t="n">
        <v>0</v>
      </c>
      <c r="J13" s="35"/>
      <c r="K13" s="1" t="n">
        <f aca="true">SUMPRODUCT((INDIRECT({"D","F","H"}&amp;ROW())-INDIRECT({"C","E","G"}&amp;ROW()))*1.5*24)</f>
        <v>0</v>
      </c>
    </row>
    <row r="14" customFormat="false" ht="17.35" hidden="false" customHeight="false" outlineLevel="0" collapsed="false">
      <c r="A14" s="27" t="str">
        <f aca="false">IF(B14&gt;0,PROPER(TEXT(B14,"dddd")),"")</f>
        <v>Sábado</v>
      </c>
      <c r="B14" s="32" t="n">
        <v>46151</v>
      </c>
      <c r="C14" s="33"/>
      <c r="D14" s="34"/>
      <c r="E14" s="33"/>
      <c r="F14" s="34"/>
      <c r="G14" s="33"/>
      <c r="H14" s="34"/>
      <c r="I14" s="33" t="n">
        <v>0</v>
      </c>
      <c r="J14" s="35"/>
      <c r="K14" s="1" t="n">
        <f aca="true">SUMPRODUCT((INDIRECT({"D","F","H"}&amp;ROW())-INDIRECT({"C","E","G"}&amp;ROW()))*2*24)</f>
        <v>0</v>
      </c>
    </row>
    <row r="15" customFormat="false" ht="17.35" hidden="false" customHeight="false" outlineLevel="0" collapsed="false">
      <c r="A15" s="27" t="str">
        <f aca="false">IF(B15&gt;0,PROPER(TEXT(B15,"dddd")),"")</f>
        <v>Domingo</v>
      </c>
      <c r="B15" s="28" t="n">
        <v>46152</v>
      </c>
      <c r="C15" s="33" t="n">
        <v>0.727083333333333</v>
      </c>
      <c r="D15" s="34" t="n">
        <v>0.817361111111111</v>
      </c>
      <c r="E15" s="33"/>
      <c r="F15" s="34"/>
      <c r="G15" s="33"/>
      <c r="H15" s="34"/>
      <c r="I15" s="33" t="n">
        <v>0.0902777777777778</v>
      </c>
      <c r="J15" s="35" t="s">
        <v>25</v>
      </c>
      <c r="K15" s="1" t="n">
        <f aca="true">SUMPRODUCT((INDIRECT({"D","F","H"}&amp;ROW())-INDIRECT({"C","E","G"}&amp;ROW()))*2*24)</f>
        <v>4.33333333333335</v>
      </c>
    </row>
    <row r="16" customFormat="false" ht="17.35" hidden="false" customHeight="false" outlineLevel="0" collapsed="false">
      <c r="A16" s="27" t="str">
        <f aca="false">IF(B16&gt;0,PROPER(TEXT(B16,"dddd")),"")</f>
        <v>Lunes</v>
      </c>
      <c r="B16" s="32" t="n">
        <v>46153</v>
      </c>
      <c r="C16" s="33"/>
      <c r="D16" s="34"/>
      <c r="E16" s="33"/>
      <c r="F16" s="34"/>
      <c r="G16" s="33"/>
      <c r="H16" s="34"/>
      <c r="I16" s="33" t="n">
        <v>0</v>
      </c>
      <c r="J16" s="35"/>
      <c r="K16" s="1" t="n">
        <f aca="true">SUMPRODUCT((INDIRECT({"D","F","H"}&amp;ROW())-INDIRECT({"C","E","G"}&amp;ROW()))*1.5*24)</f>
        <v>0</v>
      </c>
    </row>
    <row r="17" customFormat="false" ht="17.35" hidden="false" customHeight="false" outlineLevel="0" collapsed="false">
      <c r="A17" s="27" t="str">
        <f aca="false">IF(B17&gt;0,PROPER(TEXT(B17,"dddd")),"")</f>
        <v>Martes</v>
      </c>
      <c r="B17" s="32" t="n">
        <v>46154</v>
      </c>
      <c r="C17" s="33"/>
      <c r="D17" s="34"/>
      <c r="E17" s="33"/>
      <c r="F17" s="34"/>
      <c r="G17" s="33"/>
      <c r="H17" s="34"/>
      <c r="I17" s="33" t="n">
        <v>0</v>
      </c>
      <c r="J17" s="35"/>
      <c r="K17" s="1" t="n">
        <f aca="true">SUMPRODUCT((INDIRECT({"D","F","H"}&amp;ROW())-INDIRECT({"C","E","G"}&amp;ROW()))*1.5*24)</f>
        <v>0</v>
      </c>
    </row>
    <row r="18" customFormat="false" ht="17.35" hidden="false" customHeight="false" outlineLevel="0" collapsed="false">
      <c r="A18" s="27" t="str">
        <f aca="false">IF(B18&gt;0,PROPER(TEXT(B18,"dddd")),"")</f>
        <v>Miércoles</v>
      </c>
      <c r="B18" s="28" t="n">
        <v>46155</v>
      </c>
      <c r="C18" s="33"/>
      <c r="D18" s="34"/>
      <c r="E18" s="33"/>
      <c r="F18" s="34"/>
      <c r="G18" s="33"/>
      <c r="H18" s="34"/>
      <c r="I18" s="33" t="n">
        <f aca="false">SUM(C18:H18)</f>
        <v>0</v>
      </c>
      <c r="J18" s="35"/>
      <c r="K18" s="1" t="n">
        <f aca="true">SUMPRODUCT((INDIRECT({"D","F","H"}&amp;ROW())-INDIRECT({"C","E","G"}&amp;ROW()))*1.5*24)</f>
        <v>0</v>
      </c>
    </row>
    <row r="19" customFormat="false" ht="17.35" hidden="false" customHeight="false" outlineLevel="0" collapsed="false">
      <c r="A19" s="27" t="str">
        <f aca="false">IF(B19&gt;0,PROPER(TEXT(B19,"dddd")),"")</f>
        <v>Jueves</v>
      </c>
      <c r="B19" s="32" t="n">
        <v>46156</v>
      </c>
      <c r="C19" s="33"/>
      <c r="D19" s="34"/>
      <c r="E19" s="33"/>
      <c r="F19" s="34"/>
      <c r="G19" s="33"/>
      <c r="H19" s="34"/>
      <c r="I19" s="33" t="n">
        <f aca="false">SUM(C19:H19)</f>
        <v>0</v>
      </c>
      <c r="J19" s="35"/>
      <c r="K19" s="1" t="n">
        <f aca="true">SUMPRODUCT((INDIRECT({"D","F","H"}&amp;ROW())-INDIRECT({"C","E","G"}&amp;ROW()))*1.5*24)</f>
        <v>0</v>
      </c>
    </row>
    <row r="20" customFormat="false" ht="17.35" hidden="false" customHeight="false" outlineLevel="0" collapsed="false">
      <c r="A20" s="27" t="str">
        <f aca="false">IF(B20&gt;0,PROPER(TEXT(B20,"dddd")),"")</f>
        <v>Viernes</v>
      </c>
      <c r="B20" s="32" t="n">
        <v>46157</v>
      </c>
      <c r="C20" s="33"/>
      <c r="D20" s="34"/>
      <c r="E20" s="33"/>
      <c r="F20" s="34"/>
      <c r="G20" s="33"/>
      <c r="H20" s="34"/>
      <c r="I20" s="33" t="n">
        <f aca="false">SUM(C20:H20)</f>
        <v>0</v>
      </c>
      <c r="J20" s="35"/>
      <c r="K20" s="1" t="n">
        <f aca="true">SUMPRODUCT((INDIRECT({"D","F","H"}&amp;ROW())-INDIRECT({"C","E","G"}&amp;ROW()))*1.5*24)</f>
        <v>0</v>
      </c>
    </row>
    <row r="21" customFormat="false" ht="17.35" hidden="false" customHeight="false" outlineLevel="0" collapsed="false">
      <c r="A21" s="27" t="str">
        <f aca="false">IF(B21&gt;0,PROPER(TEXT(B21,"dddd")),"")</f>
        <v>Sábado</v>
      </c>
      <c r="B21" s="28" t="n">
        <v>46158</v>
      </c>
      <c r="C21" s="33"/>
      <c r="D21" s="34"/>
      <c r="E21" s="33"/>
      <c r="F21" s="34"/>
      <c r="G21" s="33"/>
      <c r="H21" s="34"/>
      <c r="I21" s="33" t="n">
        <f aca="false">SUM(C21:H21)</f>
        <v>0</v>
      </c>
      <c r="J21" s="35"/>
      <c r="K21" s="1" t="n">
        <f aca="true">SUMPRODUCT((INDIRECT({"D","F","H"}&amp;ROW())-INDIRECT({"C","E","G"}&amp;ROW()))*2*24)</f>
        <v>0</v>
      </c>
    </row>
    <row r="22" customFormat="false" ht="17.35" hidden="false" customHeight="false" outlineLevel="0" collapsed="false">
      <c r="A22" s="27" t="str">
        <f aca="false">IF(B22&gt;0,PROPER(TEXT(B22,"dddd")),"")</f>
        <v>Domingo</v>
      </c>
      <c r="B22" s="32" t="n">
        <v>46159</v>
      </c>
      <c r="C22" s="33"/>
      <c r="D22" s="34"/>
      <c r="E22" s="33"/>
      <c r="F22" s="34"/>
      <c r="G22" s="33"/>
      <c r="H22" s="34"/>
      <c r="I22" s="33" t="n">
        <f aca="false">SUM(C22:H22)</f>
        <v>0</v>
      </c>
      <c r="J22" s="35"/>
      <c r="K22" s="1" t="n">
        <f aca="true">SUMPRODUCT((INDIRECT({"D","F","H"}&amp;ROW())-INDIRECT({"C","E","G"}&amp;ROW()))*2*24)</f>
        <v>0</v>
      </c>
    </row>
    <row r="23" customFormat="false" ht="17.35" hidden="false" customHeight="false" outlineLevel="0" collapsed="false">
      <c r="A23" s="27" t="str">
        <f aca="false">IF(B23&gt;0,PROPER(TEXT(B23,"dddd")),"")</f>
        <v>Lunes</v>
      </c>
      <c r="B23" s="32" t="n">
        <v>46160</v>
      </c>
      <c r="C23" s="33"/>
      <c r="D23" s="34"/>
      <c r="E23" s="33"/>
      <c r="F23" s="34"/>
      <c r="G23" s="33"/>
      <c r="H23" s="34"/>
      <c r="I23" s="33" t="n">
        <f aca="false">SUM(C23:H23)</f>
        <v>0</v>
      </c>
      <c r="J23" s="35"/>
      <c r="K23" s="1" t="n">
        <f aca="true">SUMPRODUCT((INDIRECT({"D","F","H"}&amp;ROW())-INDIRECT({"C","E","G"}&amp;ROW()))*1.5*24)</f>
        <v>0</v>
      </c>
    </row>
    <row r="24" customFormat="false" ht="17.35" hidden="false" customHeight="false" outlineLevel="0" collapsed="false">
      <c r="A24" s="27" t="str">
        <f aca="false">IF(B24&gt;0,PROPER(TEXT(B24,"dddd")),"")</f>
        <v>Martes</v>
      </c>
      <c r="B24" s="28" t="n">
        <v>46161</v>
      </c>
      <c r="C24" s="33"/>
      <c r="D24" s="34"/>
      <c r="E24" s="33"/>
      <c r="F24" s="34"/>
      <c r="G24" s="33"/>
      <c r="H24" s="34"/>
      <c r="I24" s="33" t="n">
        <f aca="false">SUM(C24:H24)</f>
        <v>0</v>
      </c>
      <c r="J24" s="35"/>
      <c r="K24" s="1" t="n">
        <f aca="true">SUMPRODUCT((INDIRECT({"D","F","H"}&amp;ROW())-INDIRECT({"C","E","G"}&amp;ROW()))*1.5*24)</f>
        <v>0</v>
      </c>
    </row>
    <row r="25" customFormat="false" ht="17.35" hidden="false" customHeight="false" outlineLevel="0" collapsed="false">
      <c r="A25" s="27" t="str">
        <f aca="false">IF(B25&gt;0,PROPER(TEXT(B25,"dddd")),"")</f>
        <v>Miércoles</v>
      </c>
      <c r="B25" s="32" t="n">
        <v>46162</v>
      </c>
      <c r="C25" s="33"/>
      <c r="D25" s="34"/>
      <c r="E25" s="33"/>
      <c r="F25" s="34"/>
      <c r="G25" s="33"/>
      <c r="H25" s="34"/>
      <c r="I25" s="33" t="n">
        <f aca="false">SUM(C25:H25)</f>
        <v>0</v>
      </c>
      <c r="J25" s="35"/>
      <c r="K25" s="1" t="n">
        <f aca="true">SUMPRODUCT((INDIRECT({"D","F","H"}&amp;ROW())-INDIRECT({"C","E","G"}&amp;ROW()))*1.5*24)</f>
        <v>0</v>
      </c>
    </row>
    <row r="26" customFormat="false" ht="17.35" hidden="false" customHeight="false" outlineLevel="0" collapsed="false">
      <c r="A26" s="27" t="str">
        <f aca="false">IF(B26&gt;0,PROPER(TEXT(B26,"dddd")),"")</f>
        <v>Jueves</v>
      </c>
      <c r="B26" s="32" t="n">
        <v>46163</v>
      </c>
      <c r="C26" s="33"/>
      <c r="D26" s="34"/>
      <c r="E26" s="33"/>
      <c r="F26" s="34"/>
      <c r="G26" s="33"/>
      <c r="H26" s="34"/>
      <c r="I26" s="33" t="n">
        <f aca="false">SUM(C26:H26)</f>
        <v>0</v>
      </c>
      <c r="J26" s="35"/>
      <c r="K26" s="1" t="n">
        <f aca="true">SUMPRODUCT((INDIRECT({"D","F","H"}&amp;ROW())-INDIRECT({"C","E","G"}&amp;ROW()))*1.5*24)</f>
        <v>0</v>
      </c>
    </row>
    <row r="27" customFormat="false" ht="17.35" hidden="false" customHeight="false" outlineLevel="0" collapsed="false">
      <c r="A27" s="27" t="str">
        <f aca="false">IF(B27&gt;0,PROPER(TEXT(B27,"dddd")),"")</f>
        <v>Viernes</v>
      </c>
      <c r="B27" s="28" t="n">
        <v>46164</v>
      </c>
      <c r="C27" s="33"/>
      <c r="D27" s="34"/>
      <c r="E27" s="33"/>
      <c r="F27" s="34"/>
      <c r="G27" s="33"/>
      <c r="H27" s="34"/>
      <c r="I27" s="33" t="n">
        <f aca="false">SUM(C27:H27)</f>
        <v>0</v>
      </c>
      <c r="J27" s="35"/>
      <c r="K27" s="1" t="n">
        <f aca="true">SUMPRODUCT((INDIRECT({"D","F","H"}&amp;ROW())-INDIRECT({"C","E","G"}&amp;ROW()))*1.5*24)</f>
        <v>0</v>
      </c>
    </row>
    <row r="28" customFormat="false" ht="17.35" hidden="false" customHeight="false" outlineLevel="0" collapsed="false">
      <c r="A28" s="27" t="str">
        <f aca="false">IF(B28&gt;0,PROPER(TEXT(B28,"dddd")),"")</f>
        <v>Sábado</v>
      </c>
      <c r="B28" s="32" t="n">
        <v>46165</v>
      </c>
      <c r="C28" s="33"/>
      <c r="D28" s="34"/>
      <c r="E28" s="33"/>
      <c r="F28" s="34"/>
      <c r="G28" s="33"/>
      <c r="H28" s="34"/>
      <c r="I28" s="33" t="n">
        <f aca="false">SUM(C28:H28)</f>
        <v>0</v>
      </c>
      <c r="J28" s="35"/>
      <c r="K28" s="1" t="n">
        <f aca="true">SUMPRODUCT((INDIRECT({"D","F","H"}&amp;ROW())-INDIRECT({"C","E","G"}&amp;ROW()))*2*24)</f>
        <v>0</v>
      </c>
    </row>
    <row r="29" customFormat="false" ht="17.35" hidden="false" customHeight="false" outlineLevel="0" collapsed="false">
      <c r="A29" s="27" t="str">
        <f aca="false">IF(B29&gt;0,PROPER(TEXT(B29,"dddd")),"")</f>
        <v>Domingo</v>
      </c>
      <c r="B29" s="32" t="n">
        <v>46166</v>
      </c>
      <c r="C29" s="33"/>
      <c r="D29" s="34"/>
      <c r="E29" s="33"/>
      <c r="F29" s="34"/>
      <c r="G29" s="33"/>
      <c r="H29" s="34"/>
      <c r="I29" s="33" t="n">
        <f aca="false">SUM(C29:H29)</f>
        <v>0</v>
      </c>
      <c r="J29" s="35"/>
      <c r="K29" s="1" t="n">
        <f aca="true">SUMPRODUCT((INDIRECT({"D","F","H"}&amp;ROW())-INDIRECT({"C","E","G"}&amp;ROW()))*2*24)</f>
        <v>0</v>
      </c>
    </row>
    <row r="30" customFormat="false" ht="17.35" hidden="false" customHeight="false" outlineLevel="0" collapsed="false">
      <c r="A30" s="27" t="str">
        <f aca="false">IF(B30&gt;0,PROPER(TEXT(B30,"dddd")),"")</f>
        <v>Lunes</v>
      </c>
      <c r="B30" s="28" t="n">
        <v>46167</v>
      </c>
      <c r="C30" s="33"/>
      <c r="D30" s="34"/>
      <c r="E30" s="33"/>
      <c r="F30" s="34"/>
      <c r="G30" s="33"/>
      <c r="H30" s="34"/>
      <c r="I30" s="33" t="n">
        <f aca="false">SUM(C30:H30)</f>
        <v>0</v>
      </c>
      <c r="J30" s="35"/>
      <c r="K30" s="1" t="n">
        <f aca="true">SUMPRODUCT((INDIRECT({"D","F","H"}&amp;ROW())-INDIRECT({"C","E","G"}&amp;ROW()))*1.5*24)</f>
        <v>0</v>
      </c>
    </row>
    <row r="31" customFormat="false" ht="17.35" hidden="false" customHeight="false" outlineLevel="0" collapsed="false">
      <c r="A31" s="27" t="str">
        <f aca="false">IF(B31&gt;0,PROPER(TEXT(B31,"dddd")),"")</f>
        <v>Martes</v>
      </c>
      <c r="B31" s="32" t="n">
        <v>46168</v>
      </c>
      <c r="C31" s="33"/>
      <c r="D31" s="34"/>
      <c r="E31" s="33"/>
      <c r="F31" s="34"/>
      <c r="G31" s="33"/>
      <c r="H31" s="34"/>
      <c r="I31" s="33" t="n">
        <f aca="false">SUM(C31:H31)</f>
        <v>0</v>
      </c>
      <c r="J31" s="35"/>
      <c r="K31" s="1" t="n">
        <f aca="true">SUMPRODUCT((INDIRECT({"D","F","H"}&amp;ROW())-INDIRECT({"C","E","G"}&amp;ROW()))*1.5*24)</f>
        <v>0</v>
      </c>
    </row>
    <row r="32" customFormat="false" ht="17.35" hidden="false" customHeight="false" outlineLevel="0" collapsed="false">
      <c r="A32" s="27" t="str">
        <f aca="false">IF(B32&gt;0,PROPER(TEXT(B32,"dddd")),"")</f>
        <v>Miércoles</v>
      </c>
      <c r="B32" s="32" t="n">
        <v>46169</v>
      </c>
      <c r="C32" s="33"/>
      <c r="D32" s="34"/>
      <c r="E32" s="33"/>
      <c r="F32" s="34"/>
      <c r="G32" s="33"/>
      <c r="H32" s="34"/>
      <c r="I32" s="33" t="n">
        <f aca="false">SUM(C32:H32)</f>
        <v>0</v>
      </c>
      <c r="J32" s="35"/>
      <c r="K32" s="1" t="n">
        <f aca="true">SUMPRODUCT((INDIRECT({"D","F","H"}&amp;ROW())-INDIRECT({"C","E","G"}&amp;ROW()))*1.5*24)</f>
        <v>0</v>
      </c>
    </row>
    <row r="33" customFormat="false" ht="17.35" hidden="false" customHeight="false" outlineLevel="0" collapsed="false">
      <c r="A33" s="27" t="str">
        <f aca="false">IF(B33&gt;0,PROPER(TEXT(B33,"dddd")),"")</f>
        <v>Jueves</v>
      </c>
      <c r="B33" s="28" t="n">
        <v>46170</v>
      </c>
      <c r="C33" s="33"/>
      <c r="D33" s="34"/>
      <c r="E33" s="33"/>
      <c r="F33" s="34"/>
      <c r="G33" s="33"/>
      <c r="H33" s="34"/>
      <c r="I33" s="33" t="n">
        <f aca="false">SUM(C33:H33)</f>
        <v>0</v>
      </c>
      <c r="J33" s="35"/>
      <c r="K33" s="1" t="n">
        <f aca="true">SUMPRODUCT((INDIRECT({"D","F","H"}&amp;ROW())-INDIRECT({"C","E","G"}&amp;ROW()))*1.5*24)</f>
        <v>0</v>
      </c>
    </row>
    <row r="34" customFormat="false" ht="17.35" hidden="false" customHeight="false" outlineLevel="0" collapsed="false">
      <c r="A34" s="27" t="str">
        <f aca="false">IF(B34&gt;0,PROPER(TEXT(B34,"dddd")),"")</f>
        <v>Viernes</v>
      </c>
      <c r="B34" s="32" t="n">
        <v>46171</v>
      </c>
      <c r="C34" s="33"/>
      <c r="D34" s="34"/>
      <c r="E34" s="33"/>
      <c r="F34" s="34"/>
      <c r="G34" s="33"/>
      <c r="H34" s="34"/>
      <c r="I34" s="33" t="n">
        <f aca="false">SUM(C34:H34)</f>
        <v>0</v>
      </c>
      <c r="J34" s="35"/>
      <c r="K34" s="1" t="n">
        <f aca="true">SUMPRODUCT((INDIRECT({"D","F","H"}&amp;ROW())-INDIRECT({"C","E","G"}&amp;ROW()))*1.5*24)</f>
        <v>0</v>
      </c>
    </row>
    <row r="35" customFormat="false" ht="17.35" hidden="false" customHeight="false" outlineLevel="0" collapsed="false">
      <c r="A35" s="27" t="str">
        <f aca="false">IF(B35&gt;0,PROPER(TEXT(B35,"dddd")),"")</f>
        <v>Sábado</v>
      </c>
      <c r="B35" s="32" t="n">
        <v>46172</v>
      </c>
      <c r="C35" s="33"/>
      <c r="D35" s="34"/>
      <c r="E35" s="33"/>
      <c r="F35" s="34"/>
      <c r="G35" s="33"/>
      <c r="H35" s="34"/>
      <c r="I35" s="33" t="n">
        <f aca="false">SUM(C35:H35)</f>
        <v>0</v>
      </c>
      <c r="J35" s="35"/>
      <c r="K35" s="1" t="n">
        <f aca="true">SUMPRODUCT((INDIRECT({"D","F","H"}&amp;ROW())-INDIRECT({"C","E","G"}&amp;ROW()))*2*24)</f>
        <v>0</v>
      </c>
    </row>
    <row r="36" customFormat="false" ht="17.35" hidden="false" customHeight="false" outlineLevel="0" collapsed="false">
      <c r="A36" s="37" t="str">
        <f aca="false">IF(B36&gt;0,PROPER(TEXT(B36,"dddd")),"")</f>
        <v>Domingo</v>
      </c>
      <c r="B36" s="28" t="n">
        <v>46173</v>
      </c>
      <c r="C36" s="38"/>
      <c r="D36" s="39"/>
      <c r="E36" s="38"/>
      <c r="F36" s="39"/>
      <c r="G36" s="38"/>
      <c r="H36" s="39"/>
      <c r="I36" s="38" t="n">
        <f aca="false">SUM(C36:H36)</f>
        <v>0</v>
      </c>
      <c r="J36" s="40"/>
      <c r="K36" s="1" t="n">
        <f aca="true">SUMPRODUCT((INDIRECT({"D","F","H"}&amp;ROW())-INDIRECT({"C","E","G"}&amp;ROW()))*2*24)</f>
        <v>0</v>
      </c>
    </row>
    <row r="37" customFormat="false" ht="15.75" hidden="false" customHeight="false" outlineLevel="0" collapsed="false">
      <c r="A37" s="41"/>
      <c r="B37" s="42"/>
      <c r="C37" s="42"/>
      <c r="D37" s="42"/>
      <c r="E37" s="42"/>
      <c r="F37" s="42"/>
      <c r="G37" s="42"/>
      <c r="H37" s="42"/>
      <c r="I37" s="43"/>
      <c r="J37" s="42"/>
    </row>
  </sheetData>
  <mergeCells count="1">
    <mergeCell ref="A1:J1"/>
  </mergeCells>
  <printOptions headings="false" gridLines="false" gridLinesSet="true" horizontalCentered="true" verticalCentered="false"/>
  <pageMargins left="0.275694444444444" right="0.275694444444444" top="0.236111111111111" bottom="0.619444444444445" header="0.511811023622047" footer="0.236111111111111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LibreOffice/26.2.3.2$Linux_X86_64 LibreOffice_project/a31940f583db492bb69b3a601caf6d1b0ecf61f1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2026-04-28T17:48:40Z</cp:lastPrinted>
  <dcterms:modified xsi:type="dcterms:W3CDTF">2026-05-12T14:47:05Z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